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Tables/pivotTable1.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8" windowWidth="12120" windowHeight="9120" tabRatio="825" activeTab="3"/>
  </bookViews>
  <sheets>
    <sheet name="BİLANÇO" sheetId="2" r:id="rId1"/>
    <sheet name="GELİR TABLOSU" sheetId="7" r:id="rId2"/>
    <sheet name="CARİDÖNEM" sheetId="4" state="hidden" r:id="rId3"/>
    <sheet name="DETAY MİZAN" sheetId="8" r:id="rId4"/>
    <sheet name="780HESAP" sheetId="12" state="hidden" r:id="rId5"/>
    <sheet name="FGK" sheetId="9" state="hidden" r:id="rId6"/>
    <sheet name="KKEG" sheetId="18" state="hidden" r:id="rId7"/>
    <sheet name="GEÇMİŞ DÖNEM ZARARLARI" sheetId="13" state="hidden" r:id="rId8"/>
    <sheet name="KVK GEÇ 32-8" sheetId="14" state="hidden" r:id="rId9"/>
  </sheets>
  <definedNames>
    <definedName name="_xlnm.Print_Area" localSheetId="1">'GELİR TABLOSU'!$B$2:$C$59</definedName>
  </definedNames>
  <calcPr calcId="124519"/>
  <pivotCaches>
    <pivotCache cacheId="2" r:id="rId10"/>
  </pivotCaches>
</workbook>
</file>

<file path=xl/calcChain.xml><?xml version="1.0" encoding="utf-8"?>
<calcChain xmlns="http://schemas.openxmlformats.org/spreadsheetml/2006/main">
  <c r="D11" i="14"/>
  <c r="E10" s="1"/>
  <c r="E9" i="13"/>
  <c r="D9"/>
  <c r="C9"/>
  <c r="F8"/>
  <c r="F4"/>
  <c r="C63" i="7"/>
  <c r="F10" i="14" l="1"/>
  <c r="E9"/>
  <c r="F9" s="1"/>
  <c r="E8"/>
  <c r="D18" l="1"/>
  <c r="F11"/>
  <c r="F18" l="1"/>
  <c r="D19"/>
  <c r="F19" s="1"/>
  <c r="D20" l="1"/>
  <c r="F20"/>
  <c r="C81" i="7" l="1"/>
  <c r="C70" l="1"/>
  <c r="C65"/>
  <c r="C5" i="9" l="1"/>
  <c r="C18" s="1"/>
  <c r="A1" i="4"/>
  <c r="A2"/>
  <c r="A3"/>
  <c r="A4"/>
  <c r="A5"/>
  <c r="A6"/>
  <c r="A7"/>
  <c r="A8"/>
  <c r="A9"/>
  <c r="A10"/>
  <c r="A11"/>
  <c r="A12"/>
  <c r="A13"/>
  <c r="A14"/>
  <c r="A15"/>
  <c r="A16"/>
  <c r="A17"/>
  <c r="A18"/>
  <c r="A19"/>
  <c r="A20"/>
  <c r="A21"/>
  <c r="A22"/>
  <c r="A23"/>
  <c r="A24"/>
  <c r="A25"/>
  <c r="A26"/>
  <c r="A27"/>
  <c r="A28"/>
  <c r="A29"/>
  <c r="A30"/>
  <c r="A31"/>
  <c r="A32"/>
  <c r="A33"/>
  <c r="A34"/>
  <c r="A35"/>
  <c r="A36"/>
  <c r="A37"/>
  <c r="A38"/>
  <c r="A39"/>
  <c r="A40"/>
  <c r="A41"/>
  <c r="A42"/>
  <c r="A43"/>
  <c r="A44"/>
  <c r="A45"/>
  <c r="A46"/>
  <c r="A47"/>
  <c r="A48"/>
  <c r="A49"/>
  <c r="A50"/>
  <c r="A51"/>
  <c r="A52"/>
  <c r="A53"/>
  <c r="A54"/>
  <c r="A55"/>
  <c r="A56"/>
  <c r="A57"/>
  <c r="A58"/>
  <c r="A59"/>
  <c r="A60"/>
  <c r="A61"/>
  <c r="A62"/>
  <c r="A63"/>
  <c r="A64"/>
  <c r="A65"/>
  <c r="A66"/>
  <c r="A67"/>
  <c r="A68"/>
  <c r="A69"/>
  <c r="A70"/>
  <c r="A71"/>
  <c r="A72"/>
  <c r="A73"/>
  <c r="A74"/>
  <c r="A75"/>
  <c r="A76"/>
  <c r="A77"/>
  <c r="A78"/>
  <c r="A79"/>
  <c r="A80"/>
  <c r="A81"/>
  <c r="A82"/>
  <c r="A83"/>
  <c r="A84"/>
  <c r="A85"/>
  <c r="A86"/>
  <c r="A87"/>
  <c r="A88"/>
  <c r="A89"/>
  <c r="A90"/>
  <c r="A91"/>
  <c r="A92"/>
  <c r="A93"/>
  <c r="A94"/>
  <c r="A95"/>
  <c r="A96"/>
  <c r="A97"/>
  <c r="A98"/>
  <c r="A99"/>
  <c r="A100"/>
  <c r="A101"/>
  <c r="A102"/>
  <c r="A103"/>
  <c r="A104"/>
  <c r="A105"/>
  <c r="A106"/>
  <c r="A107"/>
  <c r="A108"/>
  <c r="A109"/>
  <c r="A110"/>
  <c r="A111"/>
  <c r="A112"/>
  <c r="A113"/>
  <c r="A114"/>
  <c r="A115"/>
  <c r="A116"/>
  <c r="A117"/>
  <c r="A118"/>
  <c r="A119"/>
  <c r="A120"/>
  <c r="A121"/>
  <c r="A122"/>
  <c r="A123"/>
  <c r="A124"/>
  <c r="A125"/>
  <c r="A126"/>
  <c r="A127"/>
  <c r="A128"/>
  <c r="A129"/>
  <c r="A130"/>
  <c r="A131"/>
  <c r="A132"/>
  <c r="A133"/>
  <c r="A134"/>
  <c r="A135"/>
  <c r="A136"/>
  <c r="A137"/>
  <c r="A138"/>
  <c r="A139"/>
  <c r="A140"/>
  <c r="A141"/>
  <c r="A142"/>
  <c r="A143"/>
  <c r="A144"/>
  <c r="A145"/>
  <c r="A146"/>
  <c r="A147"/>
  <c r="A148"/>
  <c r="A149"/>
  <c r="A150"/>
  <c r="A151"/>
  <c r="A152"/>
  <c r="A153"/>
  <c r="A154"/>
  <c r="A155"/>
  <c r="A156"/>
  <c r="A157"/>
  <c r="A158"/>
  <c r="A159"/>
  <c r="A160"/>
  <c r="A161"/>
  <c r="A162"/>
  <c r="A163"/>
  <c r="A164"/>
  <c r="A165"/>
  <c r="A166"/>
  <c r="A167"/>
  <c r="A168"/>
  <c r="A169"/>
  <c r="A170"/>
  <c r="A171"/>
  <c r="A172"/>
  <c r="A173"/>
  <c r="A174"/>
  <c r="A175"/>
  <c r="A176"/>
  <c r="A177"/>
  <c r="A178"/>
  <c r="A179"/>
  <c r="A180"/>
  <c r="A181"/>
  <c r="A182"/>
  <c r="A183"/>
  <c r="A184"/>
  <c r="A185"/>
  <c r="A186"/>
  <c r="A187"/>
  <c r="A188"/>
  <c r="A189"/>
  <c r="A190"/>
  <c r="A191"/>
  <c r="A192"/>
  <c r="A193"/>
  <c r="A194"/>
  <c r="A195"/>
  <c r="A196"/>
  <c r="A197"/>
  <c r="A198"/>
  <c r="A199"/>
  <c r="A200"/>
  <c r="A201"/>
  <c r="A202"/>
  <c r="A203"/>
  <c r="A204"/>
  <c r="A205"/>
  <c r="A206"/>
  <c r="A207"/>
  <c r="A208"/>
  <c r="A209"/>
  <c r="A210"/>
  <c r="A211"/>
  <c r="A212"/>
  <c r="A213"/>
  <c r="A214"/>
  <c r="A215"/>
  <c r="A216"/>
  <c r="A217"/>
  <c r="A218"/>
  <c r="A219"/>
  <c r="A220"/>
  <c r="A221"/>
  <c r="A222"/>
  <c r="A223"/>
  <c r="A224"/>
  <c r="A225"/>
  <c r="A226"/>
  <c r="A227"/>
  <c r="A228"/>
  <c r="A229"/>
  <c r="A230"/>
  <c r="A231"/>
  <c r="A232"/>
  <c r="A233"/>
  <c r="A234"/>
  <c r="A235"/>
  <c r="A236"/>
  <c r="A237"/>
  <c r="A238"/>
  <c r="A239"/>
  <c r="A240"/>
  <c r="A241"/>
  <c r="A242"/>
  <c r="A243"/>
  <c r="A244"/>
  <c r="A245"/>
  <c r="A246"/>
  <c r="A247"/>
  <c r="A248"/>
  <c r="A249"/>
  <c r="A250"/>
  <c r="A251"/>
  <c r="A252"/>
  <c r="A253"/>
  <c r="A254"/>
  <c r="A255"/>
  <c r="A256"/>
  <c r="A257"/>
  <c r="A258"/>
  <c r="A259"/>
  <c r="A260"/>
  <c r="A261"/>
  <c r="A262"/>
  <c r="A263"/>
  <c r="A264"/>
  <c r="A265"/>
  <c r="A266"/>
  <c r="A267"/>
  <c r="A268"/>
  <c r="A269"/>
  <c r="A270"/>
  <c r="A271"/>
  <c r="A272"/>
  <c r="A273"/>
  <c r="A274"/>
  <c r="A275"/>
  <c r="A276"/>
  <c r="A277"/>
  <c r="A278"/>
  <c r="A279"/>
  <c r="A280"/>
  <c r="A281"/>
  <c r="A282"/>
  <c r="A283"/>
  <c r="A284"/>
  <c r="A285"/>
  <c r="A286"/>
  <c r="A287"/>
  <c r="A288"/>
  <c r="A289"/>
  <c r="A290"/>
  <c r="A291"/>
  <c r="A292"/>
  <c r="A293"/>
  <c r="A294"/>
  <c r="A295"/>
  <c r="A296"/>
  <c r="A297"/>
  <c r="A298"/>
  <c r="A299"/>
  <c r="A300"/>
  <c r="A301"/>
  <c r="A302"/>
  <c r="A69" i="2"/>
  <c r="A70"/>
  <c r="C118" l="1"/>
  <c r="C107"/>
  <c r="C139"/>
  <c r="F129"/>
  <c r="F121"/>
  <c r="F114"/>
  <c r="F120"/>
  <c r="F124"/>
  <c r="F119"/>
  <c r="F123"/>
  <c r="F116"/>
  <c r="F122"/>
  <c r="F115"/>
  <c r="F128"/>
  <c r="F127"/>
  <c r="F130"/>
  <c r="C78"/>
  <c r="C77"/>
  <c r="C80"/>
  <c r="C75"/>
  <c r="C79"/>
  <c r="C76"/>
  <c r="C136"/>
  <c r="C42" i="7"/>
  <c r="C36"/>
  <c r="C43"/>
  <c r="C37"/>
  <c r="C33"/>
  <c r="C44"/>
  <c r="C40"/>
  <c r="C34"/>
  <c r="C30"/>
  <c r="C47"/>
  <c r="C29"/>
  <c r="C45"/>
  <c r="C41"/>
  <c r="C35"/>
  <c r="C31"/>
  <c r="C48"/>
  <c r="C32"/>
  <c r="F105" i="2"/>
  <c r="C90"/>
  <c r="C126"/>
  <c r="F55"/>
  <c r="F8"/>
  <c r="F28"/>
  <c r="C12"/>
  <c r="C59"/>
  <c r="F12"/>
  <c r="C87"/>
  <c r="C133"/>
  <c r="F45"/>
  <c r="C104"/>
  <c r="F94"/>
  <c r="C42"/>
  <c r="C115"/>
  <c r="C29"/>
  <c r="F113"/>
  <c r="C47"/>
  <c r="C15"/>
  <c r="C125"/>
  <c r="F77"/>
  <c r="C138"/>
  <c r="C22"/>
  <c r="C35"/>
  <c r="F48"/>
  <c r="C94"/>
  <c r="F134"/>
  <c r="F133" s="1"/>
  <c r="C12" i="7"/>
  <c r="C54"/>
  <c r="F18" i="2"/>
  <c r="F34"/>
  <c r="C54"/>
  <c r="F87"/>
  <c r="C122"/>
  <c r="F99"/>
  <c r="C13" i="7"/>
  <c r="C55"/>
  <c r="C33" i="2"/>
  <c r="C19" i="7"/>
  <c r="C52"/>
  <c r="C18" i="2"/>
  <c r="C32"/>
  <c r="C46"/>
  <c r="C91"/>
  <c r="C110"/>
  <c r="C134"/>
  <c r="F31"/>
  <c r="C50"/>
  <c r="F84"/>
  <c r="C99"/>
  <c r="C92"/>
  <c r="F85"/>
  <c r="C20"/>
  <c r="F53"/>
  <c r="C39" i="7"/>
  <c r="C25"/>
  <c r="F96" i="2"/>
  <c r="C10" i="7"/>
  <c r="F11" i="2"/>
  <c r="F24"/>
  <c r="C39"/>
  <c r="F52"/>
  <c r="C84"/>
  <c r="C103"/>
  <c r="C119"/>
  <c r="C20" i="7"/>
  <c r="C9" i="2"/>
  <c r="C26"/>
  <c r="F38"/>
  <c r="C57"/>
  <c r="F91"/>
  <c r="C112"/>
  <c r="C129"/>
  <c r="F106"/>
  <c r="C23" i="7"/>
  <c r="F9" i="2"/>
  <c r="C40"/>
  <c r="C88"/>
  <c r="F22"/>
  <c r="F54"/>
  <c r="F103"/>
  <c r="C51"/>
  <c r="C48"/>
  <c r="C114"/>
  <c r="F97"/>
  <c r="F21"/>
  <c r="C43"/>
  <c r="F80"/>
  <c r="F102"/>
  <c r="C120"/>
  <c r="F25"/>
  <c r="F81"/>
  <c r="F29"/>
  <c r="F26"/>
  <c r="C128"/>
  <c r="C21"/>
  <c r="C106"/>
  <c r="C8"/>
  <c r="F132"/>
  <c r="F131" s="1"/>
  <c r="C24" i="7"/>
  <c r="F15" i="2"/>
  <c r="C44"/>
  <c r="C8" i="7"/>
  <c r="C14" i="2"/>
  <c r="C41"/>
  <c r="C83"/>
  <c r="F90"/>
  <c r="F76"/>
  <c r="F79"/>
  <c r="C61"/>
  <c r="C10"/>
  <c r="F35"/>
  <c r="F78"/>
  <c r="C58" i="7"/>
  <c r="C34" i="2"/>
  <c r="C105"/>
  <c r="F14"/>
  <c r="F16"/>
  <c r="F20"/>
  <c r="C97"/>
  <c r="C108"/>
  <c r="F37"/>
  <c r="C131"/>
  <c r="C11"/>
  <c r="C96"/>
  <c r="F83"/>
  <c r="C16"/>
  <c r="C51" i="7"/>
  <c r="C30" i="2"/>
  <c r="F42"/>
  <c r="C58"/>
  <c r="C85"/>
  <c r="C56" i="7"/>
  <c r="F19" i="2"/>
  <c r="F32"/>
  <c r="F46"/>
  <c r="F75"/>
  <c r="C17" i="7"/>
  <c r="C17" i="2"/>
  <c r="C31"/>
  <c r="F43"/>
  <c r="C60"/>
  <c r="C86"/>
  <c r="F100"/>
  <c r="C117"/>
  <c r="C137"/>
  <c r="C102"/>
  <c r="F92"/>
  <c r="F93"/>
  <c r="C9" i="7"/>
  <c r="F86" i="2"/>
  <c r="C132"/>
  <c r="C123"/>
  <c r="C101"/>
  <c r="C25"/>
  <c r="C18" i="7"/>
  <c r="C23" i="2"/>
  <c r="C36"/>
  <c r="F49"/>
  <c r="C95"/>
  <c r="C14" i="7"/>
  <c r="F13" i="2"/>
  <c r="C27"/>
  <c r="F39"/>
  <c r="C55"/>
  <c r="C82"/>
  <c r="F10"/>
  <c r="C24"/>
  <c r="C38"/>
  <c r="F51"/>
  <c r="C93"/>
  <c r="F107"/>
  <c r="C124"/>
  <c r="F40"/>
  <c r="F126"/>
  <c r="F44"/>
  <c r="C116"/>
  <c r="C53"/>
  <c r="F118"/>
  <c r="F27"/>
  <c r="C109"/>
  <c r="C135"/>
  <c r="C113"/>
  <c r="F89"/>
  <c r="C56"/>
  <c r="C28" i="7"/>
  <c r="C50" l="1"/>
  <c r="F98" i="2"/>
  <c r="F47"/>
  <c r="C46" i="7"/>
  <c r="C127" i="2"/>
  <c r="F101"/>
  <c r="F30"/>
  <c r="F33"/>
  <c r="F95"/>
  <c r="C49"/>
  <c r="C45"/>
  <c r="F125"/>
  <c r="F17"/>
  <c r="C7" i="7"/>
  <c r="C11"/>
  <c r="F82" i="2"/>
  <c r="C22" i="7"/>
  <c r="C111" i="2"/>
  <c r="F104"/>
  <c r="F74"/>
  <c r="C7"/>
  <c r="F112"/>
  <c r="F50"/>
  <c r="C53" i="7"/>
  <c r="F88" i="2"/>
  <c r="C37"/>
  <c r="C81"/>
  <c r="C16" i="7"/>
  <c r="C38"/>
  <c r="F117" i="2"/>
  <c r="C28"/>
  <c r="F23"/>
  <c r="C13"/>
  <c r="C74"/>
  <c r="F7"/>
  <c r="F41"/>
  <c r="C121"/>
  <c r="C52"/>
  <c r="F36"/>
  <c r="C19"/>
  <c r="C100"/>
  <c r="C27" i="7"/>
  <c r="C89" i="2"/>
  <c r="C130"/>
  <c r="C49" i="7" l="1"/>
  <c r="C15"/>
  <c r="C21"/>
  <c r="C26" s="1"/>
  <c r="F73" i="2"/>
  <c r="F109" s="1"/>
  <c r="C57" i="7"/>
  <c r="C62" s="1"/>
  <c r="C66" s="1"/>
  <c r="C72" s="1"/>
  <c r="C73" s="1"/>
  <c r="C75" s="1"/>
  <c r="C83" s="1"/>
  <c r="C6" i="2"/>
  <c r="C63" s="1"/>
  <c r="C73"/>
  <c r="C141" s="1"/>
  <c r="F6"/>
  <c r="F63" s="1"/>
  <c r="C59" i="7"/>
  <c r="C143" i="2" l="1"/>
  <c r="F137"/>
  <c r="F136"/>
  <c r="F135" l="1"/>
  <c r="F111" s="1"/>
  <c r="F141" l="1"/>
  <c r="C12" i="9" s="1"/>
  <c r="C13" s="1"/>
  <c r="C14" s="1"/>
  <c r="F143" i="2"/>
  <c r="F145" s="1"/>
  <c r="C15" i="9" l="1"/>
  <c r="C19" s="1"/>
  <c r="C20" s="1"/>
  <c r="D20"/>
</calcChain>
</file>

<file path=xl/sharedStrings.xml><?xml version="1.0" encoding="utf-8"?>
<sst xmlns="http://schemas.openxmlformats.org/spreadsheetml/2006/main" count="5844" uniqueCount="2411">
  <si>
    <t>DÖNEN VARLIKLAR</t>
  </si>
  <si>
    <t>DURAN VARLIKLAR</t>
  </si>
  <si>
    <t>DURAN VARLIKLAR TOPLAMI</t>
  </si>
  <si>
    <t>AKTİF (VARLIKLAR) TOPLAMI</t>
  </si>
  <si>
    <t>ÖZKAYNAKLAR</t>
  </si>
  <si>
    <t>ÖZKAYNAKLAR TOPLAMI</t>
  </si>
  <si>
    <t>KISA VADELİ YABANCI KAYNAKLAR</t>
  </si>
  <si>
    <t>UZUN VADELİ YABANCI KAYNAKLAR</t>
  </si>
  <si>
    <t>Cari Dönem</t>
  </si>
  <si>
    <t>T O P L A M</t>
  </si>
  <si>
    <t>B A K İ Y E</t>
  </si>
  <si>
    <t>Hesap Kodu</t>
  </si>
  <si>
    <t>Hesap Adı</t>
  </si>
  <si>
    <t>B O R Ç</t>
  </si>
  <si>
    <t>A L A C A K</t>
  </si>
  <si>
    <t>ALINAN ÇEKLER</t>
  </si>
  <si>
    <t>BANKALAR</t>
  </si>
  <si>
    <t>ALACAK SENETLERİ</t>
  </si>
  <si>
    <t>DİĞER ÇEŞİTLİ ALACAKLAR</t>
  </si>
  <si>
    <t>GELECEK AYLARA AİT GİDERLER</t>
  </si>
  <si>
    <t>İŞ AVANSLARI</t>
  </si>
  <si>
    <t>TAŞITLAR</t>
  </si>
  <si>
    <t>DEMİRBAŞLAR</t>
  </si>
  <si>
    <t>BİRİKMİŞ AMORTİSMANLAR (-)</t>
  </si>
  <si>
    <t>HAKLAR</t>
  </si>
  <si>
    <t>GELECEK YILLARA AİT GİDERLER</t>
  </si>
  <si>
    <t>SATICILAR</t>
  </si>
  <si>
    <t>DİĞER TİCARİ BORÇLAR</t>
  </si>
  <si>
    <t>ORTAKLARA BORÇLAR</t>
  </si>
  <si>
    <t>DİĞER ÇEŞİTLİ BORÇLAR</t>
  </si>
  <si>
    <t>ÖDENECEK VERGİ VE FONLAR</t>
  </si>
  <si>
    <t>ÖDENECEK SOSYAL GÜVENLİK KESİNTİLER</t>
  </si>
  <si>
    <t>SERMAYE</t>
  </si>
  <si>
    <t>ÖDENMEMİŞ SERMAYE (-)</t>
  </si>
  <si>
    <t>DÖNEM NET ZARARI (-)</t>
  </si>
  <si>
    <t>KISA VADELİ BORÇLANMA GİDERLERİ (-)</t>
  </si>
  <si>
    <t>DÖNEM KARI VEYA ZARARI</t>
  </si>
  <si>
    <t>DÖNEM NET KARI VEYA ZARARI</t>
  </si>
  <si>
    <t>GENEL YÖNETİM GİDERLERİ</t>
  </si>
  <si>
    <t>FİNANSMAN GİDERLERİ</t>
  </si>
  <si>
    <t>FİNANSMAN GİDERLERİ YANSITMA HESABI</t>
  </si>
  <si>
    <t>T O P L A M  :</t>
  </si>
  <si>
    <t>100A</t>
  </si>
  <si>
    <t>101A</t>
  </si>
  <si>
    <t>102A</t>
  </si>
  <si>
    <t>103A</t>
  </si>
  <si>
    <t>108A</t>
  </si>
  <si>
    <t>110A</t>
  </si>
  <si>
    <t>111A</t>
  </si>
  <si>
    <t>112A</t>
  </si>
  <si>
    <t>118A</t>
  </si>
  <si>
    <t>119A</t>
  </si>
  <si>
    <t>1A</t>
  </si>
  <si>
    <t>10A</t>
  </si>
  <si>
    <t>11A</t>
  </si>
  <si>
    <t>12A</t>
  </si>
  <si>
    <t>120A</t>
  </si>
  <si>
    <t>121A</t>
  </si>
  <si>
    <t>122A</t>
  </si>
  <si>
    <t>124A</t>
  </si>
  <si>
    <t>126A</t>
  </si>
  <si>
    <t>127A</t>
  </si>
  <si>
    <t>128A</t>
  </si>
  <si>
    <t>129A</t>
  </si>
  <si>
    <t>13A</t>
  </si>
  <si>
    <t>131A</t>
  </si>
  <si>
    <t>132A</t>
  </si>
  <si>
    <t>133A</t>
  </si>
  <si>
    <t>135A</t>
  </si>
  <si>
    <t>136A</t>
  </si>
  <si>
    <t>137A</t>
  </si>
  <si>
    <t>138A</t>
  </si>
  <si>
    <t>139A</t>
  </si>
  <si>
    <t>15A</t>
  </si>
  <si>
    <t>150A</t>
  </si>
  <si>
    <t>151A</t>
  </si>
  <si>
    <t>152A</t>
  </si>
  <si>
    <t>153A</t>
  </si>
  <si>
    <t>157A</t>
  </si>
  <si>
    <t>158A</t>
  </si>
  <si>
    <t>159A</t>
  </si>
  <si>
    <t>17A</t>
  </si>
  <si>
    <t>170A</t>
  </si>
  <si>
    <t>178A</t>
  </si>
  <si>
    <t>179A</t>
  </si>
  <si>
    <t>18A</t>
  </si>
  <si>
    <t>180A</t>
  </si>
  <si>
    <t>181A</t>
  </si>
  <si>
    <t>19A</t>
  </si>
  <si>
    <t>190A</t>
  </si>
  <si>
    <t>191A</t>
  </si>
  <si>
    <t>192A</t>
  </si>
  <si>
    <t>193A</t>
  </si>
  <si>
    <t>196A</t>
  </si>
  <si>
    <t>197A</t>
  </si>
  <si>
    <t>198A</t>
  </si>
  <si>
    <t>199A</t>
  </si>
  <si>
    <t>DİĞER HAZIR DEĞERLER</t>
  </si>
  <si>
    <t>HİSSE SENETLERİ</t>
  </si>
  <si>
    <t>ALICILAR</t>
  </si>
  <si>
    <t>ALACAK SENETLERİ REESKONTU (-)</t>
  </si>
  <si>
    <t>KAZANILMAMIŞ FİNANSAL KİRALAMA FAİZ</t>
  </si>
  <si>
    <t>VERİLEN DEPOZİTO VE TEMİNATLAR</t>
  </si>
  <si>
    <t>ŞÜPHELİ TİCARİ ALACAKLAR</t>
  </si>
  <si>
    <t>ŞÜPHELİ TİCARİ ALACAKLAR KARŞILIĞI</t>
  </si>
  <si>
    <t>ŞÜPHELİ ALACAKLAR KARŞILIĞI (-)</t>
  </si>
  <si>
    <t>ORTAKLARDAN ALACAKLAR</t>
  </si>
  <si>
    <t>İŞTİRAKLERDEN ALACAKLAR</t>
  </si>
  <si>
    <t>BAĞLI ORTAKLIKLARDAN ALACAKLAR</t>
  </si>
  <si>
    <t>PERSONELDEN ALACAKLAR</t>
  </si>
  <si>
    <t>DİĞER ALACAK SENETLERİ REESKONTU (-</t>
  </si>
  <si>
    <t>ŞÜPHELİ DİĞER ALACAKLAR</t>
  </si>
  <si>
    <t>ŞÜPHELİ DİĞER ALACAKLAR KARŞILIĞI (</t>
  </si>
  <si>
    <t>STOKLAR</t>
  </si>
  <si>
    <t>İLK MADDE VE MALZEME</t>
  </si>
  <si>
    <t>TİCARİ MALLAR</t>
  </si>
  <si>
    <t>DİĞER STOKLAR</t>
  </si>
  <si>
    <t>VERİLEN SİPARİŞ AVANSLARI</t>
  </si>
  <si>
    <t>YILLARA YAYGIN İNŞAAT VE ONARIM MAL</t>
  </si>
  <si>
    <t>YILLARA YAYGIN İNŞAAT ENFLASYON DÜZ</t>
  </si>
  <si>
    <t>TAŞERONLARA VERİLEN AVANSLAR</t>
  </si>
  <si>
    <t>PEŞİN ÖDENEN VERGİLER VE FONLAR</t>
  </si>
  <si>
    <t>PERSONEL AVANSLARI</t>
  </si>
  <si>
    <t>DİĞER ÇEŞİTLİ DÖNEN VARLIKLAR</t>
  </si>
  <si>
    <t>BAĞLI MENKUL KIYMETLER</t>
  </si>
  <si>
    <t>İŞTİRAKLER</t>
  </si>
  <si>
    <t>İŞTİRAKLERE SERMAYE TAAHHÜTLERİ (-)</t>
  </si>
  <si>
    <t>BAĞLI ORTAKLIKLAR</t>
  </si>
  <si>
    <t>BAĞLI ORTAKLIKLARA SERMAYE TAAHHÜTL</t>
  </si>
  <si>
    <t>DİĞER MALİ DURAN VARLIKLAR</t>
  </si>
  <si>
    <t>DİĞER MALİ DURAN VARLIKLAR KARŞILIĞ</t>
  </si>
  <si>
    <t>ARAZİ VE ARSALAR</t>
  </si>
  <si>
    <t>BİNALAR</t>
  </si>
  <si>
    <t>TESİS, MAKİNE VE CİHAZLAR</t>
  </si>
  <si>
    <t>DİĞER MADDİ DURAN VARLIKLAR</t>
  </si>
  <si>
    <t>YAPILMAKTA OLAN YATIRIMLAR</t>
  </si>
  <si>
    <t>VERİLEN AVANSLAR</t>
  </si>
  <si>
    <t>ÖZEL MALİYETLER</t>
  </si>
  <si>
    <t>YAZILIMLAR</t>
  </si>
  <si>
    <t>DİĞER MADDİ OLMAYAN DURAN VARLIKLAR</t>
  </si>
  <si>
    <t>ARAMA GİDERLERİ</t>
  </si>
  <si>
    <t>HAZIRLIK VE GELİŞTİRME GİDERLERİ</t>
  </si>
  <si>
    <t>DİĞER ÖZEL TÜKENMEYE TABİ VARLIKLAR</t>
  </si>
  <si>
    <t>BİRİKMİŞ TÜKENME PAYLARI (-)</t>
  </si>
  <si>
    <t>GELECEK YILLAR İHTİYACI STOKLAR</t>
  </si>
  <si>
    <t>ELDEN ÇIKARILACAK STOKLAR VE MADDİ</t>
  </si>
  <si>
    <t>DİĞER ÇEŞİTLİ DURAN VARLIKLAR</t>
  </si>
  <si>
    <t>BANKA KREDİLERİ</t>
  </si>
  <si>
    <t>FİNANSAL KİRALAMA İŞLEMLERİNDEN BOR</t>
  </si>
  <si>
    <t>UZUN VADELİ KREDİLERİN ANAPARA TAKS</t>
  </si>
  <si>
    <t>ÇIKARILMIŞ BONOLAR VE SENETLER</t>
  </si>
  <si>
    <t>ÇIKARILMIŞ DİĞER MENKUL KIYMETLER</t>
  </si>
  <si>
    <t>MENKUL KIYMETLER İHRAÇ FARKI (-)</t>
  </si>
  <si>
    <t>DİĞER MALİ BORÇLAR</t>
  </si>
  <si>
    <t>BORÇ SENETLERİ</t>
  </si>
  <si>
    <t>BORÇ SENETLERİ REESKONTU (-)</t>
  </si>
  <si>
    <t>ALINAN DEPOZİTO VE TEMİNATLAR</t>
  </si>
  <si>
    <t>BAĞLI ORTAKLIKLARA BORÇLAR</t>
  </si>
  <si>
    <t>DİĞER BORÇ SENETLERİ REESKONTU (-)</t>
  </si>
  <si>
    <t>ALINAN SİPARİŞ AVANSLARI</t>
  </si>
  <si>
    <t>ALINAN DİĞER AVANSLAR</t>
  </si>
  <si>
    <t>YILLARA YAYGIN İNŞAAT VE ONARIM HAK</t>
  </si>
  <si>
    <t>ÖDENECEK DİĞER YÜKÜMLÜLÜKLER</t>
  </si>
  <si>
    <t>DÖNEM KARI VERGİ VE DİĞER YASAL YÜK</t>
  </si>
  <si>
    <t>KIDEM TAZMİNATI KARŞILIĞI</t>
  </si>
  <si>
    <t>MALİYET GİDERLERİ KARŞILIĞI</t>
  </si>
  <si>
    <t>DİĞER BORÇ VE GİDER KARŞILIKLARI</t>
  </si>
  <si>
    <t>GELECEK AYLARA AİT GELİRLER</t>
  </si>
  <si>
    <t>GİDER TAHAKKUKLARI</t>
  </si>
  <si>
    <t>HESAPLANAN KDV</t>
  </si>
  <si>
    <t>DİĞER KDV</t>
  </si>
  <si>
    <t>MERKEZ VE ŞUBELER CARİ HESABI</t>
  </si>
  <si>
    <t>SAYIM VE TESELLÜM FAZLALARI</t>
  </si>
  <si>
    <t>DİĞER ÇEŞİTLİ YABANCI KAYNAKLAR</t>
  </si>
  <si>
    <t>ÇIKARILMIŞ TAHVİLLER</t>
  </si>
  <si>
    <t>GELECEK YILLARA AİT GELİRLER</t>
  </si>
  <si>
    <t>GELECEK YILLARA ERTELENEN VEYA TERK</t>
  </si>
  <si>
    <t>TESİSE KATILMA PAYLARI</t>
  </si>
  <si>
    <t>DİĞER ÇEŞİTLİ UZUN VADELİ YABANCI K</t>
  </si>
  <si>
    <t>HİSSE SENEDİ İPTAL KARLARI</t>
  </si>
  <si>
    <t>İŞTİRAKLER YENİDEN DEĞERLEME ARTIŞL</t>
  </si>
  <si>
    <t>DİĞER SERMAYE YEDEKLERİ</t>
  </si>
  <si>
    <t>YASAL YEDEKLER</t>
  </si>
  <si>
    <t>STATÜ YEDEKLERİ</t>
  </si>
  <si>
    <t>OLAĞANÜSTÜ YEDEKLER</t>
  </si>
  <si>
    <t>DİĞER KAR YEDEKLERİ</t>
  </si>
  <si>
    <t>ÖZEL FONLAR</t>
  </si>
  <si>
    <t>GEÇMİŞ YILLAR KARLARI</t>
  </si>
  <si>
    <t>GEÇMİŞ YILLAR ZARARLARI</t>
  </si>
  <si>
    <t>DÖNEM NET KARI</t>
  </si>
  <si>
    <t>YURTDIŞI SATIŞLAR</t>
  </si>
  <si>
    <t>DİĞER GELİRLER</t>
  </si>
  <si>
    <t>SATIŞ İSKONTOLARI (-)</t>
  </si>
  <si>
    <t>DİĞER İNDİRİMLER (-)</t>
  </si>
  <si>
    <t>SATILAN MAMULLER MALİYETİ (-)</t>
  </si>
  <si>
    <t>SATILAN HİZMET MALİYETİ (-)</t>
  </si>
  <si>
    <t>DİĞER SATIŞLARIN MALİYETİ (-)</t>
  </si>
  <si>
    <t>PAZARLAMA, SATIŞ VE DAĞITIM GİDERLE</t>
  </si>
  <si>
    <t>İŞTİRAKLERDEN TEMETTÜ GELİRLERİ</t>
  </si>
  <si>
    <t>BAĞLI ORTAKLIKLARDAN TEMETTÜ GELİRL</t>
  </si>
  <si>
    <t>FAİZ GELİRLERİ</t>
  </si>
  <si>
    <t>KOMİSYON GELİRLERİ</t>
  </si>
  <si>
    <t>KONUSU KALMAYAN KARŞILIKLAR</t>
  </si>
  <si>
    <t>MENKUL KIYMET SATIŞ KARLARI</t>
  </si>
  <si>
    <t>KAMBİYO KARLARI</t>
  </si>
  <si>
    <t>REESKONT FAİZ GELİRLERİ</t>
  </si>
  <si>
    <t>KOMİSYON GİDERLERİ (-)</t>
  </si>
  <si>
    <t>KARŞILIK GİDERLERİ (-)</t>
  </si>
  <si>
    <t>MENKUL KIYMET SATIŞ ZARARLARI (-)</t>
  </si>
  <si>
    <t>KAMBİYO ZARARLARI (-)</t>
  </si>
  <si>
    <t>REESKONT FAİZ GİDERLERİ (-)</t>
  </si>
  <si>
    <t>UZUN VADELİ BORÇLANMA GİDERLERİ (-)</t>
  </si>
  <si>
    <t>ÖNCEKİ DÖNEM GELİR VE KARLARI</t>
  </si>
  <si>
    <t>ÇALIŞMAYAN KISIM GİDER VE ZARARLARI</t>
  </si>
  <si>
    <t>MALİYET MUHASEBESİ YANSITMA HESABI</t>
  </si>
  <si>
    <t>DİREKT İLK MADDE VE MALZEME GİDERLE</t>
  </si>
  <si>
    <t>DİREKT İLK MADDE VE MALZEME YANSITM</t>
  </si>
  <si>
    <t>DİREKT İLK MADDE VE MALZEME FİYAT F</t>
  </si>
  <si>
    <t>DİREKT İLK MADDE VE MALZEME MİKTAR</t>
  </si>
  <si>
    <t>DİREKT İŞÇİLİK GİDERLERİ</t>
  </si>
  <si>
    <t>DİREKT İŞÇİLİK GİDERLERİ YANSITMA H</t>
  </si>
  <si>
    <t>GENEL ÜRETİM GİDERLERİ</t>
  </si>
  <si>
    <t>195A</t>
  </si>
  <si>
    <t>2A</t>
  </si>
  <si>
    <t>220A</t>
  </si>
  <si>
    <t>221A</t>
  </si>
  <si>
    <t>222A</t>
  </si>
  <si>
    <t>224A</t>
  </si>
  <si>
    <t>226A</t>
  </si>
  <si>
    <t>229A</t>
  </si>
  <si>
    <t>231A</t>
  </si>
  <si>
    <t>232A</t>
  </si>
  <si>
    <t>233A</t>
  </si>
  <si>
    <t>235A</t>
  </si>
  <si>
    <t>236A</t>
  </si>
  <si>
    <t>237A</t>
  </si>
  <si>
    <t>239A</t>
  </si>
  <si>
    <t>240A</t>
  </si>
  <si>
    <t>241A</t>
  </si>
  <si>
    <t>242A</t>
  </si>
  <si>
    <t>243A</t>
  </si>
  <si>
    <t>244A</t>
  </si>
  <si>
    <t>245A</t>
  </si>
  <si>
    <t>246A</t>
  </si>
  <si>
    <t>247A</t>
  </si>
  <si>
    <t>249A</t>
  </si>
  <si>
    <t>250A</t>
  </si>
  <si>
    <t>251A</t>
  </si>
  <si>
    <t>252A</t>
  </si>
  <si>
    <t>253A</t>
  </si>
  <si>
    <t>254A</t>
  </si>
  <si>
    <t>255A</t>
  </si>
  <si>
    <t>256A</t>
  </si>
  <si>
    <t>257A</t>
  </si>
  <si>
    <t>258A</t>
  </si>
  <si>
    <t>259A</t>
  </si>
  <si>
    <t>260A</t>
  </si>
  <si>
    <t>264A</t>
  </si>
  <si>
    <t>267A</t>
  </si>
  <si>
    <t>268A</t>
  </si>
  <si>
    <t>269A</t>
  </si>
  <si>
    <t>271A</t>
  </si>
  <si>
    <t>272A</t>
  </si>
  <si>
    <t>277A</t>
  </si>
  <si>
    <t>278A</t>
  </si>
  <si>
    <t>279A</t>
  </si>
  <si>
    <t>280A</t>
  </si>
  <si>
    <t>281A</t>
  </si>
  <si>
    <t>291A</t>
  </si>
  <si>
    <t>292A</t>
  </si>
  <si>
    <t>293A</t>
  </si>
  <si>
    <t>294A</t>
  </si>
  <si>
    <t>295A</t>
  </si>
  <si>
    <t>297A</t>
  </si>
  <si>
    <t>298A</t>
  </si>
  <si>
    <t>299A</t>
  </si>
  <si>
    <t>3A</t>
  </si>
  <si>
    <t>300A</t>
  </si>
  <si>
    <t>301A</t>
  </si>
  <si>
    <t>302A</t>
  </si>
  <si>
    <t>303A</t>
  </si>
  <si>
    <t>304A</t>
  </si>
  <si>
    <t>305A</t>
  </si>
  <si>
    <t>306A</t>
  </si>
  <si>
    <t>308A</t>
  </si>
  <si>
    <t>309A</t>
  </si>
  <si>
    <t>320A</t>
  </si>
  <si>
    <t>321A</t>
  </si>
  <si>
    <t>322A</t>
  </si>
  <si>
    <t>326A</t>
  </si>
  <si>
    <t>329A</t>
  </si>
  <si>
    <t>331A</t>
  </si>
  <si>
    <t>332A</t>
  </si>
  <si>
    <t>333A</t>
  </si>
  <si>
    <t>335A</t>
  </si>
  <si>
    <t>336A</t>
  </si>
  <si>
    <t>337A</t>
  </si>
  <si>
    <t>340A</t>
  </si>
  <si>
    <t>349A</t>
  </si>
  <si>
    <t>350A</t>
  </si>
  <si>
    <t>358A</t>
  </si>
  <si>
    <t>360A</t>
  </si>
  <si>
    <t>361A</t>
  </si>
  <si>
    <t>368A</t>
  </si>
  <si>
    <t>369A</t>
  </si>
  <si>
    <t>370A</t>
  </si>
  <si>
    <t>371A</t>
  </si>
  <si>
    <t>372A</t>
  </si>
  <si>
    <t>373A</t>
  </si>
  <si>
    <t>379A</t>
  </si>
  <si>
    <t>380A</t>
  </si>
  <si>
    <t>381A</t>
  </si>
  <si>
    <t>391A</t>
  </si>
  <si>
    <t>392A</t>
  </si>
  <si>
    <t>393A</t>
  </si>
  <si>
    <t>397A</t>
  </si>
  <si>
    <t>399A</t>
  </si>
  <si>
    <t>4A</t>
  </si>
  <si>
    <t>400A</t>
  </si>
  <si>
    <t>401A</t>
  </si>
  <si>
    <t>402A</t>
  </si>
  <si>
    <t>405A</t>
  </si>
  <si>
    <t>407A</t>
  </si>
  <si>
    <t>408A</t>
  </si>
  <si>
    <t>409A</t>
  </si>
  <si>
    <t>420A</t>
  </si>
  <si>
    <t>421A</t>
  </si>
  <si>
    <t>422A</t>
  </si>
  <si>
    <t>426A</t>
  </si>
  <si>
    <t>429A</t>
  </si>
  <si>
    <t>431A</t>
  </si>
  <si>
    <t>432A</t>
  </si>
  <si>
    <t>433A</t>
  </si>
  <si>
    <t>436A</t>
  </si>
  <si>
    <t>437A</t>
  </si>
  <si>
    <t>438A</t>
  </si>
  <si>
    <t>440A</t>
  </si>
  <si>
    <t>449A</t>
  </si>
  <si>
    <t>472A</t>
  </si>
  <si>
    <t>479A</t>
  </si>
  <si>
    <t>480A</t>
  </si>
  <si>
    <t>481A</t>
  </si>
  <si>
    <t>492A</t>
  </si>
  <si>
    <t>493A</t>
  </si>
  <si>
    <t>499A</t>
  </si>
  <si>
    <t>5A</t>
  </si>
  <si>
    <t>500A</t>
  </si>
  <si>
    <t>501A</t>
  </si>
  <si>
    <t>502A</t>
  </si>
  <si>
    <t>503A</t>
  </si>
  <si>
    <t>520A</t>
  </si>
  <si>
    <t>521A</t>
  </si>
  <si>
    <t>522A</t>
  </si>
  <si>
    <t>523A</t>
  </si>
  <si>
    <t>529A</t>
  </si>
  <si>
    <t>540A</t>
  </si>
  <si>
    <t>541A</t>
  </si>
  <si>
    <t>542A</t>
  </si>
  <si>
    <t>548A</t>
  </si>
  <si>
    <t>549A</t>
  </si>
  <si>
    <t>570A</t>
  </si>
  <si>
    <t>580A</t>
  </si>
  <si>
    <t>590A</t>
  </si>
  <si>
    <t>591A</t>
  </si>
  <si>
    <t>600A</t>
  </si>
  <si>
    <t>601A</t>
  </si>
  <si>
    <t>602A</t>
  </si>
  <si>
    <t>610A</t>
  </si>
  <si>
    <t>611A</t>
  </si>
  <si>
    <t>612A</t>
  </si>
  <si>
    <t>620A</t>
  </si>
  <si>
    <t>621A</t>
  </si>
  <si>
    <t>622A</t>
  </si>
  <si>
    <t>623A</t>
  </si>
  <si>
    <t>630A</t>
  </si>
  <si>
    <t>631A</t>
  </si>
  <si>
    <t>632A</t>
  </si>
  <si>
    <t>640A</t>
  </si>
  <si>
    <t>641A</t>
  </si>
  <si>
    <t>642A</t>
  </si>
  <si>
    <t>643A</t>
  </si>
  <si>
    <t>644A</t>
  </si>
  <si>
    <t>645A</t>
  </si>
  <si>
    <t>646A</t>
  </si>
  <si>
    <t>647A</t>
  </si>
  <si>
    <t>648A</t>
  </si>
  <si>
    <t>649A</t>
  </si>
  <si>
    <t>653A</t>
  </si>
  <si>
    <t>654A</t>
  </si>
  <si>
    <t>655A</t>
  </si>
  <si>
    <t>656A</t>
  </si>
  <si>
    <t>657A</t>
  </si>
  <si>
    <t>659A</t>
  </si>
  <si>
    <t>660A</t>
  </si>
  <si>
    <t>661A</t>
  </si>
  <si>
    <t>671A</t>
  </si>
  <si>
    <t>679A</t>
  </si>
  <si>
    <t>680A</t>
  </si>
  <si>
    <t>681A</t>
  </si>
  <si>
    <t>689A</t>
  </si>
  <si>
    <t>DÖNEN VARLIKLAR TOPLAMI</t>
  </si>
  <si>
    <t>30A</t>
  </si>
  <si>
    <t>32A</t>
  </si>
  <si>
    <t>33A</t>
  </si>
  <si>
    <t>34A</t>
  </si>
  <si>
    <t>35A</t>
  </si>
  <si>
    <t>36A</t>
  </si>
  <si>
    <t>37A</t>
  </si>
  <si>
    <t>38A</t>
  </si>
  <si>
    <t>39A</t>
  </si>
  <si>
    <t>22A</t>
  </si>
  <si>
    <t>23A</t>
  </si>
  <si>
    <t>24A</t>
  </si>
  <si>
    <t>25A</t>
  </si>
  <si>
    <t>26A</t>
  </si>
  <si>
    <t>261A</t>
  </si>
  <si>
    <t>262A</t>
  </si>
  <si>
    <t>263A</t>
  </si>
  <si>
    <t>27A</t>
  </si>
  <si>
    <t>28A</t>
  </si>
  <si>
    <t>29A</t>
  </si>
  <si>
    <t>UZUN VADELİ YABANCI KAYNAKLAR TOPLAMI</t>
  </si>
  <si>
    <t>40A</t>
  </si>
  <si>
    <t>42A</t>
  </si>
  <si>
    <t>43A</t>
  </si>
  <si>
    <t>44A</t>
  </si>
  <si>
    <t>47A</t>
  </si>
  <si>
    <t>48A</t>
  </si>
  <si>
    <t>49A</t>
  </si>
  <si>
    <t>50A</t>
  </si>
  <si>
    <t>52A</t>
  </si>
  <si>
    <t>54A</t>
  </si>
  <si>
    <t>57A</t>
  </si>
  <si>
    <t>58A</t>
  </si>
  <si>
    <t>59A</t>
  </si>
  <si>
    <t xml:space="preserve">  Cari Dönem</t>
  </si>
  <si>
    <t xml:space="preserve">   A-BRÜT SATIŞLAR</t>
  </si>
  <si>
    <t xml:space="preserve">        1-Yurt İçi Satışlar</t>
  </si>
  <si>
    <t xml:space="preserve">        2-Yurt Dışı Satışlar</t>
  </si>
  <si>
    <t xml:space="preserve">        3-Diğer Gelirler</t>
  </si>
  <si>
    <t xml:space="preserve">   B-SATIŞ İNDİRİMLERİ  ( - )</t>
  </si>
  <si>
    <t xml:space="preserve">        1-Satıştan İadeler  ( - )</t>
  </si>
  <si>
    <t xml:space="preserve">        2-Satıştan İskontalar  ( - )</t>
  </si>
  <si>
    <t xml:space="preserve">        3-Diğer İndirimler  ( - )</t>
  </si>
  <si>
    <t xml:space="preserve">   C-NET SATIŞLAR</t>
  </si>
  <si>
    <t xml:space="preserve">   D-SATIŞLARIN MALİYETİ  ( - )</t>
  </si>
  <si>
    <t xml:space="preserve">        1-Satılan Mamüller Maliyeti  ( - )</t>
  </si>
  <si>
    <t xml:space="preserve">        2-Satılan Ticari Mallar Maliyeti  ( - )</t>
  </si>
  <si>
    <t xml:space="preserve">        3-Satılan Hizmet Maliyeti  ( - )</t>
  </si>
  <si>
    <t xml:space="preserve">        4-Diğer Satışların Maliyeti  ( - )</t>
  </si>
  <si>
    <t xml:space="preserve">      BRÜT SATIŞ KARI VEYA ZARARI</t>
  </si>
  <si>
    <t xml:space="preserve">   E-FAALİYET GİDERLERİ</t>
  </si>
  <si>
    <t xml:space="preserve">         1-Araştırma ve Geliştirme Giderleri  ( - )</t>
  </si>
  <si>
    <t xml:space="preserve">         2-Pazarlama, Satış ve Dağıtım Giderleri (-)</t>
  </si>
  <si>
    <t xml:space="preserve">         3-Genel Yönetim Giderleri  ( - )</t>
  </si>
  <si>
    <t xml:space="preserve">       FAALİYET KARI VEYA ZARARI</t>
  </si>
  <si>
    <t xml:space="preserve">   F-DİĞER FAALİYETLERDEN OLAĞAN GELİR VE KARLAR</t>
  </si>
  <si>
    <t xml:space="preserve">          1-İştiraklerden Temettü Gelirleri</t>
  </si>
  <si>
    <t xml:space="preserve">          2-Bağlı Ortaklıklardan Temettü Gelirleri</t>
  </si>
  <si>
    <t xml:space="preserve">          3-Faiz Gelirleri</t>
  </si>
  <si>
    <t xml:space="preserve">          4-Komisyon Gelirleri</t>
  </si>
  <si>
    <t xml:space="preserve">          5-Konusu Kalmayan Karşılıklar</t>
  </si>
  <si>
    <t xml:space="preserve">          6-Menkul Kıymet Satış Karları</t>
  </si>
  <si>
    <t xml:space="preserve">          7-Kambiyo Karları</t>
  </si>
  <si>
    <t xml:space="preserve">          8-Reeskont Faiz Gelirleri</t>
  </si>
  <si>
    <t xml:space="preserve">          9-Enflasyon Düzeltmesi Karları</t>
  </si>
  <si>
    <t xml:space="preserve">   G-DİĞER FAAL. OLAĞAN GİDER VE ZARARLAR(-)</t>
  </si>
  <si>
    <t xml:space="preserve">           1-Komisyon Giderleri  ( - )</t>
  </si>
  <si>
    <t xml:space="preserve">           2-Karşılık Giderleri  ( - )</t>
  </si>
  <si>
    <t xml:space="preserve">           3-Menkul Kıymet Satış Zararları  ( - )</t>
  </si>
  <si>
    <t xml:space="preserve">           4-Kambiyo Zararları  ( - )</t>
  </si>
  <si>
    <t xml:space="preserve">           5-Reeskont Faiz Giderleri  ( - )</t>
  </si>
  <si>
    <t xml:space="preserve">   H-FİNANSMAN GİDERLERİ  ( - )</t>
  </si>
  <si>
    <t xml:space="preserve">           1-Kısa Vadeli Borçlanma Giderleri  ( - )</t>
  </si>
  <si>
    <t xml:space="preserve">           2-Uzun Vadeli Borçlanma Giderleri  ( - )</t>
  </si>
  <si>
    <t xml:space="preserve">        OLAĞAN KAR VEYA ZARAR</t>
  </si>
  <si>
    <t xml:space="preserve">   I-OLAĞAN DIŞI GELİR VE KARLAR</t>
  </si>
  <si>
    <t xml:space="preserve">           1-Önceki Dönem Gelir ve Karları </t>
  </si>
  <si>
    <t xml:space="preserve">           2-Diğer Olağandışı Gelir ve Karlar</t>
  </si>
  <si>
    <t xml:space="preserve">   J-OLAĞANDIŞI GİDER VE ZARARLAR  ( - )</t>
  </si>
  <si>
    <t xml:space="preserve">           1-Çalışmayan Kısım Gider ve Zararları  ( - )</t>
  </si>
  <si>
    <t xml:space="preserve">           2-Önceki Dönem Gider ve Zararları  ( - )</t>
  </si>
  <si>
    <t xml:space="preserve">           3-Diğer Olağandışı Gider ve Zararlar  ( - )</t>
  </si>
  <si>
    <t xml:space="preserve">         DÖNEM KARI VEYA ZARARI</t>
  </si>
  <si>
    <t xml:space="preserve">   K-DÖNEM KARI VERGİ VE DİĞER YASAL YÜK. KARŞ.(-)</t>
  </si>
  <si>
    <t xml:space="preserve">         DÖNEM NET KARI VEYA ZARARI</t>
  </si>
  <si>
    <t>K.VADELİ YABANCI KAYN. TOPLAMI</t>
  </si>
  <si>
    <t>307A</t>
  </si>
  <si>
    <t>PASİF (KAYNAKLAR) TOPLAMI</t>
  </si>
  <si>
    <t>YARI MAMÜLLER - ÜRETİM</t>
  </si>
  <si>
    <t>DEVREDEN KATMA DEĞER VERGİSİ</t>
  </si>
  <si>
    <t>İNDİRİLECEK KATMA DEĞER VERGİSİ</t>
  </si>
  <si>
    <t>PERSONELE BORÇLAR (KISA VADELİ Y.K.</t>
  </si>
  <si>
    <t>ARAŞTIRMA VE GELİŞTİRME GİDERLERİ (</t>
  </si>
  <si>
    <t>GENEL YÖNETİM GİDERLERİ (-)</t>
  </si>
  <si>
    <t>FAALİYETLE İLGİLİ DİĞER GELİR VE KA</t>
  </si>
  <si>
    <t>DİĞER OLAĞANDIŞI GELİR VE KARLAR</t>
  </si>
  <si>
    <t>DİĞER OLAĞANDIŞI GİDER VE ZARARLAR</t>
  </si>
  <si>
    <t>KASA HESABI</t>
  </si>
  <si>
    <t>VERİLEN ÇEKLER VE ÖDEME EMİRLERİ (-</t>
  </si>
  <si>
    <t>ÖZEL KESİM TAHVİL SENET VE BONOLARI</t>
  </si>
  <si>
    <t>KAMU KESİMİ TAHVİL SENET VE BONOLAR</t>
  </si>
  <si>
    <t>DİĞER TİCARİ ALACAKLAR</t>
  </si>
  <si>
    <t>MAMÜLLER</t>
  </si>
  <si>
    <t>İŞLETME DIŞINDAKİ STOKLAR</t>
  </si>
  <si>
    <t>STOK DEĞER DÜŞÜKLÜĞÜ KARŞILIĞI (-)</t>
  </si>
  <si>
    <t>GEL. AY.AİT GELİR TAHAKKUKLARI</t>
  </si>
  <si>
    <t>DİĞER KATMA DEĞER VERGİSİ</t>
  </si>
  <si>
    <t>SAYIM VE TESELLÜM NOKSANLARI</t>
  </si>
  <si>
    <t>DİĞER DÖNEN VARLIKLAR KARŞILIĞI (-)</t>
  </si>
  <si>
    <t>BAĞLI MENK.KIYMETLER DEĞER DÜŞÜK.KA</t>
  </si>
  <si>
    <t>İŞTİRAKLER SERMAYE PAYLARI DEĞ.DÜŞÜ</t>
  </si>
  <si>
    <t>BAĞLI ORTAKLIK.SERM.PAYLARI DEĞ.DÜŞ</t>
  </si>
  <si>
    <t>YER ALTI VE YER ÜSTÜ DÜZENLERİ</t>
  </si>
  <si>
    <t>GEL.YIL.AİT GELİR TAHAKKUKLARI</t>
  </si>
  <si>
    <t>ERTELENMİŞ VERGİ ALACAĞI</t>
  </si>
  <si>
    <t>GELECEK YILLARDA İNDİRİLECEK KATMA</t>
  </si>
  <si>
    <t>ERTELENMİŞ FİNANSAL KİRALAMA BORÇLA</t>
  </si>
  <si>
    <t>TAHVİL ANAPARA BORÇ, TAKSİT VE FAİZ</t>
  </si>
  <si>
    <t>İŞTİRAKLERE BORÇLAR</t>
  </si>
  <si>
    <t>VADESİ GEÇMİŞ,ERTELEN.VEYA TAKSİTLE</t>
  </si>
  <si>
    <t>DÖN.KARININ PEŞ.ÖDENEN VERGİ VE DİĞ</t>
  </si>
  <si>
    <t>ERTELENMİŞ GELİRLER</t>
  </si>
  <si>
    <t>UZUN VADELİ BANKA KREDİLERİ</t>
  </si>
  <si>
    <t>KAMUYA AİT ERTEL./TAKSİTLENDİR.BORÇ</t>
  </si>
  <si>
    <t>ERTELENMİŞ VERGİ BORCU</t>
  </si>
  <si>
    <t>ENFLASYON DÜZELTMESİ SERMAYE  OLUML</t>
  </si>
  <si>
    <t>ENFLASYON DÜZELTMESİ SERMAYE OLUMSU</t>
  </si>
  <si>
    <t>HİSSE SENETLERİ İHRAÇ PRİMLERİ</t>
  </si>
  <si>
    <t>M.D.V. YENİDEN DEĞERLEME ARTIŞLARI</t>
  </si>
  <si>
    <t>MALİYET BEDELİ ARTIŞLARI FONU</t>
  </si>
  <si>
    <t>UFRS İLK GEÇİŞ FARKL.KARLAR</t>
  </si>
  <si>
    <t>UFRS İLK GEÇİŞ FARKLARINDAN ZARARLA</t>
  </si>
  <si>
    <t>GELİR TABLOSU HESAPLARI</t>
  </si>
  <si>
    <t>YURTİÇİ SATIŞLAR</t>
  </si>
  <si>
    <t>SATIŞLARDAN İADELER (-)</t>
  </si>
  <si>
    <t>SATIŞLARIN MALİYETİ (-)</t>
  </si>
  <si>
    <t>SATILAN TİCARİ MALLARIN MALİYETİ (-</t>
  </si>
  <si>
    <t>ENF.FARK GELİR HS.</t>
  </si>
  <si>
    <t>FAİZ GİDERLERİ</t>
  </si>
  <si>
    <t>ENF.FARK GİDER HS.</t>
  </si>
  <si>
    <t>DİĞER GİDER VE ZARARLAR (-)</t>
  </si>
  <si>
    <t>ÖNCEKİ DÖNEM GİDER VE ZARARLARI</t>
  </si>
  <si>
    <t>DÖN.KARI VERGİ VE DİĞ.YASAL YÜKÜM.K</t>
  </si>
  <si>
    <t>ENF.DÜZELTME HS.</t>
  </si>
  <si>
    <t>MALİYET MUHASEBESİ BAĞLANTI HESABI</t>
  </si>
  <si>
    <t>BORCLU NAZIM HESAPLAR</t>
  </si>
  <si>
    <t>ALACAKLI NAZIM HESAPLAR</t>
  </si>
  <si>
    <t>UYUMSOFT DÜZELTME HESAPALRI</t>
  </si>
  <si>
    <t>-------------------------</t>
  </si>
  <si>
    <t>-----------------------------------</t>
  </si>
  <si>
    <t>------------------</t>
  </si>
  <si>
    <t>-------------------</t>
  </si>
  <si>
    <t>265A</t>
  </si>
  <si>
    <t>G E N E L     M İ Z A N</t>
  </si>
  <si>
    <t>691A</t>
  </si>
  <si>
    <t>GENEL ÜRETİM GİDERLERİ YANSITMA</t>
  </si>
  <si>
    <t>AR-GE GİDERLERİ</t>
  </si>
  <si>
    <t>AR-GE GİDERLERİ YANSITMA</t>
  </si>
  <si>
    <t>PAZARLAMA SATIŞ DAĞITIM GİDERLERİ</t>
  </si>
  <si>
    <t>PAZARLAMA SATIŞ DAĞITIM GİDERLERİ Y</t>
  </si>
  <si>
    <t>GENEL YÖNETİM GİDERLERİ YANSITMA</t>
  </si>
  <si>
    <t>FİNANSMAN GİDER KISITLAMASI HESAPLAMA</t>
  </si>
  <si>
    <r>
      <t>Özsermeye tutarı </t>
    </r>
    <r>
      <rPr>
        <b/>
        <sz val="10"/>
        <color indexed="25"/>
        <rFont val="Arial"/>
        <family val="2"/>
        <charset val="162"/>
      </rPr>
      <t>*</t>
    </r>
  </si>
  <si>
    <t>Yabancı kaynak toplamı (Aktif-Özsermaye)</t>
  </si>
  <si>
    <r>
      <t>Özsermayeyi aşan yabancı kaynak tutarı (2-1) </t>
    </r>
    <r>
      <rPr>
        <b/>
        <sz val="10"/>
        <color indexed="25"/>
        <rFont val="Arial"/>
        <family val="2"/>
        <charset val="162"/>
      </rPr>
      <t>*</t>
    </r>
  </si>
  <si>
    <t>Aşan kısmın yabancı kaynağa oranı (3/2)</t>
  </si>
  <si>
    <t>Finansman gider tutarı (780,660,656 ..vb hesaplar)</t>
  </si>
  <si>
    <t>Örtülü sermayeye ait finansman gideri (KKEG)(örtülü sermaye var ise)</t>
  </si>
  <si>
    <t>Hesaplamada dikkate alınacak finansman gideri (5-6)</t>
  </si>
  <si>
    <t>Aşan kısma isabet eden finansman gideri (4*7)</t>
  </si>
  <si>
    <t>KKEG olacak finansman giderleri (8*%10)</t>
  </si>
  <si>
    <t>*1. satırdaki özsermaye tutarı negatif ise; 0 (sıfır) olarak değerlendirilecektir.</t>
  </si>
  <si>
    <t>*3. satırdaki tutar sıfır yada eksi olursa gider kısıtlaması yapılmayacaktır.</t>
  </si>
  <si>
    <t>Finansman Giderleri</t>
  </si>
  <si>
    <t>Yabancı kaynağın kullanım süresine bağlı olarak doğan her türlü faiz, komisyon, vade farkı, kâr payı, kur farkı, faktoring kuruluşlarına verilen iskonto bedelleri ve benzeri adlar altında yapılmış olan gider ve maliyet unsurlarından oluşur. Bu tutarların yer aldığı 780, 660, 656 hesaplar ve benzeri hesaplardaki rakamlar kısıtlamaya tabi olacak.</t>
  </si>
  <si>
    <t>Özsermaye</t>
  </si>
  <si>
    <t>Gider kısıtlamasının yapılacağı dönem itibariyle çıkarılan bilançodaki özsermaye olup, her dönem sonu itibariyle bilanço çıkarılması gerekiyor. Ör. 2021/1. Geçici için 31.03.2021 tarihli bilançodaki özsermaye dikkate alınacak.</t>
  </si>
  <si>
    <t>Yabancı Kaynaklar</t>
  </si>
  <si>
    <t>Bilançonun kısa vadeli yabancı kaynaklar ve uzun vadeli yabancı kaynaklar toplamını ifade etmekte. (Aktif-Özsermaye)</t>
  </si>
  <si>
    <t>Finansman Gider Kıstlamasına tabi olmayan giderler</t>
  </si>
  <si>
    <r>
      <t>kredi sözleşmelerine ilişkin olarak ödenen damga vergisi veya banka havale ücretlerine ilişkin ödenen banka ve sigorta muameleleri vergisi gibi bir yabancı kaynağın kullanım süresine bağlı olarak doğmayan gider ve maliyet unsurları </t>
    </r>
    <r>
      <rPr>
        <b/>
        <u/>
        <sz val="11"/>
        <color indexed="63"/>
        <rFont val="Arial"/>
        <family val="2"/>
        <charset val="162"/>
      </rPr>
      <t>gider indirimi kısıtlaması uygulamasına tabi olmayacaktır.</t>
    </r>
  </si>
  <si>
    <t>Yapılmakta Olan Yatırımlara ait finansman giderleri</t>
  </si>
  <si>
    <r>
      <t>İlgili duran varlık kullanılmaya hazır hale gelinceye kadar yatırım projelerine ilişkin olarak “Yapılmakta olan yatırımlar” hesabında izlenen tutarlar da dahil olmak üzere her türlü (teşvik belgeli veya belgesiz) amortismana tabi iktisadi kıymetler olup, bunların maliyetine eklenen finansman </t>
    </r>
    <r>
      <rPr>
        <b/>
        <u/>
        <sz val="11"/>
        <color indexed="63"/>
        <rFont val="Arial"/>
        <family val="2"/>
        <charset val="162"/>
      </rPr>
      <t>giderleri kısıtlamaya tabi olmayacak</t>
    </r>
  </si>
  <si>
    <t>Yıllara Yaygın İnşaat İşlerinde Uygulama</t>
  </si>
  <si>
    <t>Bu işlerle uğraşanların kullandıkları yabancı kaynaklara ilişkin finansman giderlerinin, işin kesin kâr veya zararının tespit edildiği yıl kazancının hesaplanmasında gider veya maliyet unsuru olarak dikkate alınması gerektiğinden, gider kısıtlamasına ilişkin uygulama da aynı dönemde yapılacaktır. Birden fazla inşaat ve onarma işinin birlikte yapılması veya yıllara sari inşaat ve onarma işlerinin yanı sıra başka işlerin de bulunması halinde, yapılan finansman giderleri hangi yılın kâr veya zarar tutarının tespitinde dikkate alınıyorsa, o yılda gider indirimi kısıtlamasına konu edilecektir.</t>
  </si>
  <si>
    <t>Gelir tablosunda yer alan doğrudan finansman giderleri kısıtlamaya tabi olacaktır. Bu giderler içinden yatırım maliyetine aktarılan tutar olursa, aktarılan tutar gider kısıtlamasına tabi olmayacak, kalan tutar kısıtlamada dikkate alınacaktır.</t>
  </si>
  <si>
    <t>780 Hesap</t>
  </si>
  <si>
    <t>660 Hesap</t>
  </si>
  <si>
    <t>656 Hesap</t>
  </si>
  <si>
    <t>TOPLAM</t>
  </si>
  <si>
    <t>FİNANSMAN GİDER KISITLAMASI HESAP TUTARLARI</t>
  </si>
  <si>
    <t>KANUNEN KABUL EDİLMEYEN GİDERLER</t>
  </si>
  <si>
    <t>Fiş Tarihi</t>
  </si>
  <si>
    <t>Fiş No</t>
  </si>
  <si>
    <t>Kar Merkezi Kodu</t>
  </si>
  <si>
    <t>Kaynak Yeri</t>
  </si>
  <si>
    <t>Açıklama</t>
  </si>
  <si>
    <t>Borç Tutarı</t>
  </si>
  <si>
    <t>Alacak Tutarı</t>
  </si>
  <si>
    <t>Bakiye</t>
  </si>
  <si>
    <t>B/A</t>
  </si>
  <si>
    <t>Özel Kod-1</t>
  </si>
  <si>
    <t>Özel Kod-2</t>
  </si>
  <si>
    <t>Döviz</t>
  </si>
  <si>
    <t>Döviz Kuru</t>
  </si>
  <si>
    <t>Döviz Borç</t>
  </si>
  <si>
    <t>Döviz Alacak</t>
  </si>
  <si>
    <t>Döviz Bakiye</t>
  </si>
  <si>
    <t>Birleştirilmiş Fiş No</t>
  </si>
  <si>
    <t>Madde No</t>
  </si>
  <si>
    <t>Gelir/Gider Kodu</t>
  </si>
  <si>
    <t>Proje Kodu</t>
  </si>
  <si>
    <t>Proje Tipi</t>
  </si>
  <si>
    <t>İşyeri Kodu</t>
  </si>
  <si>
    <t>B</t>
  </si>
  <si>
    <t>Fatura</t>
  </si>
  <si>
    <t>Sayfa No    :     1</t>
  </si>
  <si>
    <t>101-01</t>
  </si>
  <si>
    <t>PORTFÖYDEKİ ÇEKLER</t>
  </si>
  <si>
    <t>101-01-01</t>
  </si>
  <si>
    <t>CÜZDANDAKİ ÇEKLER-TL</t>
  </si>
  <si>
    <t>102-01</t>
  </si>
  <si>
    <t>VADESİZ MEVDUATLAR</t>
  </si>
  <si>
    <t>102-01-01</t>
  </si>
  <si>
    <t>VADESİZ MEVDUATLAR-TL</t>
  </si>
  <si>
    <t>102-01-03</t>
  </si>
  <si>
    <t>VADESİZ MEVDUATLAR-EUR</t>
  </si>
  <si>
    <t>120-01</t>
  </si>
  <si>
    <t>YURTİÇİ ALICILAR</t>
  </si>
  <si>
    <t>120-01-01</t>
  </si>
  <si>
    <t>YURTİÇİ ALICILAR-GRUP İÇİ</t>
  </si>
  <si>
    <t>120-01-01-01</t>
  </si>
  <si>
    <t>YURTİÇİ ALICILAR-GRUP İÇİ TL</t>
  </si>
  <si>
    <t>120-01-02</t>
  </si>
  <si>
    <t>YURTİÇİ ALICILAR-GRUP DIŞI</t>
  </si>
  <si>
    <t>120-01-02-01</t>
  </si>
  <si>
    <t>YURTİÇİ ALICILAR-GRUP DIŞI TL</t>
  </si>
  <si>
    <t>153-01</t>
  </si>
  <si>
    <t>153-01-01</t>
  </si>
  <si>
    <t>190-01</t>
  </si>
  <si>
    <t>190-01-01</t>
  </si>
  <si>
    <t>191-01</t>
  </si>
  <si>
    <t>191-01-01</t>
  </si>
  <si>
    <t>ALIMLARDAN İNDİRİLECEK K.D.V.</t>
  </si>
  <si>
    <t>195-01</t>
  </si>
  <si>
    <t>195-01-01</t>
  </si>
  <si>
    <t>İŞLETME PERSONELİ İŞ AVANSLARI</t>
  </si>
  <si>
    <t>255-01</t>
  </si>
  <si>
    <t>255-01-01</t>
  </si>
  <si>
    <t>257-01</t>
  </si>
  <si>
    <t>257-01-01</t>
  </si>
  <si>
    <t>MADDİ DURAN VARLIK BİRİKMİŞ AMORTİS</t>
  </si>
  <si>
    <t>260-01</t>
  </si>
  <si>
    <t>260-01-02</t>
  </si>
  <si>
    <t>LİSANSLAR</t>
  </si>
  <si>
    <t>268-01</t>
  </si>
  <si>
    <t>268-01-01</t>
  </si>
  <si>
    <t>MADDİ OLMAYAN DURAN VARLIK İTFA PAY</t>
  </si>
  <si>
    <t>320-01</t>
  </si>
  <si>
    <t>YURTİÇİ SATICILAR</t>
  </si>
  <si>
    <t>320-01-01</t>
  </si>
  <si>
    <t>YURTİÇİ SATICILAR-GRUP İÇİ</t>
  </si>
  <si>
    <t>320-01-01-01</t>
  </si>
  <si>
    <t>YURTİÇİ SATICILAR-GRUP İÇİ TL</t>
  </si>
  <si>
    <t>320-01-02</t>
  </si>
  <si>
    <t>YURTİÇİ SATICILAR-GRUP DIŞI</t>
  </si>
  <si>
    <t>320-01-02-01</t>
  </si>
  <si>
    <t>YURTİÇİ SATICILAR-GRUP DIŞI TL</t>
  </si>
  <si>
    <t>320-01-02-02</t>
  </si>
  <si>
    <t>YURTİÇİ SATICILAR-GRUP DIŞI USD</t>
  </si>
  <si>
    <t>335-01</t>
  </si>
  <si>
    <t>PERSONELE BORÇLAR</t>
  </si>
  <si>
    <t>335-01-01</t>
  </si>
  <si>
    <t>PERSONELE ÖDENECEK ÜCRETLER</t>
  </si>
  <si>
    <t>360-01</t>
  </si>
  <si>
    <t>ÖDENECEK ÜCRET VERGİLERİ</t>
  </si>
  <si>
    <t>360-01-01</t>
  </si>
  <si>
    <t>ÖDENECEK ÜCRET GELİR VERGİSİ</t>
  </si>
  <si>
    <t>360-01-02</t>
  </si>
  <si>
    <t>SERBEST MESLEK STOPAJLARI</t>
  </si>
  <si>
    <t>360-01-03</t>
  </si>
  <si>
    <t>ÖDENECEK ÜCRET DAMGA VERGİSİ</t>
  </si>
  <si>
    <t>360-02</t>
  </si>
  <si>
    <t>ÖDENECEK KDV-DAMGA V.</t>
  </si>
  <si>
    <t>360-02-02</t>
  </si>
  <si>
    <t>SORUMLU SIFATIYLA ÖDENECEK KDV</t>
  </si>
  <si>
    <t>361-01</t>
  </si>
  <si>
    <t>361-01-01</t>
  </si>
  <si>
    <t>S.S.K. PRİMLERİ</t>
  </si>
  <si>
    <t>361-01-02</t>
  </si>
  <si>
    <t>İŞSİZLİK SİGORTASI PRİMİ</t>
  </si>
  <si>
    <t>391-01</t>
  </si>
  <si>
    <t>MAL VE HİZMET TESLİMLERİ HS.KDV</t>
  </si>
  <si>
    <t>500-01</t>
  </si>
  <si>
    <t>ÖDENMİŞ SERMAYE</t>
  </si>
  <si>
    <t>500-01-01</t>
  </si>
  <si>
    <t>600-02</t>
  </si>
  <si>
    <t>TİCARİ MAL SATIŞLARI</t>
  </si>
  <si>
    <t>621-01</t>
  </si>
  <si>
    <t>632-01</t>
  </si>
  <si>
    <t>632-01-01</t>
  </si>
  <si>
    <t>646-01</t>
  </si>
  <si>
    <t>646-01-04</t>
  </si>
  <si>
    <t>DÖVİZLİ SATICI HESAPLARI KUR FARKI</t>
  </si>
  <si>
    <t>649-01</t>
  </si>
  <si>
    <t>656-01</t>
  </si>
  <si>
    <t>656-01-04</t>
  </si>
  <si>
    <t>660-01</t>
  </si>
  <si>
    <t>660-01-03</t>
  </si>
  <si>
    <t>DOĞRUDAN GİDER YAZILANLAR</t>
  </si>
  <si>
    <t>689-01</t>
  </si>
  <si>
    <t>689-01-90</t>
  </si>
  <si>
    <t>PERSONEL SOSYAL GİDERLERİ</t>
  </si>
  <si>
    <t>ÖĞLE YEMEĞİ GİDERLERİ</t>
  </si>
  <si>
    <t>DIŞARIDAN SAĞLANAN FAYDA VE HİZMETL</t>
  </si>
  <si>
    <t>BAKIM VE ONARIM GİDERLERİ</t>
  </si>
  <si>
    <t>DANIŞMANLIK VE EĞİTİM GİDERLERİ</t>
  </si>
  <si>
    <t>KİRA GİDERLERİ</t>
  </si>
  <si>
    <t>BİNA KİRA GİDERLERİ</t>
  </si>
  <si>
    <t>SEYAHAT GİDERLERİ</t>
  </si>
  <si>
    <t>ŞEHİR İÇİ ULAŞIM GİDERLERİ - PARALI</t>
  </si>
  <si>
    <t>AMORTİSMANLAR VE TÜKENME PAYLARI</t>
  </si>
  <si>
    <t>DEMİRBAŞLAR AMORTİSMAN GİDERİ</t>
  </si>
  <si>
    <t>ŞEHİR İÇİ ULAŞIM GİDERLERİ - OTOPAR</t>
  </si>
  <si>
    <t>HAKLAR İTFA PAYLARI</t>
  </si>
  <si>
    <t>BİLGİ TEKNOLOJİLERİ DANIŞMANLIK GİD</t>
  </si>
  <si>
    <t>770-05</t>
  </si>
  <si>
    <t>770-05-02</t>
  </si>
  <si>
    <t>CEP TELEFONU GİDERLERİ</t>
  </si>
  <si>
    <t>770-05-30</t>
  </si>
  <si>
    <t>DAVA, İCRA VE NOTER GİDERLERİ</t>
  </si>
  <si>
    <t>770-07</t>
  </si>
  <si>
    <t>770-08</t>
  </si>
  <si>
    <t>770-08-02</t>
  </si>
  <si>
    <t>770-09</t>
  </si>
  <si>
    <t>770-09-01</t>
  </si>
  <si>
    <t>TAŞIT KİRA GİDERLERİ</t>
  </si>
  <si>
    <t>770-10</t>
  </si>
  <si>
    <t>770-10-02</t>
  </si>
  <si>
    <t>770-10-03</t>
  </si>
  <si>
    <t>770-12</t>
  </si>
  <si>
    <t>VERGİ RESİM HARÇLAR</t>
  </si>
  <si>
    <t>770-12-02</t>
  </si>
  <si>
    <t>DAMGA VERGİSİ</t>
  </si>
  <si>
    <t>770-12-08</t>
  </si>
  <si>
    <t>DİĞER VERGİ, RESİM VE HARÇLAR</t>
  </si>
  <si>
    <t>770-14</t>
  </si>
  <si>
    <t>770-14-06</t>
  </si>
  <si>
    <t>770-14-08</t>
  </si>
  <si>
    <t>771-01</t>
  </si>
  <si>
    <t>771-01-01</t>
  </si>
  <si>
    <t>780-01</t>
  </si>
  <si>
    <t>KISA VADELİ FİNANSMAN GİDERLERİ</t>
  </si>
  <si>
    <t>781-01</t>
  </si>
  <si>
    <t>781-01-01</t>
  </si>
  <si>
    <t>KISA VADELİ FİNANSMAN GİDERLERİYANS</t>
  </si>
  <si>
    <t>159-01</t>
  </si>
  <si>
    <t>VERİLEN YURTİÇİ SİPARİŞ AVANSLARI</t>
  </si>
  <si>
    <t>159-01-02</t>
  </si>
  <si>
    <t>VERİLEN YURTİÇİ SİPARİŞ AVANSLARI-G</t>
  </si>
  <si>
    <t>159-01-02-01</t>
  </si>
  <si>
    <t>570-01</t>
  </si>
  <si>
    <t>GEÇMİŞ YIL KARLARI</t>
  </si>
  <si>
    <t>570-01-01</t>
  </si>
  <si>
    <t>689-01-03</t>
  </si>
  <si>
    <t>KURUŞ ELEMİNELERİ-GİDER</t>
  </si>
  <si>
    <t>360-03</t>
  </si>
  <si>
    <t>ÖDENECEK KURUMLAR VERGİSİ</t>
  </si>
  <si>
    <t>370-01</t>
  </si>
  <si>
    <t>370-01-01</t>
  </si>
  <si>
    <t>ÖD. K.V. KARŞILIKLARI VE PEŞİN VERG</t>
  </si>
  <si>
    <t>371-01</t>
  </si>
  <si>
    <t>371-01-01</t>
  </si>
  <si>
    <t>679-01</t>
  </si>
  <si>
    <t>679-01-03</t>
  </si>
  <si>
    <t>KURUŞ ELEMİNELERİ-GELİR</t>
  </si>
  <si>
    <t>770-05-26</t>
  </si>
  <si>
    <t>OFİS KARGO GİDERLERİ</t>
  </si>
  <si>
    <t>Satır Etiketleri</t>
  </si>
  <si>
    <t>Genel Toplam</t>
  </si>
  <si>
    <t>Toplam Borç Tutarı</t>
  </si>
  <si>
    <t>Banka</t>
  </si>
  <si>
    <t>136-01</t>
  </si>
  <si>
    <t>191-01-03</t>
  </si>
  <si>
    <t>SATIŞLARDAN İADE VE İPTALLER İND.K.</t>
  </si>
  <si>
    <t>600-09</t>
  </si>
  <si>
    <t>DİĞER SATIŞLAR</t>
  </si>
  <si>
    <t>ENDİREKT MADDE VE MALZEME SARFİYATL</t>
  </si>
  <si>
    <t>YURT İÇİ SEYAHAT GİDERLERİ - KONAKL</t>
  </si>
  <si>
    <t>770-07-03</t>
  </si>
  <si>
    <t>TAŞIT BAKIM ONARIM GİDERLERİ</t>
  </si>
  <si>
    <t>Cari</t>
  </si>
  <si>
    <t>180-03</t>
  </si>
  <si>
    <t>SİGORTALAR</t>
  </si>
  <si>
    <t>180-03-07</t>
  </si>
  <si>
    <t>GRUP SAĞLIK SİGORTASI</t>
  </si>
  <si>
    <t>280-03</t>
  </si>
  <si>
    <t>280-03-07</t>
  </si>
  <si>
    <t>770-05-13</t>
  </si>
  <si>
    <t>DİĞER</t>
  </si>
  <si>
    <t>MATRAH</t>
  </si>
  <si>
    <t>KKEG</t>
  </si>
  <si>
    <t>FİNANSMAN GİDER KISITLAMASI</t>
  </si>
  <si>
    <t>TOPLAM KKEG</t>
  </si>
  <si>
    <t>TOPLAM VERGİ MATRAHI</t>
  </si>
  <si>
    <t>BAĞIŞ VE YARDIMLAR TOPLAMI</t>
  </si>
  <si>
    <t>NET VERGİ MATRAHI</t>
  </si>
  <si>
    <t xml:space="preserve">                                                    G E N E L     M İ Z A N</t>
  </si>
  <si>
    <t>Muhasebe Hareket Bilgileri (mhy03)</t>
  </si>
  <si>
    <t>Önceden Devir</t>
  </si>
  <si>
    <t>EUR</t>
  </si>
  <si>
    <t>193-02</t>
  </si>
  <si>
    <t>KURUM GEÇİCİ VERGİ</t>
  </si>
  <si>
    <t>193-02-01</t>
  </si>
  <si>
    <t>I.  DÖNEM GEÇİCİ VERGİ</t>
  </si>
  <si>
    <t>320-02</t>
  </si>
  <si>
    <t>YURTDIŞI SATICILAR</t>
  </si>
  <si>
    <t>320-02-02</t>
  </si>
  <si>
    <t>YURTDIŞI SATICILAR-GRUP DIŞI</t>
  </si>
  <si>
    <t>391-04</t>
  </si>
  <si>
    <t>İADE-İPTAL VE FAZLA HS.KDV</t>
  </si>
  <si>
    <t>391-04-01</t>
  </si>
  <si>
    <t>ALIS İADE HS.KDV</t>
  </si>
  <si>
    <t>770-05-28</t>
  </si>
  <si>
    <t>KÜÇÜK DEMİRBAŞ ALIMLARI</t>
  </si>
  <si>
    <r>
      <rPr>
        <b/>
        <i/>
        <sz val="10"/>
        <rFont val="Arial"/>
        <family val="2"/>
        <charset val="162"/>
      </rPr>
      <t>Teminat mektubu komisyonları,</t>
    </r>
    <r>
      <rPr>
        <sz val="10"/>
        <rFont val="Arial"/>
        <family val="2"/>
        <charset val="162"/>
      </rPr>
      <t xml:space="preserve"> tahvil ihracı ile ilgili olarak yapılan baskı ve benzeri giderler ile ipotek masrafları gibi herhangi bir yabancı kaynak kullanımına bağlı olmaksızın yapılan giderlerin gider kısıtlamasına konu edilmesi söz konusu değildir. Aynı şekilde bir finansman gideri olmayıp finansman geliri azalması niteliğinde olan erken ödeme iskontoları veya peşin ödeme iskontoları da </t>
    </r>
    <r>
      <rPr>
        <b/>
        <u/>
        <sz val="11"/>
        <color indexed="63"/>
        <rFont val="Arial"/>
        <family val="2"/>
        <charset val="162"/>
      </rPr>
      <t>gider indirimi kısıtlaması kapsamı dışındadır.</t>
    </r>
  </si>
  <si>
    <t>102-01-02</t>
  </si>
  <si>
    <t>VADESİZ MEVDUATLAR-USD</t>
  </si>
  <si>
    <t>391-01-06</t>
  </si>
  <si>
    <t>% 20 HESAPLANAN KDV</t>
  </si>
  <si>
    <t>1.DÖNEM GEÇİCİ VERGİ</t>
  </si>
  <si>
    <t>2.DÖNEM GEÇİCİ VERGİ</t>
  </si>
  <si>
    <t>3.DÖNEM GEÇİCİ VERGİ</t>
  </si>
  <si>
    <t>ARAÇ G.K.</t>
  </si>
  <si>
    <t>ÖİV</t>
  </si>
  <si>
    <t>0125-00009</t>
  </si>
  <si>
    <t>DÖNEM</t>
  </si>
  <si>
    <t>0206-00002</t>
  </si>
  <si>
    <t>0322-00003</t>
  </si>
  <si>
    <t>İNDİRİMLER TOPLAMI</t>
  </si>
  <si>
    <t>VERGİ %25</t>
  </si>
  <si>
    <t>Hesaplanan Vergi Indirimi Tutarı(Hesaplanan Kurumlar Vergisi * %5)-NİSAN 2024 İnternet Vergi Dairesinden Sorgulanmalıdır.</t>
  </si>
  <si>
    <t>NET HESAPLANAN VERGİ</t>
  </si>
  <si>
    <t>KESİNTİ SURETİYLE ÖDENEN VERGİ</t>
  </si>
  <si>
    <t>TOPLAM MAHSUP</t>
  </si>
  <si>
    <t>ÖDENECEK KURUMLAR VERGİSİ (%5 Vergiye Uyumda Vergi İndirim Düşülmüştür)</t>
  </si>
  <si>
    <t>ENFLASYON DÜZELTMESİ FARK HESABI</t>
  </si>
  <si>
    <t>257-01-99</t>
  </si>
  <si>
    <t>BİRİKMİŞ AMORTİSMANLAR ENFLASYON DÜ</t>
  </si>
  <si>
    <t>268-01-99</t>
  </si>
  <si>
    <t>502-01</t>
  </si>
  <si>
    <t>502-01-01</t>
  </si>
  <si>
    <t>679-01-99</t>
  </si>
  <si>
    <t>İlgili Tarih: 01/01/2024 - 30/06/2024</t>
  </si>
  <si>
    <t>30.06.2024 TARİHLİ AYRINTILI BİLANÇOSU</t>
  </si>
  <si>
    <t xml:space="preserve">        10-Diğer Olağan Gelir ve Karlar</t>
  </si>
  <si>
    <t xml:space="preserve">           6-Enflasyon Düzeltmesi Zararları (-)</t>
  </si>
  <si>
    <t xml:space="preserve">           7-Diğer Olağan Gider ve Zararlar  ( - )</t>
  </si>
  <si>
    <t>658A</t>
  </si>
  <si>
    <t>153-02</t>
  </si>
  <si>
    <t>ENFLASYON DÜZELTMESİ</t>
  </si>
  <si>
    <t>153-02-01</t>
  </si>
  <si>
    <t>TİC.MALLAR ENFLASYON DÜZELTMESİ</t>
  </si>
  <si>
    <t>197-01</t>
  </si>
  <si>
    <t>197-01-04</t>
  </si>
  <si>
    <t>MAMUL MAL SAYIM NOKSANI</t>
  </si>
  <si>
    <t>360-02-01</t>
  </si>
  <si>
    <t>ÖDENECEK KDV</t>
  </si>
  <si>
    <t>621-01-04</t>
  </si>
  <si>
    <t>SATILAN TİCARİ MALLARIN MALİY. - Dİ</t>
  </si>
  <si>
    <t>656-01-02</t>
  </si>
  <si>
    <t>DÖVİZLİ BANKALAR KUR FARKI GİDERLER</t>
  </si>
  <si>
    <t>658-01</t>
  </si>
  <si>
    <t>ENF.FARK GİDER HESABI</t>
  </si>
  <si>
    <t>658-01-99</t>
  </si>
  <si>
    <t>698-01</t>
  </si>
  <si>
    <t>ENFLASYON DÜZELTME HS.</t>
  </si>
  <si>
    <t>698-01-13</t>
  </si>
  <si>
    <t>GELECEK YILLAR AİT GİDERLER ENF.DÜZ</t>
  </si>
  <si>
    <t>698-01-14</t>
  </si>
  <si>
    <t>SERMAYE ENF.DÜZ.</t>
  </si>
  <si>
    <t>698-01-19</t>
  </si>
  <si>
    <t>TİC.MALLAR ENF.DÜZ.</t>
  </si>
  <si>
    <t>698-01-22</t>
  </si>
  <si>
    <t>DİĞER GİDERLER ENF.DÜZ.</t>
  </si>
  <si>
    <t>YURT DIŞI SEYAHAT GİDERLERİ - DİĞER</t>
  </si>
  <si>
    <t>770-08-01</t>
  </si>
  <si>
    <t>YÖNETİM SİSTEMLERİ DANIŞMANLIK GİDE</t>
  </si>
  <si>
    <t>770-10-12</t>
  </si>
  <si>
    <t>0517-00003</t>
  </si>
  <si>
    <t>1-DÖNEN VARLIKLAR</t>
  </si>
  <si>
    <t>A-Hazır Değerler</t>
  </si>
  <si>
    <t xml:space="preserve"> 2.Alınan Çekler</t>
  </si>
  <si>
    <t xml:space="preserve"> 3.Bankalar</t>
  </si>
  <si>
    <t xml:space="preserve">B-Menkul Kıymetler </t>
  </si>
  <si>
    <t xml:space="preserve"> 1.Hisse Senetleri</t>
  </si>
  <si>
    <t xml:space="preserve"> 1.Kasa</t>
  </si>
  <si>
    <t xml:space="preserve"> 4. Verilen Çekler ve Ödeme Emir.(-)</t>
  </si>
  <si>
    <t xml:space="preserve"> 5.Diğer Hazır Değerler</t>
  </si>
  <si>
    <t xml:space="preserve"> 4.Diğer Menkul Kıymetler</t>
  </si>
  <si>
    <t xml:space="preserve"> 5.Menkul Kıymetler Değer  Düşüklüğü Karşılığı (-)</t>
  </si>
  <si>
    <t>C-Ticari Alacaklar</t>
  </si>
  <si>
    <t xml:space="preserve"> 1. Alıcılar</t>
  </si>
  <si>
    <t xml:space="preserve"> 2. Alacak Senetleri</t>
  </si>
  <si>
    <t xml:space="preserve"> 3. Alacak Senetleri Reeskontu (-)</t>
  </si>
  <si>
    <t xml:space="preserve"> 4. Kazanılmamış Finansal Kiralama  Faiz Gelirleri (-)</t>
  </si>
  <si>
    <t xml:space="preserve"> 5. Verilen Depozito ve Teminatlar</t>
  </si>
  <si>
    <t xml:space="preserve"> 6. Diğer Ticari Alacaklar</t>
  </si>
  <si>
    <t xml:space="preserve"> 7. Şüpheli Ticari Alacaklar</t>
  </si>
  <si>
    <t>D-Diğer Alacaklar</t>
  </si>
  <si>
    <t xml:space="preserve"> 1. Ortaklardan Alacaklar</t>
  </si>
  <si>
    <t xml:space="preserve"> 2. İştiraklerden Alacaklar</t>
  </si>
  <si>
    <t xml:space="preserve"> 3. Bağlı Ortaklıklardan Alacaklar</t>
  </si>
  <si>
    <t xml:space="preserve"> 4. Personelden Alacaklar</t>
  </si>
  <si>
    <t xml:space="preserve"> 5. Diğer Çeşitli Alacaklar</t>
  </si>
  <si>
    <t xml:space="preserve"> 7. Şüpheli Diğer Alacaklar</t>
  </si>
  <si>
    <t xml:space="preserve"> 8. Şüpheli Diğer Alacaklar Karşılığı (-)</t>
  </si>
  <si>
    <t>E-Stoklar</t>
  </si>
  <si>
    <t xml:space="preserve"> 1. İlk Madde ve Malzeme</t>
  </si>
  <si>
    <t xml:space="preserve"> 3. Mamüller</t>
  </si>
  <si>
    <t xml:space="preserve"> 4. Ticari Mallar</t>
  </si>
  <si>
    <t xml:space="preserve"> 5. Diğer Stoklar</t>
  </si>
  <si>
    <t xml:space="preserve"> 6. Stok Değer Düşüklüğü Karşılığı (-)</t>
  </si>
  <si>
    <t xml:space="preserve"> 7. Verilen Sipariş Avansları</t>
  </si>
  <si>
    <t xml:space="preserve"> 2. Yarı Mamüller-Üretim</t>
  </si>
  <si>
    <t xml:space="preserve"> 3. Taşeronlara Verilen Avanslar</t>
  </si>
  <si>
    <t xml:space="preserve"> 1. Yıllara Yaygın İnşaat ve Onarım Maliyetleri</t>
  </si>
  <si>
    <t xml:space="preserve"> 2. Yıllara Yaygın İnşaat Enflasyon Düzeltme Hesabı</t>
  </si>
  <si>
    <t xml:space="preserve"> 2.Özel Kesim Tahvil, Senet ve Bonoları</t>
  </si>
  <si>
    <t xml:space="preserve"> 3.Kamu Kesimi Tahvil, Senet ve Bonoları</t>
  </si>
  <si>
    <t xml:space="preserve"> 8. Şüpheli Ticari Alacaklar Karşılığı (-)</t>
  </si>
  <si>
    <t xml:space="preserve"> 6. Diğer Alacak Senetleri Reeskontu (-)</t>
  </si>
  <si>
    <t>F-Yıllara Yaygın İnşaat ve Onarım Maliyetleri</t>
  </si>
  <si>
    <t>G-Gelecek Aylara Ait Giderler ve Gelir Tahakkukları</t>
  </si>
  <si>
    <t xml:space="preserve"> 1. Gelecek Aylara Ait Giderler</t>
  </si>
  <si>
    <t xml:space="preserve"> 2. Gelir Tahakkukları</t>
  </si>
  <si>
    <t>H-Diğer Dönen Varlıklar</t>
  </si>
  <si>
    <t xml:space="preserve"> 1. Devreden KDV</t>
  </si>
  <si>
    <t xml:space="preserve"> 2. İndirilecek KDV</t>
  </si>
  <si>
    <t xml:space="preserve"> 3. Diğer KDV</t>
  </si>
  <si>
    <t xml:space="preserve"> 4.Peşin Ödenen Vergiler ve Fonlar</t>
  </si>
  <si>
    <t xml:space="preserve"> 5. İş Avansları</t>
  </si>
  <si>
    <t xml:space="preserve"> 6. Personel Avansları</t>
  </si>
  <si>
    <t xml:space="preserve"> 7. Sayım ve Tesellüm Noksanları</t>
  </si>
  <si>
    <t xml:space="preserve"> 8. Diğer Çeşitli Dönen Varlıklar</t>
  </si>
  <si>
    <t xml:space="preserve"> 9. Diğer Dönen Varlıklar Karşılığı (-)</t>
  </si>
  <si>
    <t>2-DURAN VARLIKLAR</t>
  </si>
  <si>
    <t>A-Ticari Alacaklar</t>
  </si>
  <si>
    <t xml:space="preserve"> 4. Kazanılmamış Finansal Kiralama Faiz Gelirleri (-)</t>
  </si>
  <si>
    <t xml:space="preserve"> 6. Şüpheli Alacaklar Karşılığı (-)</t>
  </si>
  <si>
    <t>B-Diğer Alacaklar</t>
  </si>
  <si>
    <t>C-Mali Duran Varlıklar</t>
  </si>
  <si>
    <t>D-Maddi Duran Varlıklar</t>
  </si>
  <si>
    <t xml:space="preserve"> 1. Arazi ve Arsalar</t>
  </si>
  <si>
    <t xml:space="preserve"> 2. Yeraltı ve Yerüstü Düzenleri</t>
  </si>
  <si>
    <t xml:space="preserve"> 3. Binalar</t>
  </si>
  <si>
    <t xml:space="preserve"> 5. Taşıtlar</t>
  </si>
  <si>
    <t xml:space="preserve"> 6. Demirbaşlar</t>
  </si>
  <si>
    <t xml:space="preserve"> 7. Diğer Maddi Duran Varlıklar</t>
  </si>
  <si>
    <t xml:space="preserve"> 8. Birikmiş Amortismanlar (-)</t>
  </si>
  <si>
    <t xml:space="preserve"> 9. Yapılmakta Olan Yatırımlar</t>
  </si>
  <si>
    <t xml:space="preserve"> 10. Verilen Avanslar</t>
  </si>
  <si>
    <t xml:space="preserve"> 4. Tesis, Makina ve Cihazlar</t>
  </si>
  <si>
    <t>E-Maddi Olmayan Duran Varlıklar</t>
  </si>
  <si>
    <t xml:space="preserve"> 1. Haklar</t>
  </si>
  <si>
    <t xml:space="preserve"> 2. Şerefiye</t>
  </si>
  <si>
    <t xml:space="preserve"> 3. Kuruluş ve Örgütleme Giderleri</t>
  </si>
  <si>
    <t xml:space="preserve"> 4. Araştırma ve Geliştirme Giderleri</t>
  </si>
  <si>
    <t xml:space="preserve"> 5. Özel Maliyetler</t>
  </si>
  <si>
    <t xml:space="preserve"> 6. Diğer Maddi Olmayan Duran Varlıklar</t>
  </si>
  <si>
    <t>F-Özel Tükenmeye Tabi Varlıklar</t>
  </si>
  <si>
    <t xml:space="preserve"> 1. Arama Giderleri</t>
  </si>
  <si>
    <t xml:space="preserve"> 2. Hazırlık ve Geliştirme Giderleri</t>
  </si>
  <si>
    <t xml:space="preserve"> 3. Diğer Özel Tükenmeye Tabi Varlıklar</t>
  </si>
  <si>
    <t xml:space="preserve"> 4. Birikmiş Tükenme Payları (-)</t>
  </si>
  <si>
    <t xml:space="preserve"> 5. Verilen Avanslar</t>
  </si>
  <si>
    <t>G-Gelecek Yıllara Ait Giderler ve Gelir Tahakkukları</t>
  </si>
  <si>
    <t xml:space="preserve"> 1. Gelecek Yıllara Ait Giderler</t>
  </si>
  <si>
    <t>H-Diğer Duran Varlıklar</t>
  </si>
  <si>
    <t>296A</t>
  </si>
  <si>
    <t>3-KISA VADELİ YABANCI KAYNAKLAR</t>
  </si>
  <si>
    <t>A-Mali Borçlar</t>
  </si>
  <si>
    <t xml:space="preserve"> 1. Satıcılar</t>
  </si>
  <si>
    <t xml:space="preserve"> 2. Borç Senetleri</t>
  </si>
  <si>
    <t xml:space="preserve"> 3. Borç Senetleri Reeskontu (-)</t>
  </si>
  <si>
    <t xml:space="preserve"> 4. Alınan Depozito ve Teminatlar</t>
  </si>
  <si>
    <t xml:space="preserve"> 5. Diğer Ticari Borçlar</t>
  </si>
  <si>
    <t>B-Ticari Borçlar</t>
  </si>
  <si>
    <t>C-Diğer Borçlar</t>
  </si>
  <si>
    <t>D-Alınan Avanslar</t>
  </si>
  <si>
    <t>E-Yıllara Yaygın İnş. Ve On. Hak.</t>
  </si>
  <si>
    <t xml:space="preserve"> 1. Ortaklara Borçlar</t>
  </si>
  <si>
    <t xml:space="preserve"> 2. İştiraklere Borçlar</t>
  </si>
  <si>
    <t xml:space="preserve"> 3. Bağlı Ortaklıklara Borçlar</t>
  </si>
  <si>
    <t xml:space="preserve"> 4. Personele Borçlar</t>
  </si>
  <si>
    <t xml:space="preserve"> 5. Diğer Çeşitli Borçlar</t>
  </si>
  <si>
    <t xml:space="preserve"> 6. Diğer Borç Senetleri Reeskontu (-)</t>
  </si>
  <si>
    <t xml:space="preserve"> 1. Alınan Sipariş Avansları</t>
  </si>
  <si>
    <t xml:space="preserve"> 2. Alınan Diğer Avanslar</t>
  </si>
  <si>
    <t xml:space="preserve"> 1. Yıllara Yaygın İnşaat ve Onarım Hakediş Bedelleri</t>
  </si>
  <si>
    <t>F-Ödenecek Vergi ve Diğer Yükümlülükler</t>
  </si>
  <si>
    <t xml:space="preserve"> 1. Ödenecek Vergi ve Fonları</t>
  </si>
  <si>
    <t xml:space="preserve"> 2. Ödenecek Sosyal Güvenlik Kesintileri</t>
  </si>
  <si>
    <t xml:space="preserve"> 3. Vadesi Geçmiş Ertelenmiş veya Taksitlendirilmiş Vergi ve Diğer Yükümlülükler</t>
  </si>
  <si>
    <t xml:space="preserve"> 4. Ödenecek Diğer Yükümlülükler</t>
  </si>
  <si>
    <t>G-Borç ve Gider Karşılıkları</t>
  </si>
  <si>
    <t xml:space="preserve"> 1. Dönem Karı Vergi ve Diğer Yasal Yükümlülük Karşılıkları</t>
  </si>
  <si>
    <t xml:space="preserve"> 2. Dönem Karının Peşin Ödenen Vergi ve Diğer Yükümlülükleri (-)</t>
  </si>
  <si>
    <t xml:space="preserve"> 3. Kıdem Tazminatı Karşılığı</t>
  </si>
  <si>
    <t xml:space="preserve"> 4. Maliyet Giderleri Karşılığı</t>
  </si>
  <si>
    <t xml:space="preserve"> 5. Diğer Borç ve Gider Karşılıkları</t>
  </si>
  <si>
    <t xml:space="preserve"> 1. Gelecek Aylara Ait Gelirler</t>
  </si>
  <si>
    <t xml:space="preserve"> 2. Gider Tahakkukları</t>
  </si>
  <si>
    <t xml:space="preserve"> 1. Hesaplanan KDV</t>
  </si>
  <si>
    <t xml:space="preserve"> 2. Diğer KDV</t>
  </si>
  <si>
    <t xml:space="preserve"> 3. Merkez Ve Şubeler Cari Hesabı</t>
  </si>
  <si>
    <t xml:space="preserve"> 4. Sayım ve Tesellüm Fazlaları</t>
  </si>
  <si>
    <t xml:space="preserve"> 5. Diğer Çeşitli Yabancı Kaynaklar</t>
  </si>
  <si>
    <t>H-Gelecek Aylara Ait Gelirler ve Gider Tahakkukları</t>
  </si>
  <si>
    <t>I-Diğer Kısa Vadeli Yabancı Kaynaklar</t>
  </si>
  <si>
    <t>4-UZUN VADELİ YABANCI KAYNAKLAR</t>
  </si>
  <si>
    <t xml:space="preserve"> 4. Diğer Çeşitli Borçlar</t>
  </si>
  <si>
    <t xml:space="preserve"> 5. Diğer Borç Senetleri Reeskontu (-)</t>
  </si>
  <si>
    <t xml:space="preserve"> 6. Kamuya Olan Ertelenmiy veya Taksitlendirilmiş Borçlar</t>
  </si>
  <si>
    <t>E-Borç ve Gider Karşılıkları</t>
  </si>
  <si>
    <t xml:space="preserve"> 1. Kıdem Tazminatı Karşılıkları</t>
  </si>
  <si>
    <t xml:space="preserve"> 2. Diğer Borç ve Gider Karşılıkları</t>
  </si>
  <si>
    <t xml:space="preserve"> 1. Gelecek Yıllara Ait Gelirler</t>
  </si>
  <si>
    <t>F-Gelecek Yıllara Ait Gelirler ve Gider Tahakkukları</t>
  </si>
  <si>
    <t>G-Diğer Uzun Vadeli Yabancı Kaynaklar</t>
  </si>
  <si>
    <t xml:space="preserve"> 1. Gelecek Yıllara Eklenen veya Terkin Edilen KDV</t>
  </si>
  <si>
    <t xml:space="preserve"> 2. Tesise Katılma Payları</t>
  </si>
  <si>
    <t xml:space="preserve"> 3. Diğer Çeşitli Uzun Vadeli Yabancı Kaynaklar Toplamı</t>
  </si>
  <si>
    <t>5-ÖZKAYNAKLAR</t>
  </si>
  <si>
    <t>A-Ödenmiş Sermaye</t>
  </si>
  <si>
    <t xml:space="preserve"> 1. Sermaye</t>
  </si>
  <si>
    <t xml:space="preserve"> 2. Ödenmemiş Sermaye (-)</t>
  </si>
  <si>
    <t xml:space="preserve"> 3. Sermaye Düzeltmesi Olumlu Farkları</t>
  </si>
  <si>
    <t xml:space="preserve"> 4. Sermaye Düzeltmesi Olumsuz Farkları (-)</t>
  </si>
  <si>
    <t>B-Sermaye Yedekleri</t>
  </si>
  <si>
    <t xml:space="preserve"> 1. Hisse Senedi İhraç Primleri</t>
  </si>
  <si>
    <t xml:space="preserve"> 2. Hisse Senedi İptal Kararları</t>
  </si>
  <si>
    <t xml:space="preserve"> 3. Maddi Duran Varlık Yeniden Değerleme Artışları</t>
  </si>
  <si>
    <t xml:space="preserve"> 4. İştirakler Yeniden Değerleme Artışları</t>
  </si>
  <si>
    <t xml:space="preserve"> 5. Diğer Sermaye Yedekleri</t>
  </si>
  <si>
    <t>C-Kar Yedekleri</t>
  </si>
  <si>
    <t xml:space="preserve"> 1. Yasal Yedekler</t>
  </si>
  <si>
    <t xml:space="preserve"> 2. Statü Yedekleri</t>
  </si>
  <si>
    <t xml:space="preserve"> 3. Olağanüstü Yedekler</t>
  </si>
  <si>
    <t xml:space="preserve"> 4. Diğer Kar Yedekleri</t>
  </si>
  <si>
    <t>D-Geçmiş Yıllar Karları</t>
  </si>
  <si>
    <t>E-Geçmiş Yıllar Zararları (-)</t>
  </si>
  <si>
    <t>F-Dönem Net Karı (Zararı)</t>
  </si>
  <si>
    <t>İlgili Tarih: 01/01/2024-30/06/2024</t>
  </si>
  <si>
    <t>30.06.2024 TARİHLİ AYRINTILI GELİR TABLOSU</t>
  </si>
  <si>
    <t>136-01-97</t>
  </si>
  <si>
    <t>DİĞER ÇEŞİTLİ ALACAKLAR-TL</t>
  </si>
  <si>
    <t>150-01</t>
  </si>
  <si>
    <t>HAMMADDE</t>
  </si>
  <si>
    <t>150-01-01</t>
  </si>
  <si>
    <t>HAMMADDE VE MALZEMELER</t>
  </si>
  <si>
    <t>150-02</t>
  </si>
  <si>
    <t>YARDIMCI MADDELER</t>
  </si>
  <si>
    <t>150-02-01</t>
  </si>
  <si>
    <t>YARDIMCI MADDE</t>
  </si>
  <si>
    <t>150-03</t>
  </si>
  <si>
    <t>İŞLETME MALZEMESI</t>
  </si>
  <si>
    <t>150-03-01</t>
  </si>
  <si>
    <t>İŞLETME MALZEMELERİ</t>
  </si>
  <si>
    <t>150-05</t>
  </si>
  <si>
    <t>DIGER MALZEMELER</t>
  </si>
  <si>
    <t>150-05-01</t>
  </si>
  <si>
    <t>DİĞER MALZEMELER</t>
  </si>
  <si>
    <t>150-07</t>
  </si>
  <si>
    <t>150-07-01</t>
  </si>
  <si>
    <t>HAMMADDE ENFLASYON DÜZELTMESİ</t>
  </si>
  <si>
    <t>151-01</t>
  </si>
  <si>
    <t>151-01-01</t>
  </si>
  <si>
    <t>YARI MAMUL STOKLARI</t>
  </si>
  <si>
    <t>151-02</t>
  </si>
  <si>
    <t>151-02-01</t>
  </si>
  <si>
    <t>YARI MAMÜLLER NFLASYON DÜZELTMESİ</t>
  </si>
  <si>
    <t>152-01</t>
  </si>
  <si>
    <t>MAMÜL STOKLARI</t>
  </si>
  <si>
    <t>152-01-01</t>
  </si>
  <si>
    <t>152-02</t>
  </si>
  <si>
    <t>152-02-01</t>
  </si>
  <si>
    <t>MAMÜLLER ENFLASYON DÜZELTMESİ</t>
  </si>
  <si>
    <t>180-03-01</t>
  </si>
  <si>
    <t>BİNA,MAKİNA YANGIN SİGORTASI</t>
  </si>
  <si>
    <t>180-90</t>
  </si>
  <si>
    <t>DİĞER GİDERLER</t>
  </si>
  <si>
    <t>180-90-01</t>
  </si>
  <si>
    <t>196-01</t>
  </si>
  <si>
    <t>196-01-01</t>
  </si>
  <si>
    <t>İŞLETME PERSONELİ MAAŞ AVANSLARI</t>
  </si>
  <si>
    <t>197-01-03</t>
  </si>
  <si>
    <t>YARI MAMUL NOKSANI</t>
  </si>
  <si>
    <t>253-01</t>
  </si>
  <si>
    <t>253-01-01</t>
  </si>
  <si>
    <t>256-01</t>
  </si>
  <si>
    <t>256-01-01</t>
  </si>
  <si>
    <t>260-01-03</t>
  </si>
  <si>
    <t>TİCARİ MARKA VE İSİMLER</t>
  </si>
  <si>
    <t>260-01-08</t>
  </si>
  <si>
    <t>DİĞER HAKLAR</t>
  </si>
  <si>
    <t>264-01</t>
  </si>
  <si>
    <t>264-01-01</t>
  </si>
  <si>
    <t>265-01</t>
  </si>
  <si>
    <t>280-03-01</t>
  </si>
  <si>
    <t>320-02-02-02</t>
  </si>
  <si>
    <t>YURTDIŞI SATICILAR-GRUP DIŞI USD</t>
  </si>
  <si>
    <t>360-03-01</t>
  </si>
  <si>
    <t>360-05</t>
  </si>
  <si>
    <t>KİRA STOPAJLARI</t>
  </si>
  <si>
    <t>360-05-01</t>
  </si>
  <si>
    <t>ÖDENECEK KİRA STOPAJLARI</t>
  </si>
  <si>
    <t>369-01</t>
  </si>
  <si>
    <t>369-01-01</t>
  </si>
  <si>
    <t>ÖDENECEK PERSONEL BES KESİNTİLERİ</t>
  </si>
  <si>
    <t>397-01</t>
  </si>
  <si>
    <t>397-01-02</t>
  </si>
  <si>
    <t>İLK MADDE VE MALZEME SAYIM FAZLASI</t>
  </si>
  <si>
    <t>397-01-03</t>
  </si>
  <si>
    <t>YARI MAMÜL VE MAMÜL SAYIM FAZLASI</t>
  </si>
  <si>
    <t>397-01-04</t>
  </si>
  <si>
    <t>MAMÜL MAL SAYIM FAZLASI</t>
  </si>
  <si>
    <t>397-01-06</t>
  </si>
  <si>
    <t>DİĞER SAYIM FAZLASI</t>
  </si>
  <si>
    <t>600-01</t>
  </si>
  <si>
    <t>MAMUL SATIŞLAR</t>
  </si>
  <si>
    <t>600-09-01</t>
  </si>
  <si>
    <t>DİĞER SATIŞLAR-GRUPİÇİ</t>
  </si>
  <si>
    <t>602-03</t>
  </si>
  <si>
    <t>HURDA VE ATIK SATIŞLARI</t>
  </si>
  <si>
    <t>602-03-05</t>
  </si>
  <si>
    <t>TALAŞLI İMALAT ATIK-ARTIK SATIŞLARI</t>
  </si>
  <si>
    <t>610-01</t>
  </si>
  <si>
    <t>Y.İÇİ MAMUL SATIŞLARINDAN İADELER (</t>
  </si>
  <si>
    <t>Y.İÇİ MAMUL SATIŞLARINDAN İADELER-G</t>
  </si>
  <si>
    <t>610-09</t>
  </si>
  <si>
    <t>DİĞER SATIŞLARDAN İADELER</t>
  </si>
  <si>
    <t>610-09-01</t>
  </si>
  <si>
    <t>MALZEME SATIŞLARINDAN İADELER</t>
  </si>
  <si>
    <t>620-01</t>
  </si>
  <si>
    <t>623-01</t>
  </si>
  <si>
    <t>630-01</t>
  </si>
  <si>
    <t>630-01-01</t>
  </si>
  <si>
    <t>659-01</t>
  </si>
  <si>
    <t>FİYAT FARKI GİDERLERİ</t>
  </si>
  <si>
    <t>698-01-04</t>
  </si>
  <si>
    <t>TESİS MAKİNA CİHAZLAR ENF.DÜZ.</t>
  </si>
  <si>
    <t>698-01-06</t>
  </si>
  <si>
    <t>DEMİRBAŞLAR ENF.DÜZ.</t>
  </si>
  <si>
    <t>698-01-08</t>
  </si>
  <si>
    <t>HAKLAR ENF.DÜZ.</t>
  </si>
  <si>
    <t>698-01-09</t>
  </si>
  <si>
    <t>ÖZEL MALİYETLER ENF.DÜZ.</t>
  </si>
  <si>
    <t>698-01-16</t>
  </si>
  <si>
    <t>HAMMADDE ENF.DÜZ.</t>
  </si>
  <si>
    <t>698-01-17</t>
  </si>
  <si>
    <t>YARI MAMÜLLER ENF.DÜZ.</t>
  </si>
  <si>
    <t>698-01-18</t>
  </si>
  <si>
    <t>MAMÜLLER ENF.DÜZ.</t>
  </si>
  <si>
    <t>700-01</t>
  </si>
  <si>
    <t>700-01-98</t>
  </si>
  <si>
    <t>YARI MAMÜL GİDERLERİ</t>
  </si>
  <si>
    <t>701-01</t>
  </si>
  <si>
    <t>701-01-98</t>
  </si>
  <si>
    <t>710-99</t>
  </si>
  <si>
    <t>710-99-10</t>
  </si>
  <si>
    <t>DİREKT MADDE MALZEME GİDERLERİ</t>
  </si>
  <si>
    <t>711-01</t>
  </si>
  <si>
    <t>711-01-01</t>
  </si>
  <si>
    <t>720-01</t>
  </si>
  <si>
    <t>DİREKT İŞÇİLİK ÜCRETLERİ</t>
  </si>
  <si>
    <t>720-01-01</t>
  </si>
  <si>
    <t>DİREKT İŞÇİLİK ÜCRETLERİ - NORMAL M</t>
  </si>
  <si>
    <t>720-01-16</t>
  </si>
  <si>
    <t>DİREKT İŞÇİLİK İLAVELERİ - SGK İŞVE</t>
  </si>
  <si>
    <t>720-01-17</t>
  </si>
  <si>
    <t>DİREKT İŞÇİLİK İLAVELERİ - İŞSİZLİK</t>
  </si>
  <si>
    <t>721-01</t>
  </si>
  <si>
    <t>721-01-01</t>
  </si>
  <si>
    <t>730-01</t>
  </si>
  <si>
    <t>730-01-01</t>
  </si>
  <si>
    <t>YARD. ÜRETİM MALZEMESİ SARFİYATLARI</t>
  </si>
  <si>
    <t>730-01-04</t>
  </si>
  <si>
    <t>BAKIM ONARIM MALZEMESİ SARFİYATLARI</t>
  </si>
  <si>
    <t>730-01-07</t>
  </si>
  <si>
    <t>MAKİNE YEDEK PARÇA SARFİYATLARI</t>
  </si>
  <si>
    <t>730-04</t>
  </si>
  <si>
    <t>730-04-02</t>
  </si>
  <si>
    <t>730-04-03</t>
  </si>
  <si>
    <t>İŞÇİ TECHİZATI GİDERLERİ</t>
  </si>
  <si>
    <t>ÇAY OCAĞI VE MUTFAK GİDERLERİ</t>
  </si>
  <si>
    <t>İLAÇ VE SAĞLIK HARCAMALARI</t>
  </si>
  <si>
    <t>İŞ GÜVENLİĞİ VE İŞ YERİ HEKİMİ GİDE</t>
  </si>
  <si>
    <t>730-05</t>
  </si>
  <si>
    <t>YANGIN VE DOĞAL AFET SİGORTASI GİDE</t>
  </si>
  <si>
    <t>TESİS,MAKİNA VE CİHAZ SİGORTASI</t>
  </si>
  <si>
    <t>730-05-13</t>
  </si>
  <si>
    <t>SAĞLIK SİGORTASI GİDERLERİ</t>
  </si>
  <si>
    <t>OFİS KIRTASİYE MALZEMELERİ GİDERLER</t>
  </si>
  <si>
    <t>730-05-27</t>
  </si>
  <si>
    <t>ALIŞLARLA İLGİLİ NAKLİYE VE LOJİSTİ</t>
  </si>
  <si>
    <t>TEMİZLİK MALZEME GİDERLERİ</t>
  </si>
  <si>
    <t>DIŞARIYA YAPTIRILAN İŞLEME İŞÇİLİKL</t>
  </si>
  <si>
    <t>730-06</t>
  </si>
  <si>
    <t>ENERJİ GİDERLERİ</t>
  </si>
  <si>
    <t>730-06-04</t>
  </si>
  <si>
    <t>ELEKTRİK GİDERLERİ</t>
  </si>
  <si>
    <t>SU GİDERLERİ</t>
  </si>
  <si>
    <t>AKARYAKIT GİDERLERİ</t>
  </si>
  <si>
    <t>730-07</t>
  </si>
  <si>
    <t>BİNA BAKIM ONARIM GİDERLERİ</t>
  </si>
  <si>
    <t>730-07-04</t>
  </si>
  <si>
    <t>TESİS,MAKİNA VE CİHAZLAR BAKIM ONAR</t>
  </si>
  <si>
    <t>KALİBRASYON GİDERLERİ</t>
  </si>
  <si>
    <t>730-09</t>
  </si>
  <si>
    <t>730-09-01</t>
  </si>
  <si>
    <t>730-14</t>
  </si>
  <si>
    <t>730-14-04</t>
  </si>
  <si>
    <t>TESİS MAKİNA VE CİHAZLAR AMORTİSMAN</t>
  </si>
  <si>
    <t>730-14-07</t>
  </si>
  <si>
    <t>DİĞER MADDİ DURAN VARLIK AMORTİSMAN</t>
  </si>
  <si>
    <t>ÖZEL MALİYETLER İTFA PAYLARI</t>
  </si>
  <si>
    <t>731-01</t>
  </si>
  <si>
    <t>731-01-01</t>
  </si>
  <si>
    <t>750-01</t>
  </si>
  <si>
    <t>750-01-01</t>
  </si>
  <si>
    <t>750-04</t>
  </si>
  <si>
    <t>750-04-02</t>
  </si>
  <si>
    <t>750-05</t>
  </si>
  <si>
    <t>750-05-13</t>
  </si>
  <si>
    <t>750-05-28</t>
  </si>
  <si>
    <t>750-06</t>
  </si>
  <si>
    <t>750-07</t>
  </si>
  <si>
    <t>750-07-08</t>
  </si>
  <si>
    <t>750-08</t>
  </si>
  <si>
    <t>750-08-10</t>
  </si>
  <si>
    <t>DİĞER DANIŞMANLIK GİDERLERİ</t>
  </si>
  <si>
    <t>750-09</t>
  </si>
  <si>
    <t>750-14</t>
  </si>
  <si>
    <t>750-14-08</t>
  </si>
  <si>
    <t>751-01</t>
  </si>
  <si>
    <t>751-01-01</t>
  </si>
  <si>
    <t>770-01</t>
  </si>
  <si>
    <t>770-04</t>
  </si>
  <si>
    <t>770-04-02</t>
  </si>
  <si>
    <t>770-04-04</t>
  </si>
  <si>
    <t>770-04-06</t>
  </si>
  <si>
    <t>770-04-07</t>
  </si>
  <si>
    <t>770-05-01</t>
  </si>
  <si>
    <t>SABİT TELEFON GİDERLERİ</t>
  </si>
  <si>
    <t>770-05-03</t>
  </si>
  <si>
    <t>İNTERNET BAĞLANTI GİDERLERİ</t>
  </si>
  <si>
    <t>770-05-08</t>
  </si>
  <si>
    <t>770-05-15</t>
  </si>
  <si>
    <t>BİLGİ TEKNOLOJİLERİ MEKANİZASYON Kİ</t>
  </si>
  <si>
    <t>770-05-19</t>
  </si>
  <si>
    <t>OHP - MALİ İŞLER HİZMETLERİ</t>
  </si>
  <si>
    <t>770-05-24</t>
  </si>
  <si>
    <t>770-05-29</t>
  </si>
  <si>
    <t>770-06</t>
  </si>
  <si>
    <t>770-06-04</t>
  </si>
  <si>
    <t>770-06-05</t>
  </si>
  <si>
    <t>770-07-01</t>
  </si>
  <si>
    <t>770-08-20</t>
  </si>
  <si>
    <t>İSTEĞE BAĞLI ÜYELİK VE AİDAT GİDERL</t>
  </si>
  <si>
    <t>770-09-04</t>
  </si>
  <si>
    <t>YURT İÇİ SEYAHAT GİDERLERİ - YEMEK</t>
  </si>
  <si>
    <t>770-14-12</t>
  </si>
  <si>
    <t>Analiz Kodu</t>
  </si>
  <si>
    <t>50-01-01</t>
  </si>
  <si>
    <t>99-08</t>
  </si>
  <si>
    <t>0611-00009</t>
  </si>
  <si>
    <t>0125-00005</t>
  </si>
  <si>
    <t>0125-00007</t>
  </si>
  <si>
    <t>0125-00008</t>
  </si>
  <si>
    <t>0202-00004</t>
  </si>
  <si>
    <t>0220-00003</t>
  </si>
  <si>
    <t>0225-00001</t>
  </si>
  <si>
    <t>0225-00002</t>
  </si>
  <si>
    <t>0227-00006</t>
  </si>
  <si>
    <t>0308-00013</t>
  </si>
  <si>
    <t>0315-00017</t>
  </si>
  <si>
    <t>0322-00009</t>
  </si>
  <si>
    <t>0327-00001</t>
  </si>
  <si>
    <t>0415-00001</t>
  </si>
  <si>
    <t>0415-00002</t>
  </si>
  <si>
    <t>0418-00004</t>
  </si>
  <si>
    <t>0430-00017</t>
  </si>
  <si>
    <t>0525-00001</t>
  </si>
  <si>
    <t>0615-00001</t>
  </si>
  <si>
    <t>0625-00006</t>
  </si>
  <si>
    <t>0628-00013</t>
  </si>
  <si>
    <t>0103-00004</t>
  </si>
  <si>
    <t>0206-00003</t>
  </si>
  <si>
    <t>0206-00010</t>
  </si>
  <si>
    <t>0206-00011</t>
  </si>
  <si>
    <t>0208-00002</t>
  </si>
  <si>
    <t>0208-00004</t>
  </si>
  <si>
    <t>0221-00005</t>
  </si>
  <si>
    <t>0307-00002</t>
  </si>
  <si>
    <t>0402-00004</t>
  </si>
  <si>
    <t>0419-00005</t>
  </si>
  <si>
    <t>0425-00011</t>
  </si>
  <si>
    <t>0429-00007</t>
  </si>
  <si>
    <t>0527-00006</t>
  </si>
  <si>
    <t>0605-00007</t>
  </si>
  <si>
    <t>0612-00002</t>
  </si>
  <si>
    <t>0614-00021</t>
  </si>
  <si>
    <t>0625-00003</t>
  </si>
  <si>
    <t>0626-00009</t>
  </si>
  <si>
    <t>ZARAR</t>
  </si>
  <si>
    <t>KAR</t>
  </si>
  <si>
    <t>KARDAN DÜŞÜLECEK ZARAR</t>
  </si>
  <si>
    <t>VERGİ MATRAHI</t>
  </si>
  <si>
    <t>HESAP KODU</t>
  </si>
  <si>
    <t>BRÜT SATIŞLAR TOPLAMI</t>
  </si>
  <si>
    <t>TUTAR</t>
  </si>
  <si>
    <t>YÜZDE</t>
  </si>
  <si>
    <t>ÜRETİMDEN ELDE EDİLEN KAZANÇ</t>
  </si>
  <si>
    <t>KVK 32/8 E YAZILACAK TUTAR</t>
  </si>
  <si>
    <t>ÖZET TABLO</t>
  </si>
  <si>
    <t>GELİR TÜRÜ</t>
  </si>
  <si>
    <t>ORAN</t>
  </si>
  <si>
    <t>VERGİ</t>
  </si>
  <si>
    <t>KVK 32/8 MATRAH</t>
  </si>
  <si>
    <t>DİĞER MATRAH</t>
  </si>
  <si>
    <t xml:space="preserve"> 7. Şüpheli Alacaklar Karşılığı (-)</t>
  </si>
  <si>
    <t xml:space="preserve"> 1. Bağlı Menkul Kıymetler</t>
  </si>
  <si>
    <t xml:space="preserve"> 2. Bağlı Menkul Kıymetler Değer Düşüklüğü Karşılığı (-)</t>
  </si>
  <si>
    <t xml:space="preserve"> 3. İştirakler</t>
  </si>
  <si>
    <t xml:space="preserve"> 4. İştiraklere Sermaye Taahhütleri (-)</t>
  </si>
  <si>
    <t xml:space="preserve"> 5. İştirakler Sermaye Payları Değer Değer Düşüklüğü Karşılığı (-)</t>
  </si>
  <si>
    <t xml:space="preserve"> 6. Bağlı Ortaklıklar</t>
  </si>
  <si>
    <t xml:space="preserve"> 7. Bağlı Ortaklıklara Sermaye Taahhütleri (-)</t>
  </si>
  <si>
    <t xml:space="preserve"> 8. Bağlı Ortaklıklar Sermaye Payları Değer Düşüklüğü Karşılığı (-)</t>
  </si>
  <si>
    <t xml:space="preserve"> 9. Diğer Mali Duran Varlıklar</t>
  </si>
  <si>
    <t xml:space="preserve"> 10. Diğer Mali Duran Varlıklar Karşılığı (-)</t>
  </si>
  <si>
    <t>248A</t>
  </si>
  <si>
    <t xml:space="preserve"> 1. Gelecek Yıllarda İndirilecek KDV</t>
  </si>
  <si>
    <t xml:space="preserve"> 3. Gelecek Yıllar İhtiyacı Stoklar</t>
  </si>
  <si>
    <t xml:space="preserve"> 4. Elden Çıkarılacak Stoklar ve Maddi Duran Varlıklar</t>
  </si>
  <si>
    <t xml:space="preserve"> 5. Peşin Ödenen Vergi ve Fonlar</t>
  </si>
  <si>
    <t xml:space="preserve"> 6. Geçici Hesap</t>
  </si>
  <si>
    <t xml:space="preserve"> 7. Diğer Çeşitli Duran Varlıklar</t>
  </si>
  <si>
    <t xml:space="preserve"> 8. Stok Değer Düşüklüğü Karşılığı (-)</t>
  </si>
  <si>
    <t xml:space="preserve"> 9. Birikmiş Amortismanlar (-)</t>
  </si>
  <si>
    <t xml:space="preserve"> 7. Birikmiş Amortismanlar (-)</t>
  </si>
  <si>
    <t xml:space="preserve"> 8. Verilen Avanslar</t>
  </si>
  <si>
    <t xml:space="preserve"> 4. Uzun Vadeli Kredilerin Anapara Taksitleri ve Faizleri</t>
  </si>
  <si>
    <t xml:space="preserve"> 1. Banka Kredileri</t>
  </si>
  <si>
    <t xml:space="preserve"> 2. Finansal Kiralama İşlemlerinden Doğan Borçlar</t>
  </si>
  <si>
    <t xml:space="preserve"> 3. Ertelenmiş Finansal Kiralama Borçlanma Maliyetleri (-)</t>
  </si>
  <si>
    <t xml:space="preserve"> 5. Tahvil, Anapara, Borç Taksit ve Faizleri</t>
  </si>
  <si>
    <t xml:space="preserve"> 6. Çıkarılmış Bonolar ve Senetler</t>
  </si>
  <si>
    <t xml:space="preserve"> 7. Çıkarılmış Diğer Menkul Kıymetler</t>
  </si>
  <si>
    <t xml:space="preserve"> 8. Menkul Kıymetler İhraç Farkı (-)</t>
  </si>
  <si>
    <t xml:space="preserve"> 9. Diğer Mali Borçlar</t>
  </si>
  <si>
    <t xml:space="preserve"> 4. Çıkarılmış Tahviller</t>
  </si>
  <si>
    <t xml:space="preserve"> 5. Çıkarılmış Diğer Menkul Kıymetler</t>
  </si>
  <si>
    <t xml:space="preserve"> 6. Menkul Kıymetler İhraç Farkı (-)</t>
  </si>
  <si>
    <t xml:space="preserve"> 7. Diğer Mali Borçlar</t>
  </si>
  <si>
    <t xml:space="preserve"> 5. Özel Fonlar</t>
  </si>
  <si>
    <t xml:space="preserve"> 6. Kayda Alınan Emtia Özel Karşılıkları Hesabı</t>
  </si>
  <si>
    <t xml:space="preserve"> 7. Demirbaş Makine ve Teçhizat Özel Karşılık Hesabı</t>
  </si>
  <si>
    <t xml:space="preserve"> 1. Geçmiş Yıllar Karları</t>
  </si>
  <si>
    <t xml:space="preserve"> 1. Geçmiş Yıllar Zararları (-)</t>
  </si>
  <si>
    <t xml:space="preserve"> 1. Dönem Net Karı </t>
  </si>
  <si>
    <t xml:space="preserve"> 2. Dönem Net Zararı (-)</t>
  </si>
  <si>
    <t>Duyar Pompa ve Hidrofor Sistemleri San. ve Tic.A.Ş                                                                     İşyeri Kod :</t>
  </si>
  <si>
    <t>101-02</t>
  </si>
  <si>
    <t>TAHSİLE VERİLEN ÇEKLER</t>
  </si>
  <si>
    <t>101-02-01</t>
  </si>
  <si>
    <t>TAHSİLE VERİLEN ÇEKLER-TL</t>
  </si>
  <si>
    <t>120-02</t>
  </si>
  <si>
    <t>YURTDIŞI ALICILAR</t>
  </si>
  <si>
    <t>120-02-01</t>
  </si>
  <si>
    <t>YURTDIŞI ALICILAR-GRUP İÇİ</t>
  </si>
  <si>
    <t>120-02-01-02</t>
  </si>
  <si>
    <t>YURTDIŞI ALICILAR-GRUP İÇİ USD</t>
  </si>
  <si>
    <t>120-02-01-03</t>
  </si>
  <si>
    <t>YURTDIŞI ALICILAR-GRUP İÇİ EUR</t>
  </si>
  <si>
    <t>120-02-02</t>
  </si>
  <si>
    <t>YURTDIŞI ALICILAR-GRUP DIŞI</t>
  </si>
  <si>
    <t>120-02-02-01</t>
  </si>
  <si>
    <t>YURTDIŞI ALICILAR-GRUP DIŞI TL</t>
  </si>
  <si>
    <t>120-02-02-02</t>
  </si>
  <si>
    <t>YURTDIŞI ALICILAR-GRUP DIŞI USD</t>
  </si>
  <si>
    <t>120-02-02-03</t>
  </si>
  <si>
    <t>YURTDIŞI ALICILAR-GRUP DIŞI EUR</t>
  </si>
  <si>
    <t>121-01</t>
  </si>
  <si>
    <t>PORTFÖYDEKİ SENETLER</t>
  </si>
  <si>
    <t>121-01-01</t>
  </si>
  <si>
    <t>CÜZDANDAKİ SENETLER TL</t>
  </si>
  <si>
    <t>121-02</t>
  </si>
  <si>
    <t>TAHSİLE VERİLEN SENETLER</t>
  </si>
  <si>
    <t>121-02-01</t>
  </si>
  <si>
    <t>TAHSİLE VERİLEN SENETLER TL</t>
  </si>
  <si>
    <t>126-01</t>
  </si>
  <si>
    <t>126-01-04</t>
  </si>
  <si>
    <t>ELEKTRİK DEPOZİTOSU</t>
  </si>
  <si>
    <t>151-01-98</t>
  </si>
  <si>
    <t>ÜRETİMDEKİ YARI MAMULLER</t>
  </si>
  <si>
    <t>180-03-10</t>
  </si>
  <si>
    <t>ELEKTRONİK CİHAZ SİGORTASI</t>
  </si>
  <si>
    <t>180-03-14</t>
  </si>
  <si>
    <t>TAŞIT SİGORTALARI</t>
  </si>
  <si>
    <t>180-03-15</t>
  </si>
  <si>
    <t>GELECEK AYLARA AİT GİDERLER-DAĞITIM</t>
  </si>
  <si>
    <t>180-90-08</t>
  </si>
  <si>
    <t>BAKIM ANLAŞMALARI</t>
  </si>
  <si>
    <t>180-90-11</t>
  </si>
  <si>
    <t>PROMOSYON MALZEMESİ GİDERLERİ</t>
  </si>
  <si>
    <t>192-01</t>
  </si>
  <si>
    <t>TECİL EDİLEBİLİR  K.D.V.</t>
  </si>
  <si>
    <t>192-01-01</t>
  </si>
  <si>
    <t>TECİL EDİLEN KDV</t>
  </si>
  <si>
    <t>197-01-02</t>
  </si>
  <si>
    <t>İLK MADDE VE MALZEME SAYIM NOKSANI</t>
  </si>
  <si>
    <t>226-01</t>
  </si>
  <si>
    <t>226-01-01</t>
  </si>
  <si>
    <t>ABONELİK DEPOZİTOLARI</t>
  </si>
  <si>
    <t>226-01-02</t>
  </si>
  <si>
    <t>İŞYERİ KİRA DEPOZİTOLARI</t>
  </si>
  <si>
    <t>254-01</t>
  </si>
  <si>
    <t>254-01-01</t>
  </si>
  <si>
    <t>265-01-01</t>
  </si>
  <si>
    <t>MUHASEBE PROGRAMLARI</t>
  </si>
  <si>
    <t>265-01-04</t>
  </si>
  <si>
    <t>ÜRETİM PROGRAMLARI</t>
  </si>
  <si>
    <t>280-03-10</t>
  </si>
  <si>
    <t>280-03-14</t>
  </si>
  <si>
    <t>280-90</t>
  </si>
  <si>
    <t>280-90-11</t>
  </si>
  <si>
    <t>320-01-02-03</t>
  </si>
  <si>
    <t>YURTİÇİ SATICILAR-GRUP DIŞI EUR</t>
  </si>
  <si>
    <t>320-02-01</t>
  </si>
  <si>
    <t>YURTDIŞI SATICILAR-GRUP İÇİ</t>
  </si>
  <si>
    <t>320-02-01-01</t>
  </si>
  <si>
    <t>YURTDIŞI SATICILAR-GRUP İÇİ TL</t>
  </si>
  <si>
    <t>320-02-01-02</t>
  </si>
  <si>
    <t>YURTDIŞI SATICILAR-GRUP İÇİ USD</t>
  </si>
  <si>
    <t>335-01-99</t>
  </si>
  <si>
    <t>336-01</t>
  </si>
  <si>
    <t>336-01-99</t>
  </si>
  <si>
    <t>ÖDENECEK ÇEŞİTLİ BORÇLAR-TL</t>
  </si>
  <si>
    <t>340-01</t>
  </si>
  <si>
    <t>YURTİÇİ ALINAN SİPARİŞ AVANSI</t>
  </si>
  <si>
    <t>340-01-01</t>
  </si>
  <si>
    <t>YURTİÇİ ALINAN SİPARİŞ AVANSI-GRUP</t>
  </si>
  <si>
    <t>340-01-01-01</t>
  </si>
  <si>
    <t>340-01-02</t>
  </si>
  <si>
    <t>340-01-02-01</t>
  </si>
  <si>
    <t>340-02</t>
  </si>
  <si>
    <t>YURTDIŞI ALINAN SİPARİŞ AVANSI</t>
  </si>
  <si>
    <t>340-02-01</t>
  </si>
  <si>
    <t>YURTDIŞI ALINAN SİPARİŞ AVANSI-GRUP</t>
  </si>
  <si>
    <t>340-02-01-02</t>
  </si>
  <si>
    <t>340-02-02</t>
  </si>
  <si>
    <t>340-02-02-01</t>
  </si>
  <si>
    <t>340-02-02-02</t>
  </si>
  <si>
    <t>340-02-02-03</t>
  </si>
  <si>
    <t>360-03-03</t>
  </si>
  <si>
    <t>ÖDENECEK GEÇİCİ VERGİ</t>
  </si>
  <si>
    <t>361-01-03</t>
  </si>
  <si>
    <t>SOSYAL GÜVENLİK DESTEKLEME PRİMİ</t>
  </si>
  <si>
    <t>380-01</t>
  </si>
  <si>
    <t>DİĞER GELECEK AYLARA AİT GELİRLER</t>
  </si>
  <si>
    <t>380-01-02</t>
  </si>
  <si>
    <t>GEÇİCİ İHRACAT GELİRLERİ</t>
  </si>
  <si>
    <t>391-01-07</t>
  </si>
  <si>
    <t>% 20 HS. KDV (İHRAÇ KAYITLI)</t>
  </si>
  <si>
    <t>549-01</t>
  </si>
  <si>
    <t>SABİT KIYMET YENİLEME FONU</t>
  </si>
  <si>
    <t>549-01-01</t>
  </si>
  <si>
    <t>600-01-02</t>
  </si>
  <si>
    <t>MAMUL SATIŞLAR-GRUP DIŞI</t>
  </si>
  <si>
    <t>600-02-02</t>
  </si>
  <si>
    <t>TİCARİ MAL SATIŞLARI-GRUP DIŞI</t>
  </si>
  <si>
    <t>600-09-02</t>
  </si>
  <si>
    <t>DİĞER SATIŞLAR-GRUP DIŞI</t>
  </si>
  <si>
    <t>601-01</t>
  </si>
  <si>
    <t>601-01-02</t>
  </si>
  <si>
    <t>601-02</t>
  </si>
  <si>
    <t>601-02-02</t>
  </si>
  <si>
    <t>601-09</t>
  </si>
  <si>
    <t>601-09-02</t>
  </si>
  <si>
    <t>602-03-03</t>
  </si>
  <si>
    <t>ÜRETİM ATIK-ARTIK SATIŞLARI</t>
  </si>
  <si>
    <t>602-03-06</t>
  </si>
  <si>
    <t>PRİNÇ ATIK-ARTIK SATIŞLARI</t>
  </si>
  <si>
    <t>602-09</t>
  </si>
  <si>
    <t>602-09-02</t>
  </si>
  <si>
    <t>HİZMET SATIŞLARI</t>
  </si>
  <si>
    <t>610-01-02</t>
  </si>
  <si>
    <t>612-01</t>
  </si>
  <si>
    <t>612-01-07</t>
  </si>
  <si>
    <t>620-01-02</t>
  </si>
  <si>
    <t>SATILAN MAMULLER MALİY. -YURT İÇİ S</t>
  </si>
  <si>
    <t>621-01-02</t>
  </si>
  <si>
    <t>SATILAN TİCARİ MALLARIN MALİY. -YUR</t>
  </si>
  <si>
    <t>621-01-03</t>
  </si>
  <si>
    <t>SATILAN TİCARİ MALLAR MALİY. YURT D</t>
  </si>
  <si>
    <t>623-01-01</t>
  </si>
  <si>
    <t>HAM VE YARI MAMÜL SAT.MALİYETİ</t>
  </si>
  <si>
    <t>623-01-03</t>
  </si>
  <si>
    <t>STOK KODU DÖNÜŞÜM MALİYETİ</t>
  </si>
  <si>
    <t>631-01</t>
  </si>
  <si>
    <t>631-01-01</t>
  </si>
  <si>
    <t>646-01-02</t>
  </si>
  <si>
    <t>DÖVİZLİ BANKALAR KUR FARKI GELİRLER</t>
  </si>
  <si>
    <t>646-01-03</t>
  </si>
  <si>
    <t>DÖVİZLİ MÜŞTERİ HESAPLARI KUR FARKI</t>
  </si>
  <si>
    <t>649-01-05</t>
  </si>
  <si>
    <t>FİYAT FARKI GELİRLERİ</t>
  </si>
  <si>
    <t>649-01-07</t>
  </si>
  <si>
    <t>İŞLETME DIŞINA YANSITILAN GİDERLER</t>
  </si>
  <si>
    <t>649-01-08</t>
  </si>
  <si>
    <t>SGK TEŞVİKLERI</t>
  </si>
  <si>
    <t>649-01-99</t>
  </si>
  <si>
    <t>DİĞER OLAĞAN GELİR VE KARLAR</t>
  </si>
  <si>
    <t>653-01</t>
  </si>
  <si>
    <t>653-01-01</t>
  </si>
  <si>
    <t>KOMİSYON GİDERLERİ</t>
  </si>
  <si>
    <t>656-01-03</t>
  </si>
  <si>
    <t>659-01-03</t>
  </si>
  <si>
    <t>VADE FARKI GİDERLERİ</t>
  </si>
  <si>
    <t>659-01-99</t>
  </si>
  <si>
    <t>DİĞER MUHTELİF GİDER VE ZARARLAR</t>
  </si>
  <si>
    <t>689-01-05</t>
  </si>
  <si>
    <t>TAZMİNAT VE CEZA GİDERLERİ</t>
  </si>
  <si>
    <t>689-01-99</t>
  </si>
  <si>
    <t>DİĞER ÇEŞİTLİ OLAĞANDIŞI GİDER VE Z</t>
  </si>
  <si>
    <t>698-01-05</t>
  </si>
  <si>
    <t>TAŞITLAR ENF.DÜZ.</t>
  </si>
  <si>
    <t>698-01-07</t>
  </si>
  <si>
    <t>DİĞER MADDİ DURAN VARLIKLAR ENF.DÜZ</t>
  </si>
  <si>
    <t>730-01-05</t>
  </si>
  <si>
    <t>KIRTASİYE MALZEMESİ SARFİYATLARI</t>
  </si>
  <si>
    <t>730-05-17</t>
  </si>
  <si>
    <t>DİĞER MEKANİZASYON KİRALARI</t>
  </si>
  <si>
    <t>730-07-03</t>
  </si>
  <si>
    <t>730-07-05</t>
  </si>
  <si>
    <t>YAZILIM BAKIM VE ONARIM GİDERLERİ</t>
  </si>
  <si>
    <t>730-07-06</t>
  </si>
  <si>
    <t>ATIK BERTARAF GİDERLERİ</t>
  </si>
  <si>
    <t>730-07-09</t>
  </si>
  <si>
    <t>DİĞER BAKIM ONARIM GİDERLERİ</t>
  </si>
  <si>
    <t>730-08</t>
  </si>
  <si>
    <t>730-08-03</t>
  </si>
  <si>
    <t>MÜHENDİSLİK VE TASARIM DANIŞMANLIK</t>
  </si>
  <si>
    <t>730-08-13</t>
  </si>
  <si>
    <t>SERTİFİKASYON DENETİM GİDERLERİ</t>
  </si>
  <si>
    <t>730-10</t>
  </si>
  <si>
    <t>730-10-07</t>
  </si>
  <si>
    <t>730-14-06</t>
  </si>
  <si>
    <t>730-14-14</t>
  </si>
  <si>
    <t>DİĞER MADDİ OLMAYAN DURAN VARLIK İT</t>
  </si>
  <si>
    <t>750-02</t>
  </si>
  <si>
    <t>ENDİREKT İŞÇİLİK GİDERLERİ</t>
  </si>
  <si>
    <t>750-02-01</t>
  </si>
  <si>
    <t>ENDİREKT İŞÇİLİK ÜCRETLERİ - NORMAL</t>
  </si>
  <si>
    <t>750-02-16</t>
  </si>
  <si>
    <t>ENDİREKT İŞÇİLİK İLAVELERİ - SGK İŞ</t>
  </si>
  <si>
    <t>750-02-17</t>
  </si>
  <si>
    <t>ENDİREKT İŞÇİLİK İLAVELERİ - İŞSİZL</t>
  </si>
  <si>
    <t>750-06-03</t>
  </si>
  <si>
    <t>MOTORİN SARFİYATLARI</t>
  </si>
  <si>
    <t>750-07-05</t>
  </si>
  <si>
    <t>750-07-09</t>
  </si>
  <si>
    <t>750-08-02</t>
  </si>
  <si>
    <t>750-09-05</t>
  </si>
  <si>
    <t>TESİS VE MAKİNA KİRA GİDERLERİ</t>
  </si>
  <si>
    <t>750-10</t>
  </si>
  <si>
    <t>750-10-02</t>
  </si>
  <si>
    <t>750-10-06</t>
  </si>
  <si>
    <t>750-14-04</t>
  </si>
  <si>
    <t>750-14-06</t>
  </si>
  <si>
    <t>750-14-07</t>
  </si>
  <si>
    <t>760-01</t>
  </si>
  <si>
    <t>760-01-04</t>
  </si>
  <si>
    <t>760-02</t>
  </si>
  <si>
    <t>760-02-01</t>
  </si>
  <si>
    <t>760-02-16</t>
  </si>
  <si>
    <t>760-02-17</t>
  </si>
  <si>
    <t>760-04</t>
  </si>
  <si>
    <t>760-04-02</t>
  </si>
  <si>
    <t>760-05</t>
  </si>
  <si>
    <t>760-05-04</t>
  </si>
  <si>
    <t>ZORUNLU TAŞIT SİGORTASI GİDERLERİ</t>
  </si>
  <si>
    <t>760-05-05</t>
  </si>
  <si>
    <t>KASKO SİGORTA GİDERLERİ</t>
  </si>
  <si>
    <t>760-05-13</t>
  </si>
  <si>
    <t>760-05-14</t>
  </si>
  <si>
    <t>ALINAN TAŞERONLUK HİZMETLERİ - GÜVE</t>
  </si>
  <si>
    <t>760-05-32</t>
  </si>
  <si>
    <t>KONUK AĞIRLAMA GİDERLERİ</t>
  </si>
  <si>
    <t>760-06</t>
  </si>
  <si>
    <t>760-06-09</t>
  </si>
  <si>
    <t>760-07</t>
  </si>
  <si>
    <t>760-07-03</t>
  </si>
  <si>
    <t>760-07-05</t>
  </si>
  <si>
    <t>760-07-09</t>
  </si>
  <si>
    <t>760-08</t>
  </si>
  <si>
    <t>760-08-02</t>
  </si>
  <si>
    <t>760-08-10</t>
  </si>
  <si>
    <t>760-08-20</t>
  </si>
  <si>
    <t>760-09</t>
  </si>
  <si>
    <t>760-09-04</t>
  </si>
  <si>
    <t>760-10</t>
  </si>
  <si>
    <t>760-10-01</t>
  </si>
  <si>
    <t>ŞEHİR İÇİ ULAŞIM GİDERLERİ - YAKIT</t>
  </si>
  <si>
    <t>760-10-02</t>
  </si>
  <si>
    <t>760-10-03</t>
  </si>
  <si>
    <t>760-10-04</t>
  </si>
  <si>
    <t>ŞEHİR İÇİ ULAŞIM GİDERLERİ - DİĞER</t>
  </si>
  <si>
    <t>760-10-06</t>
  </si>
  <si>
    <t>760-10-07</t>
  </si>
  <si>
    <t>760-13</t>
  </si>
  <si>
    <t>SATIŞ, PAZARLAMA VE DAĞITIM GİDERLE</t>
  </si>
  <si>
    <t>760-13-01</t>
  </si>
  <si>
    <t>MÜŞTERİ/BAYİ YÖNETİMİ TOPLANTI GİDE</t>
  </si>
  <si>
    <t>760-13-19</t>
  </si>
  <si>
    <t>PROMOSYON MATERYALLERİ</t>
  </si>
  <si>
    <t>760-13-26</t>
  </si>
  <si>
    <t>TANITIM REKLAM PAZARLAMA HARCAMALAR</t>
  </si>
  <si>
    <t>760-14</t>
  </si>
  <si>
    <t>760-14-05</t>
  </si>
  <si>
    <t>TAŞITLAR AMORTİSMAN GİDERİ</t>
  </si>
  <si>
    <t>760-14-06</t>
  </si>
  <si>
    <t>760-14-08</t>
  </si>
  <si>
    <t>761-01</t>
  </si>
  <si>
    <t>761-01-01</t>
  </si>
  <si>
    <t>770-01-01</t>
  </si>
  <si>
    <t>770-01-05</t>
  </si>
  <si>
    <t>770-02</t>
  </si>
  <si>
    <t>770-02-01</t>
  </si>
  <si>
    <t>770-02-16</t>
  </si>
  <si>
    <t>770-02-17</t>
  </si>
  <si>
    <t>770-05-04</t>
  </si>
  <si>
    <t>770-05-05</t>
  </si>
  <si>
    <t>770-05-12</t>
  </si>
  <si>
    <t>770-05-27</t>
  </si>
  <si>
    <t>770-05-40</t>
  </si>
  <si>
    <t>770-07-05</t>
  </si>
  <si>
    <t>770-07-09</t>
  </si>
  <si>
    <t>770-10-01</t>
  </si>
  <si>
    <t>770-10-04</t>
  </si>
  <si>
    <t>770-13</t>
  </si>
  <si>
    <t>770-13-26</t>
  </si>
  <si>
    <t>770-14-05</t>
  </si>
  <si>
    <t>770-14-14</t>
  </si>
  <si>
    <t>780-01-01</t>
  </si>
  <si>
    <t>780-01-03</t>
  </si>
  <si>
    <t>BANKA MASRAFLARI</t>
  </si>
  <si>
    <t>DUYAR POMPA VE HİDROFOR SİSTEMLERİ SAN. VE TİC. A.Ş.</t>
  </si>
  <si>
    <t>0102-00010</t>
  </si>
  <si>
    <t>EFT MASRAFI</t>
  </si>
  <si>
    <t>0102-00009</t>
  </si>
  <si>
    <t>Banka-015</t>
  </si>
  <si>
    <t>0104-00008</t>
  </si>
  <si>
    <t>BANKA EFT MASRAFI</t>
  </si>
  <si>
    <t>0104-00005</t>
  </si>
  <si>
    <t>0109-00016</t>
  </si>
  <si>
    <t>MUHABİR MASRAF BEDELİ</t>
  </si>
  <si>
    <t>usd</t>
  </si>
  <si>
    <t>0109-00004</t>
  </si>
  <si>
    <t>0119-00006</t>
  </si>
  <si>
    <t>ZİRAAT BANKA MASRAFI</t>
  </si>
  <si>
    <t>0119-00005</t>
  </si>
  <si>
    <t>0124-00028</t>
  </si>
  <si>
    <t>ALİ KAAN ESMER İŞ AVANS  ÖDEMESİ</t>
  </si>
  <si>
    <t>USD</t>
  </si>
  <si>
    <t>0124-00010</t>
  </si>
  <si>
    <t>0126-00012</t>
  </si>
  <si>
    <t>ZİRAAT BANK EFT MASRAFI</t>
  </si>
  <si>
    <t>0126-00008</t>
  </si>
  <si>
    <t>0129-00006</t>
  </si>
  <si>
    <t>KOMİSYON TAKSİT ÖDEMESİ</t>
  </si>
  <si>
    <t>0129-00001</t>
  </si>
  <si>
    <t>Banka-002</t>
  </si>
  <si>
    <t>0130-00023</t>
  </si>
  <si>
    <t>0202-00020</t>
  </si>
  <si>
    <t>0202-00005</t>
  </si>
  <si>
    <t>0206-00001</t>
  </si>
  <si>
    <t>0213-00046</t>
  </si>
  <si>
    <t>EFT MASRAFI-STET</t>
  </si>
  <si>
    <t>0213-00025</t>
  </si>
  <si>
    <t>0223-00014</t>
  </si>
  <si>
    <t>0223-00012</t>
  </si>
  <si>
    <t>0223-00029</t>
  </si>
  <si>
    <t>EFT MASRAFIEFT MASRAFI</t>
  </si>
  <si>
    <t>0223-00028</t>
  </si>
  <si>
    <t>0223-00030</t>
  </si>
  <si>
    <t>0223-00032</t>
  </si>
  <si>
    <t>0223-00033</t>
  </si>
  <si>
    <t>0223-00031</t>
  </si>
  <si>
    <t>0223-00034</t>
  </si>
  <si>
    <t>0223-00036</t>
  </si>
  <si>
    <t>0223-00039</t>
  </si>
  <si>
    <t>0223-00035</t>
  </si>
  <si>
    <t>0223-00040</t>
  </si>
  <si>
    <t>0223-00043</t>
  </si>
  <si>
    <t>0223-00044</t>
  </si>
  <si>
    <t>0223-00045</t>
  </si>
  <si>
    <t>0223-00041</t>
  </si>
  <si>
    <t>0223-00046</t>
  </si>
  <si>
    <t>0223-00042</t>
  </si>
  <si>
    <t>0223-00047</t>
  </si>
  <si>
    <t>0228-00013</t>
  </si>
  <si>
    <t>GEKAP VERGİ ÖDEMESİ 2023/07-09</t>
  </si>
  <si>
    <t>0228-00007</t>
  </si>
  <si>
    <t>0228-00019</t>
  </si>
  <si>
    <t>ÇEK TAHSİL ÜCRETİ</t>
  </si>
  <si>
    <t>0228-00008</t>
  </si>
  <si>
    <t>0301-00022</t>
  </si>
  <si>
    <t>IBKB MASRAFI</t>
  </si>
  <si>
    <t>0301-00009</t>
  </si>
  <si>
    <t>0301-00029</t>
  </si>
  <si>
    <t>LTD TRIADA GELEN BANKA ÖDEMESİ</t>
  </si>
  <si>
    <t>0301-00012</t>
  </si>
  <si>
    <t>0301-00030</t>
  </si>
  <si>
    <t>MUHABİR MASRAFI</t>
  </si>
  <si>
    <t>0301-00013</t>
  </si>
  <si>
    <t>0305-00009</t>
  </si>
  <si>
    <t>0305-00003</t>
  </si>
  <si>
    <t>0308-00005</t>
  </si>
  <si>
    <t>0308-00004</t>
  </si>
  <si>
    <t>0308-00007</t>
  </si>
  <si>
    <t>0308-00006</t>
  </si>
  <si>
    <t>0308-00008</t>
  </si>
  <si>
    <t>0308-00009</t>
  </si>
  <si>
    <t>0308-00010</t>
  </si>
  <si>
    <t>0308-00012</t>
  </si>
  <si>
    <t>0308-00014</t>
  </si>
  <si>
    <t>0308-00016</t>
  </si>
  <si>
    <t>0308-00015</t>
  </si>
  <si>
    <t>0308-00018</t>
  </si>
  <si>
    <t>0308-00017</t>
  </si>
  <si>
    <t>0308-00019</t>
  </si>
  <si>
    <t>0308-00020</t>
  </si>
  <si>
    <t>EFT MASRAF</t>
  </si>
  <si>
    <t>0308-00021</t>
  </si>
  <si>
    <t>0308-00022</t>
  </si>
  <si>
    <t>0308-00024</t>
  </si>
  <si>
    <t>0308-00023</t>
  </si>
  <si>
    <t>0308-00025</t>
  </si>
  <si>
    <t>0308-00026</t>
  </si>
  <si>
    <t>0308-00027</t>
  </si>
  <si>
    <t>0308-00028</t>
  </si>
  <si>
    <t>0308-00029</t>
  </si>
  <si>
    <t>0308-00030</t>
  </si>
  <si>
    <t>0308-00031</t>
  </si>
  <si>
    <t>0308-00032</t>
  </si>
  <si>
    <t>0308-00034</t>
  </si>
  <si>
    <t>0308-00033</t>
  </si>
  <si>
    <t>0308-00035</t>
  </si>
  <si>
    <t>0308-00036</t>
  </si>
  <si>
    <t>0308-00037</t>
  </si>
  <si>
    <t>NIGMA KONSTRUKSJON GELEN ÖDEME</t>
  </si>
  <si>
    <t>0315-00014</t>
  </si>
  <si>
    <t>0315-00002</t>
  </si>
  <si>
    <t>0315-00015</t>
  </si>
  <si>
    <t>0315-00003</t>
  </si>
  <si>
    <t>0315-00016</t>
  </si>
  <si>
    <t>0315-00004</t>
  </si>
  <si>
    <t>0315-00005</t>
  </si>
  <si>
    <t>0315-00018</t>
  </si>
  <si>
    <t>0315-00006</t>
  </si>
  <si>
    <t>0315-00019</t>
  </si>
  <si>
    <t>0315-00007</t>
  </si>
  <si>
    <t>0315-00020</t>
  </si>
  <si>
    <t>0315-00008</t>
  </si>
  <si>
    <t>0315-00021</t>
  </si>
  <si>
    <t>0315-00009</t>
  </si>
  <si>
    <t>0318-00018</t>
  </si>
  <si>
    <t>0318-00006</t>
  </si>
  <si>
    <t>0322-00001</t>
  </si>
  <si>
    <t>0322-00010</t>
  </si>
  <si>
    <t>0322-00002</t>
  </si>
  <si>
    <t>0322-00011</t>
  </si>
  <si>
    <t>0322-00012</t>
  </si>
  <si>
    <t>0322-00004</t>
  </si>
  <si>
    <t>0322-00013</t>
  </si>
  <si>
    <t>0322-00005</t>
  </si>
  <si>
    <t>0322-00014</t>
  </si>
  <si>
    <t>0322-00006</t>
  </si>
  <si>
    <t>0322-00015</t>
  </si>
  <si>
    <t>0322-00007</t>
  </si>
  <si>
    <t>0322-00016</t>
  </si>
  <si>
    <t>0322-00008</t>
  </si>
  <si>
    <t>0322-00018</t>
  </si>
  <si>
    <t>0322-00019</t>
  </si>
  <si>
    <t>0322-00020</t>
  </si>
  <si>
    <t>0322-00021</t>
  </si>
  <si>
    <t>0322-00022</t>
  </si>
  <si>
    <t>0329-00023</t>
  </si>
  <si>
    <t>DBS LİMİT KOMİSYON GİDERİ</t>
  </si>
  <si>
    <t>0329-00001</t>
  </si>
  <si>
    <t>0329-00025</t>
  </si>
  <si>
    <t>ADİL SİGORTA-AXA SİGORTA ÖDEMESİ</t>
  </si>
  <si>
    <t>0329-00003</t>
  </si>
  <si>
    <t>0329-00027</t>
  </si>
  <si>
    <t>YAKAMOZ JEN. SİPARİŞ ÖDEMESİ</t>
  </si>
  <si>
    <t>0329-00005</t>
  </si>
  <si>
    <t>0331-00024</t>
  </si>
  <si>
    <t>EFT GİDERİ</t>
  </si>
  <si>
    <t>0402-00002</t>
  </si>
  <si>
    <t>0402-00001</t>
  </si>
  <si>
    <t>0402-00003</t>
  </si>
  <si>
    <t>0403-00009</t>
  </si>
  <si>
    <t>0403-00006</t>
  </si>
  <si>
    <t>0404-00002</t>
  </si>
  <si>
    <t>0404-00001</t>
  </si>
  <si>
    <t>0404-00030</t>
  </si>
  <si>
    <t>EFT MASRAF ÖDEMESİ</t>
  </si>
  <si>
    <t>0404-00029</t>
  </si>
  <si>
    <t>0404-00031</t>
  </si>
  <si>
    <t>0416-00014</t>
  </si>
  <si>
    <t>TOPLU EFT MASRAF ÖDEMESİ</t>
  </si>
  <si>
    <t>0416-00011</t>
  </si>
  <si>
    <t>0419-00008</t>
  </si>
  <si>
    <t>EFT</t>
  </si>
  <si>
    <t>0424-00001</t>
  </si>
  <si>
    <t>0426-00020</t>
  </si>
  <si>
    <t>0426-00017</t>
  </si>
  <si>
    <t>ALBARAKA KOMİSYON TAHSİLATI</t>
  </si>
  <si>
    <t>0429-00001</t>
  </si>
  <si>
    <t>0503-00012</t>
  </si>
  <si>
    <t>0503-00003</t>
  </si>
  <si>
    <t>0509-00020</t>
  </si>
  <si>
    <t>0509-00005</t>
  </si>
  <si>
    <t>0509-00031</t>
  </si>
  <si>
    <t>0509-00006</t>
  </si>
  <si>
    <t>0510-00035</t>
  </si>
  <si>
    <t>DÖVİZ ALIŞ KMV VERGİ ÖDEMESİ</t>
  </si>
  <si>
    <t>0510-00034</t>
  </si>
  <si>
    <t>0516-00014</t>
  </si>
  <si>
    <t>İHRACAT İADE MASRAFI</t>
  </si>
  <si>
    <t>0516-00004</t>
  </si>
  <si>
    <t>0517-00015</t>
  </si>
  <si>
    <t>0517-00007</t>
  </si>
  <si>
    <t>0517-00034</t>
  </si>
  <si>
    <t>17.05.2024 EFT MASRAF ÖDEMESİ</t>
  </si>
  <si>
    <t>0517-00026</t>
  </si>
  <si>
    <t>0517-00037</t>
  </si>
  <si>
    <t>0517-00028</t>
  </si>
  <si>
    <t>0520-00012</t>
  </si>
  <si>
    <t>20.05.2024 EFT MASRAF ÖDEMESİ</t>
  </si>
  <si>
    <t>0520-00004</t>
  </si>
  <si>
    <t>0520-00019</t>
  </si>
  <si>
    <t>0520-00006</t>
  </si>
  <si>
    <t>0521-00009</t>
  </si>
  <si>
    <t>0521-00004</t>
  </si>
  <si>
    <t>0521-00023</t>
  </si>
  <si>
    <t>0521-00007</t>
  </si>
  <si>
    <t>0521-00024</t>
  </si>
  <si>
    <t>0521-00008</t>
  </si>
  <si>
    <t>0527-00011</t>
  </si>
  <si>
    <t>27.05.2024 EFT MASRAF ÖDEMESİ</t>
  </si>
  <si>
    <t>0613-00010</t>
  </si>
  <si>
    <t>EFT AÇIKLAMA ÜCRETİ</t>
  </si>
  <si>
    <t>0613-00005</t>
  </si>
  <si>
    <t>0613-00011</t>
  </si>
  <si>
    <t>0613-00006</t>
  </si>
  <si>
    <t>0613-00013</t>
  </si>
  <si>
    <t>0613-00008</t>
  </si>
  <si>
    <t>0614-00016</t>
  </si>
  <si>
    <t>0614-00003</t>
  </si>
  <si>
    <t>0626-00031</t>
  </si>
  <si>
    <t>KOMISYON BEDELI ÖDEMESİ</t>
  </si>
  <si>
    <t>0626-00010</t>
  </si>
  <si>
    <t>0628-00031</t>
  </si>
  <si>
    <t>MUHABİR MASRAFI   İADE</t>
  </si>
  <si>
    <t>0628-00014</t>
  </si>
  <si>
    <t>BANKA MASRALARI FİNANSMAN GİDER KISITLAMASINA TABİ DEĞİLDİR</t>
  </si>
  <si>
    <t>0101-00001</t>
  </si>
  <si>
    <t>YBB2024010102751 TURKNET İLETİŞİM HİZMET</t>
  </si>
  <si>
    <t>OTOMATIK Plaka no: 34FDF874 , 1117437630</t>
  </si>
  <si>
    <t>0103-00002</t>
  </si>
  <si>
    <t>0103-00005</t>
  </si>
  <si>
    <t>0103-00003</t>
  </si>
  <si>
    <t>0103-00019</t>
  </si>
  <si>
    <t>GNY2024000000001 GÜNEYLİ OTOMOBİL OTO SE</t>
  </si>
  <si>
    <t>0104-00003</t>
  </si>
  <si>
    <t>0104-00002</t>
  </si>
  <si>
    <t>0105-00011</t>
  </si>
  <si>
    <t>12/12/23-85985303 SGK IPC BORÇ ÖDEME</t>
  </si>
  <si>
    <t>0105-00003</t>
  </si>
  <si>
    <t>0107-00001</t>
  </si>
  <si>
    <t>0108-00048</t>
  </si>
  <si>
    <t>KRK2024000000002 KARACA HIRDAVAT CİVATA</t>
  </si>
  <si>
    <t>0109-00002</t>
  </si>
  <si>
    <t>OTOMATIK Plaka no: 34CZE831 , 1117318885</t>
  </si>
  <si>
    <t>0109-00001</t>
  </si>
  <si>
    <t>OTOMATIK Plaka no: 34GS0987 , 1113247685</t>
  </si>
  <si>
    <t>0110-00024</t>
  </si>
  <si>
    <t>AAA2024000000844 BATI KURUMSAL TEDARİK Ç</t>
  </si>
  <si>
    <t>0111-00003</t>
  </si>
  <si>
    <t>0111-00001</t>
  </si>
  <si>
    <t>0111-00004</t>
  </si>
  <si>
    <t>0111-00002</t>
  </si>
  <si>
    <t>0113-00001</t>
  </si>
  <si>
    <t>OTOMATIK Plaka no: 34FMA593 , 1117685178</t>
  </si>
  <si>
    <t>0114-00001</t>
  </si>
  <si>
    <t>0117-00011</t>
  </si>
  <si>
    <t>0117-00001</t>
  </si>
  <si>
    <t>0117-00013</t>
  </si>
  <si>
    <t>0117-00003</t>
  </si>
  <si>
    <t>0117-00014</t>
  </si>
  <si>
    <t>0117-00004</t>
  </si>
  <si>
    <t>0117-00015</t>
  </si>
  <si>
    <t>0117-00005</t>
  </si>
  <si>
    <t>0118-00003</t>
  </si>
  <si>
    <t>DP-F-0011 FURKAN SANCAR / İŞ AVANSI</t>
  </si>
  <si>
    <t>0118-00008</t>
  </si>
  <si>
    <t>0119-00022</t>
  </si>
  <si>
    <t>GAD2024000000029 KREDİ KARTI SATICILARI</t>
  </si>
  <si>
    <t>99-07</t>
  </si>
  <si>
    <t>0119-00042</t>
  </si>
  <si>
    <t>0119-00020</t>
  </si>
  <si>
    <t>0120-00002</t>
  </si>
  <si>
    <t>0120-00001</t>
  </si>
  <si>
    <t>0120-00003</t>
  </si>
  <si>
    <t>OTOMATIK Plaka no: 34EME494 , 1117318887</t>
  </si>
  <si>
    <t>0120-00007</t>
  </si>
  <si>
    <t>BAE2024000001005 BATI KURUMSAL TEDARİK Ç</t>
  </si>
  <si>
    <t>0123-00007</t>
  </si>
  <si>
    <t>0123-00001</t>
  </si>
  <si>
    <t>0124-00004</t>
  </si>
  <si>
    <t>34GHZ549 MTV ÖDEMESİ</t>
  </si>
  <si>
    <t>0124-00002</t>
  </si>
  <si>
    <t>06FY6809 MTV ÖDEMESİ</t>
  </si>
  <si>
    <t>34CZE831 MTV ÖDEMESİ</t>
  </si>
  <si>
    <t>34EME494 MTV ÖDEMESİ</t>
  </si>
  <si>
    <t>34FMA593 MTV ÖDEMESİ</t>
  </si>
  <si>
    <t>34FDF874 MTV ÖDEMESİ</t>
  </si>
  <si>
    <t>34GS0987 MTV ÖDEMESİ</t>
  </si>
  <si>
    <t>0124-00012</t>
  </si>
  <si>
    <t>LDE2024000008230 KREDİ KARTI SATICILARI</t>
  </si>
  <si>
    <t>0124-00017</t>
  </si>
  <si>
    <t>0124-00007</t>
  </si>
  <si>
    <t>0124-00018</t>
  </si>
  <si>
    <t>0124-00008</t>
  </si>
  <si>
    <t>0125-00004</t>
  </si>
  <si>
    <t>0125-00001</t>
  </si>
  <si>
    <t>0125-00002</t>
  </si>
  <si>
    <t>0125-00006</t>
  </si>
  <si>
    <t>0125-00003</t>
  </si>
  <si>
    <t>OTOMATIK Plaka no: 34SP7576 , 1117318884</t>
  </si>
  <si>
    <t>OTOMATIK Plaka no: 34RL4917 , 1117318883</t>
  </si>
  <si>
    <t>OTOMATIK Plaka no: 06FY6809 , 1117318886</t>
  </si>
  <si>
    <t>0128-00002</t>
  </si>
  <si>
    <t>0128-00001</t>
  </si>
  <si>
    <t>0130-00024</t>
  </si>
  <si>
    <t>ARALIK/23 KDV ÖDEMESİ</t>
  </si>
  <si>
    <t>0130-00033</t>
  </si>
  <si>
    <t>0130-00028</t>
  </si>
  <si>
    <t>0130-00034</t>
  </si>
  <si>
    <t>0130-00029</t>
  </si>
  <si>
    <t>0131-00001</t>
  </si>
  <si>
    <t>BAE2024000004668 BATI KURUMSAL TEDARİK Ç</t>
  </si>
  <si>
    <t>0131-00002</t>
  </si>
  <si>
    <t>0131-00028</t>
  </si>
  <si>
    <t>GB32024003926840 TT MOBİL İLETİŞİM HİZME</t>
  </si>
  <si>
    <t>0131-00045</t>
  </si>
  <si>
    <t>KRC2024000000981 KARACA HIRDAVAT CİVATA</t>
  </si>
  <si>
    <t>0131-00073</t>
  </si>
  <si>
    <t>0131-00004</t>
  </si>
  <si>
    <t>0131-00074</t>
  </si>
  <si>
    <t>DİĞER ÇEŞİTLİ OLAĞANDIŞI GİDER VE ZARARL</t>
  </si>
  <si>
    <t>DPA2024000000008 FATURA İPTALİ</t>
  </si>
  <si>
    <t>0131-00075</t>
  </si>
  <si>
    <t>DPA2024000000007 FATURA İPTALİ</t>
  </si>
  <si>
    <t>0131-00082</t>
  </si>
  <si>
    <t>OCAK 2024 320-679-689 VİRMAN KAYDI</t>
  </si>
  <si>
    <t>0131-00086</t>
  </si>
  <si>
    <t>OCAK /2024 340-679 ARASI VİRMAN</t>
  </si>
  <si>
    <t>0131-00090</t>
  </si>
  <si>
    <t>OCAK/2024 320-689 HESAPLAR ARASI VİRMAN</t>
  </si>
  <si>
    <t>0201-00014</t>
  </si>
  <si>
    <t>İSTANBUL SANAYİ ODASI AİDAT ÖDEMESİ</t>
  </si>
  <si>
    <t>0201-00029</t>
  </si>
  <si>
    <t>YCB2024020101824 TURKNET İLETİŞİM HİZMET</t>
  </si>
  <si>
    <t>0202-00008</t>
  </si>
  <si>
    <t>0202-00002</t>
  </si>
  <si>
    <t>0202-00009</t>
  </si>
  <si>
    <t>0202-00003</t>
  </si>
  <si>
    <t>0202-00010</t>
  </si>
  <si>
    <t>0203-00001</t>
  </si>
  <si>
    <t>0206-00012</t>
  </si>
  <si>
    <t>OTOMATIK Plaka no: 34GHZ549 1113247684</t>
  </si>
  <si>
    <t>0207-00019</t>
  </si>
  <si>
    <t>0207-00002</t>
  </si>
  <si>
    <t>0207-00036</t>
  </si>
  <si>
    <t>0207-00005</t>
  </si>
  <si>
    <t>0208-00001</t>
  </si>
  <si>
    <t>0208-00005</t>
  </si>
  <si>
    <t>0209-00003</t>
  </si>
  <si>
    <t>0209-00006</t>
  </si>
  <si>
    <t>0210-00001</t>
  </si>
  <si>
    <t>BAE2024000008470 BATI KURUMSAL TEDARİK Ç</t>
  </si>
  <si>
    <t>0213-00010</t>
  </si>
  <si>
    <t>0213-00001</t>
  </si>
  <si>
    <t>0214-00005</t>
  </si>
  <si>
    <t>0214-00001</t>
  </si>
  <si>
    <t>0215-00018</t>
  </si>
  <si>
    <t>0215-00001</t>
  </si>
  <si>
    <t>0215-00019</t>
  </si>
  <si>
    <t>0215-00002</t>
  </si>
  <si>
    <t>0215-00020</t>
  </si>
  <si>
    <t>0215-00003</t>
  </si>
  <si>
    <t>0215-00021</t>
  </si>
  <si>
    <t>0215-00004</t>
  </si>
  <si>
    <t>0216-00006</t>
  </si>
  <si>
    <t>0216-00004</t>
  </si>
  <si>
    <t>0217-00001</t>
  </si>
  <si>
    <t>0217-00002</t>
  </si>
  <si>
    <t>0219-00025</t>
  </si>
  <si>
    <t>HLT2024000000180 KREDİ KARTI SATICILARI</t>
  </si>
  <si>
    <t>0220-00007</t>
  </si>
  <si>
    <t>BAE2024000012298 BATI KURUMSAL TEDARİK Ç</t>
  </si>
  <si>
    <t>0220-00016</t>
  </si>
  <si>
    <t>0220-00002</t>
  </si>
  <si>
    <t>0220-00017</t>
  </si>
  <si>
    <t>0220-00018</t>
  </si>
  <si>
    <t>0220-00004</t>
  </si>
  <si>
    <t>0221-00012</t>
  </si>
  <si>
    <t>0221-00003</t>
  </si>
  <si>
    <t>0221-00013</t>
  </si>
  <si>
    <t>0221-00004</t>
  </si>
  <si>
    <t>0221-00014</t>
  </si>
  <si>
    <t>0221-00015</t>
  </si>
  <si>
    <t>0221-00006</t>
  </si>
  <si>
    <t>0222-00009</t>
  </si>
  <si>
    <t>0222-00002</t>
  </si>
  <si>
    <t>0222-00010</t>
  </si>
  <si>
    <t>0222-00003</t>
  </si>
  <si>
    <t>0223-00003</t>
  </si>
  <si>
    <t>0223-00001</t>
  </si>
  <si>
    <t>0225-00003</t>
  </si>
  <si>
    <t>0225-00004</t>
  </si>
  <si>
    <t>0226-00015</t>
  </si>
  <si>
    <t>0226-00001</t>
  </si>
  <si>
    <t>0227-00003</t>
  </si>
  <si>
    <t>0227-00007</t>
  </si>
  <si>
    <t>0227-00004</t>
  </si>
  <si>
    <t>0227-00008</t>
  </si>
  <si>
    <t>0227-00005</t>
  </si>
  <si>
    <t>34EJ655 TRAFİK CEZASI ÖDEMESİ</t>
  </si>
  <si>
    <t>0228-00002</t>
  </si>
  <si>
    <t>0228-00011</t>
  </si>
  <si>
    <t>0228-00005</t>
  </si>
  <si>
    <t>0228-00012</t>
  </si>
  <si>
    <t>0228-00006</t>
  </si>
  <si>
    <t>0229-00005</t>
  </si>
  <si>
    <t>GB32024004013126 TT MOBİL İLETİŞİM HİZME</t>
  </si>
  <si>
    <t>0229-00006</t>
  </si>
  <si>
    <t>BAE2024000016123 BATI KURUMSAL TEDARİK Ç</t>
  </si>
  <si>
    <t>0301-00024</t>
  </si>
  <si>
    <t>0301-00011</t>
  </si>
  <si>
    <t>0301-00028</t>
  </si>
  <si>
    <t>YDB2024030101226 TURKNET İLETİŞİM HİZMET</t>
  </si>
  <si>
    <t>0301-00037</t>
  </si>
  <si>
    <t>DP-F-0013 SERTER ASLAN / İŞ AVANSI</t>
  </si>
  <si>
    <t>0301-00038</t>
  </si>
  <si>
    <t>DP-F-0014 SERTER ASLAN / İŞ AVANSI</t>
  </si>
  <si>
    <t>0301-00039</t>
  </si>
  <si>
    <t>DP-F-240201 GÖRKEM İPEK / İŞ AVANSI</t>
  </si>
  <si>
    <t>0301-00040</t>
  </si>
  <si>
    <t>DP-F-240229 ERGİN OLGUN / İŞ AVANSI</t>
  </si>
  <si>
    <t>0301-00043</t>
  </si>
  <si>
    <t>DP-F--20240208 ONUR ÇAKIROĞLU / İŞ AVANS</t>
  </si>
  <si>
    <t>0303-00001</t>
  </si>
  <si>
    <t>311000264249396 ADİL SİGORTA ARA. HİZ. L</t>
  </si>
  <si>
    <t>0303-00002</t>
  </si>
  <si>
    <t>333000017020382 ADİL SİGORTA ARA. HİZ. L</t>
  </si>
  <si>
    <t>0306-00004</t>
  </si>
  <si>
    <t>0306-00002</t>
  </si>
  <si>
    <t>0307-00003</t>
  </si>
  <si>
    <t>0307-00015</t>
  </si>
  <si>
    <t>311000266089880 ADİL SİGORTA ARA. HİZ. L</t>
  </si>
  <si>
    <t>0307-00016</t>
  </si>
  <si>
    <t>333000017058905 ADİL SİGORTA ARA. HİZ. L</t>
  </si>
  <si>
    <t>0308-00039</t>
  </si>
  <si>
    <t>2910725341 İSTANBUL SU VE KANALİZASYON İ</t>
  </si>
  <si>
    <t>0308-00051</t>
  </si>
  <si>
    <t>AKT2024000000029 AKTEK DÖKÜM SAN.TİC.LTD</t>
  </si>
  <si>
    <t>0309-00001</t>
  </si>
  <si>
    <t>0309-00004</t>
  </si>
  <si>
    <t>DP-F--20240309 ONUR ÇAKIROĞLU / İŞ AVANS</t>
  </si>
  <si>
    <t>0310-00001</t>
  </si>
  <si>
    <t>BAE2024000020167 BATI KURUMSAL TEDARİK Ç</t>
  </si>
  <si>
    <t>0312-00013</t>
  </si>
  <si>
    <t>0312-00001</t>
  </si>
  <si>
    <t>0312-00014</t>
  </si>
  <si>
    <t>0312-00002</t>
  </si>
  <si>
    <t>0313-00014</t>
  </si>
  <si>
    <t>0313-00001</t>
  </si>
  <si>
    <t>0313-00015</t>
  </si>
  <si>
    <t>0313-00002</t>
  </si>
  <si>
    <t>0313-00016</t>
  </si>
  <si>
    <t>0313-00003</t>
  </si>
  <si>
    <t>0313-00017</t>
  </si>
  <si>
    <t>0313-00004</t>
  </si>
  <si>
    <t>0313-00019</t>
  </si>
  <si>
    <t>OR02024000001239 KREDİ KARTI SATICILARI</t>
  </si>
  <si>
    <t>0314-00010</t>
  </si>
  <si>
    <t>0314-00001</t>
  </si>
  <si>
    <t>0314-00011</t>
  </si>
  <si>
    <t>0314-00002</t>
  </si>
  <si>
    <t>0314-00017</t>
  </si>
  <si>
    <t>KRK2024000000152 KRK ELK. İNŞ. TUR. SAN.</t>
  </si>
  <si>
    <t>0316-00001</t>
  </si>
  <si>
    <t>0318-00023</t>
  </si>
  <si>
    <t>0318-00011</t>
  </si>
  <si>
    <t>0319-00015</t>
  </si>
  <si>
    <t>TUN2024000000299 TUNÇ METAL DÖKÜM SAN. T</t>
  </si>
  <si>
    <t>0320-00010</t>
  </si>
  <si>
    <t>0320-00001</t>
  </si>
  <si>
    <t>0320-00012</t>
  </si>
  <si>
    <t>BAE2024000024058 BATI KURUMSAL TEDARİK Ç</t>
  </si>
  <si>
    <t>0323-00001</t>
  </si>
  <si>
    <t>0325-00008</t>
  </si>
  <si>
    <t>AKT2024000000037 AKTEK DÖKÜM SAN.TİC.LTD</t>
  </si>
  <si>
    <t>0326-00010</t>
  </si>
  <si>
    <t>11/2023 MUHTASAR GEÇMİŞ ÖDEMESİ</t>
  </si>
  <si>
    <t>0326-00003</t>
  </si>
  <si>
    <t>0327-00008</t>
  </si>
  <si>
    <t>0327-00009</t>
  </si>
  <si>
    <t>0327-00002</t>
  </si>
  <si>
    <t>0327-00019</t>
  </si>
  <si>
    <t>GIB2024000000062 SEYİT MEHMET ASLAN-ÖZLE</t>
  </si>
  <si>
    <t>0328-00004</t>
  </si>
  <si>
    <t>KASIM/2023 BEYANNAME DÜZELTME CEZA ÖDEME</t>
  </si>
  <si>
    <t>0328-00002</t>
  </si>
  <si>
    <t>0328-00007</t>
  </si>
  <si>
    <t>KASIM/2023 KDV DÜZELTME BEYAN ÖDEMESİ</t>
  </si>
  <si>
    <t>0328-00005</t>
  </si>
  <si>
    <t>0328-00008</t>
  </si>
  <si>
    <t>OCAK/2024 KDV DÜZELTME BEYAN ÖDEMESİKASI</t>
  </si>
  <si>
    <t>0328-00006</t>
  </si>
  <si>
    <t>0329-00024</t>
  </si>
  <si>
    <t>0329-00002</t>
  </si>
  <si>
    <t>0330-00004</t>
  </si>
  <si>
    <t>0330-00001</t>
  </si>
  <si>
    <t>0330-00005</t>
  </si>
  <si>
    <t>0330-00002</t>
  </si>
  <si>
    <t>0331-00006</t>
  </si>
  <si>
    <t>EAE2024000001093 BATI KURUMSAL TEDARİK Ç</t>
  </si>
  <si>
    <t>0331-00026</t>
  </si>
  <si>
    <t>GEZER-MASS KASTAMONU-CARİ SIFIRLAMA</t>
  </si>
  <si>
    <t>0331-00028</t>
  </si>
  <si>
    <t>NATURAL POMPA CHM 689 HESABA VİRMAN</t>
  </si>
  <si>
    <t>0331-00034</t>
  </si>
  <si>
    <t>GB32024004121774 TT MOBİL İLETİŞİM HİZME</t>
  </si>
  <si>
    <t>0401-00006</t>
  </si>
  <si>
    <t>GIB2024000000065 SEYİT MEHMET ASLAN-ÖZLE</t>
  </si>
  <si>
    <t>0401-00011</t>
  </si>
  <si>
    <t>YEB2024040101699 TURKNET İLETİŞİM HİZMET</t>
  </si>
  <si>
    <t>0402-00005</t>
  </si>
  <si>
    <t>0402-00021</t>
  </si>
  <si>
    <t>RYL2024000001687 ROYAL METAL SANAYİ VE T</t>
  </si>
  <si>
    <t>0403-00001</t>
  </si>
  <si>
    <t>0404-00035</t>
  </si>
  <si>
    <t>0404-00034</t>
  </si>
  <si>
    <t>0405-00006</t>
  </si>
  <si>
    <t>EFR2024000000437 EFORGRUP PROMOSYON BİLG</t>
  </si>
  <si>
    <t>0408-00003</t>
  </si>
  <si>
    <t>0410-00001</t>
  </si>
  <si>
    <t>0410-00002</t>
  </si>
  <si>
    <t>0410-00003</t>
  </si>
  <si>
    <t>EAE2024000004760 BATI KURUMSAL TEDARİK Ç</t>
  </si>
  <si>
    <t>0411-00001</t>
  </si>
  <si>
    <t>0415-00003</t>
  </si>
  <si>
    <t>0415-00004</t>
  </si>
  <si>
    <t>0415-00005</t>
  </si>
  <si>
    <t>0415-00017</t>
  </si>
  <si>
    <t>GÖRKEM/20241504 GÖRKEM İPEK / İŞ AVANSI</t>
  </si>
  <si>
    <t>0416-00012</t>
  </si>
  <si>
    <t>0416-00009</t>
  </si>
  <si>
    <t>0416-00013</t>
  </si>
  <si>
    <t>0416-00010</t>
  </si>
  <si>
    <t>0417-00006</t>
  </si>
  <si>
    <t>0417-00001</t>
  </si>
  <si>
    <t>0417-00007</t>
  </si>
  <si>
    <t>0417-00002</t>
  </si>
  <si>
    <t>0418-00010</t>
  </si>
  <si>
    <t>0418-00003</t>
  </si>
  <si>
    <t>0418-00011</t>
  </si>
  <si>
    <t>0418-00014</t>
  </si>
  <si>
    <t>KRK2024000000260 KÜRK-AR DÖKÜM SANAYİ VE</t>
  </si>
  <si>
    <t>0418-00017</t>
  </si>
  <si>
    <t>SERTER 20240418 SERTER ASLAN / İŞ AVANSI</t>
  </si>
  <si>
    <t>0419-00006</t>
  </si>
  <si>
    <t>0419-00003</t>
  </si>
  <si>
    <t>0420-00001</t>
  </si>
  <si>
    <t>EAE2024000008391 BATI KURUMSAL TEDARİK Ç</t>
  </si>
  <si>
    <t>0420-00003</t>
  </si>
  <si>
    <t>EAE2024000012011 BATI KURUMSAL TEDARİK Ç</t>
  </si>
  <si>
    <t>0422-00005</t>
  </si>
  <si>
    <t>0422-00001</t>
  </si>
  <si>
    <t>0423-00001</t>
  </si>
  <si>
    <t>0424-00011</t>
  </si>
  <si>
    <t>KASIM/2023 KDV 1 DÜZELTME ÖDEMESİ</t>
  </si>
  <si>
    <t>0424-00005</t>
  </si>
  <si>
    <t>0424-00012</t>
  </si>
  <si>
    <t>OCAK/2024 KDV 1 DÜZELTME ÖDEMESİ</t>
  </si>
  <si>
    <t>0424-00006</t>
  </si>
  <si>
    <t>0424-00013</t>
  </si>
  <si>
    <t>KASIM/2023 KDV DÜZELTME CEZASI</t>
  </si>
  <si>
    <t>0424-00007</t>
  </si>
  <si>
    <t>0424-00014</t>
  </si>
  <si>
    <t>0424-00008</t>
  </si>
  <si>
    <t>0424-00017</t>
  </si>
  <si>
    <t>34CZ831 TRAFİK CEZA ÖDEMESİ</t>
  </si>
  <si>
    <t>0424-00018</t>
  </si>
  <si>
    <t>OCAK/2024 KDV DÜZELTME ÖDEMESİ</t>
  </si>
  <si>
    <t>0425-00001</t>
  </si>
  <si>
    <t>0430-00013</t>
  </si>
  <si>
    <t>KDV DAMGA VERGİSİ GECİKME ÖDEMESİ</t>
  </si>
  <si>
    <t>0430-00005</t>
  </si>
  <si>
    <t>0430-00009</t>
  </si>
  <si>
    <t>0430-00049</t>
  </si>
  <si>
    <t>GB32024004225260 TT MOBİL İLETİŞİM HİZME</t>
  </si>
  <si>
    <t>0430-00054</t>
  </si>
  <si>
    <t>GORKEM 20240430 GÖRKEM İPEK / İŞ AVANSI</t>
  </si>
  <si>
    <t>0430-00065</t>
  </si>
  <si>
    <t>2928726150 İSTANBUL SU VE KANALİZASYON İ</t>
  </si>
  <si>
    <t>0430-00066</t>
  </si>
  <si>
    <t>ÖZBORA CHM DÜZELTME VİRMANI</t>
  </si>
  <si>
    <t>0501-00002</t>
  </si>
  <si>
    <t>0501-00003</t>
  </si>
  <si>
    <t>YFB2024050101685 TURKNET İLETİŞİM HİZMET</t>
  </si>
  <si>
    <t>0501-00005</t>
  </si>
  <si>
    <t>ALİKAAN20240209 ALİ KAAN ESMER / İŞ AVAN</t>
  </si>
  <si>
    <t>0501-00006</t>
  </si>
  <si>
    <t>ALİKAAN20240201 ALİ KAAN ESMER / İŞ AVAN</t>
  </si>
  <si>
    <t>0501-00009</t>
  </si>
  <si>
    <t>FAİKÖNERMASRAFMİLANO FAİK ÖNER / İŞ AVAN</t>
  </si>
  <si>
    <t>0501-00010</t>
  </si>
  <si>
    <t>FAİKÖNERMASRAF2023 FAİK ÖNER / İŞ AVANSI</t>
  </si>
  <si>
    <t>0502-00009</t>
  </si>
  <si>
    <t>0502-00001</t>
  </si>
  <si>
    <t>0503-00010</t>
  </si>
  <si>
    <t>0503-00001</t>
  </si>
  <si>
    <t>0506-00009</t>
  </si>
  <si>
    <t>0506-00002</t>
  </si>
  <si>
    <t>0509-00017</t>
  </si>
  <si>
    <t>0509-00002</t>
  </si>
  <si>
    <t>0510-00002</t>
  </si>
  <si>
    <t>0510-00001</t>
  </si>
  <si>
    <t>0510-00039</t>
  </si>
  <si>
    <t>0510-00038</t>
  </si>
  <si>
    <t>0510-00043</t>
  </si>
  <si>
    <t>EAE2024000015786 BATI KURUMSAL TEDARİK Ç</t>
  </si>
  <si>
    <t>0511-00001</t>
  </si>
  <si>
    <t>0512-00001</t>
  </si>
  <si>
    <t>0512-00002</t>
  </si>
  <si>
    <t>0512-00003</t>
  </si>
  <si>
    <t>0513-00015</t>
  </si>
  <si>
    <t>0513-00002</t>
  </si>
  <si>
    <t>0515-00012</t>
  </si>
  <si>
    <t>0515-00001</t>
  </si>
  <si>
    <t>0515-00014</t>
  </si>
  <si>
    <t>0515-00003</t>
  </si>
  <si>
    <t>0515-00015</t>
  </si>
  <si>
    <t>0515-00004</t>
  </si>
  <si>
    <t>0515-00016</t>
  </si>
  <si>
    <t>0515-00005</t>
  </si>
  <si>
    <t>0516-00012</t>
  </si>
  <si>
    <t>0516-00002</t>
  </si>
  <si>
    <t>0517-00009</t>
  </si>
  <si>
    <t>0517-00001</t>
  </si>
  <si>
    <t>0517-00010</t>
  </si>
  <si>
    <t>0517-00002</t>
  </si>
  <si>
    <t>0517-00011</t>
  </si>
  <si>
    <t>0517-00035</t>
  </si>
  <si>
    <t>0517-00027</t>
  </si>
  <si>
    <t>0519-00001</t>
  </si>
  <si>
    <t>0520-00001</t>
  </si>
  <si>
    <t>20240508 FATİH BALTA / İŞ AVANSI</t>
  </si>
  <si>
    <t>0520-00008</t>
  </si>
  <si>
    <t>EAE2024000019614 BATI KURUMSAL TEDARİK Ç</t>
  </si>
  <si>
    <t>0520-00009</t>
  </si>
  <si>
    <t>0520-00011</t>
  </si>
  <si>
    <t>0520-00003</t>
  </si>
  <si>
    <t>0522-00012</t>
  </si>
  <si>
    <t>0522-00001</t>
  </si>
  <si>
    <t>0523-00008</t>
  </si>
  <si>
    <t>0523-00001</t>
  </si>
  <si>
    <t>0523-00010</t>
  </si>
  <si>
    <t>0523-00003</t>
  </si>
  <si>
    <t>0523-00011</t>
  </si>
  <si>
    <t>0523-00004</t>
  </si>
  <si>
    <t>0525-00002</t>
  </si>
  <si>
    <t>0525-00003</t>
  </si>
  <si>
    <t>0526-00001</t>
  </si>
  <si>
    <t>0526-00002</t>
  </si>
  <si>
    <t>0526-00003</t>
  </si>
  <si>
    <t>0529-00012</t>
  </si>
  <si>
    <t>0529-00001</t>
  </si>
  <si>
    <t>0530-00017</t>
  </si>
  <si>
    <t>0530-00001</t>
  </si>
  <si>
    <t>0531-00013</t>
  </si>
  <si>
    <t>GÖRKEM İPEK UÇAK VİRMANI</t>
  </si>
  <si>
    <t>0531-00065</t>
  </si>
  <si>
    <t>EAE2024000023413 BATI KURUMSAL TEDARİK Ç</t>
  </si>
  <si>
    <t>0531-00076</t>
  </si>
  <si>
    <t>WKB2024000000013 WIKA INSTRUMENTS Endüst</t>
  </si>
  <si>
    <t>0531-00101</t>
  </si>
  <si>
    <t>GB32024004349266 TT MOBİL İLETİŞİM HİZME</t>
  </si>
  <si>
    <t>0601-00001</t>
  </si>
  <si>
    <t>0601-00002</t>
  </si>
  <si>
    <t>0601-00003</t>
  </si>
  <si>
    <t>YGB2024060102921 TURKNET İLETİŞİM HİZMET</t>
  </si>
  <si>
    <t>0601-00010</t>
  </si>
  <si>
    <t>GIB2024000000107 SEYİT MEHMET ASLAN-ÖZLE</t>
  </si>
  <si>
    <t>0604-00002</t>
  </si>
  <si>
    <t>0604-00014</t>
  </si>
  <si>
    <t>GIB2024000000115 SEYİT MEHMET ASLAN-ÖZLE</t>
  </si>
  <si>
    <t>0605-00005</t>
  </si>
  <si>
    <t>0605-00001</t>
  </si>
  <si>
    <t>0605-00006</t>
  </si>
  <si>
    <t>0605-00002</t>
  </si>
  <si>
    <t>0605-00003</t>
  </si>
  <si>
    <t>0606-00003</t>
  </si>
  <si>
    <t>0606-00012</t>
  </si>
  <si>
    <t>0606-00006</t>
  </si>
  <si>
    <t>0606-00013</t>
  </si>
  <si>
    <t>0606-00007</t>
  </si>
  <si>
    <t>0607-00045</t>
  </si>
  <si>
    <t>0607-00039</t>
  </si>
  <si>
    <t>0607-00051</t>
  </si>
  <si>
    <t>KRK2024000000301 KRK ELK. İNŞ. TUR. SAN.</t>
  </si>
  <si>
    <t>0608-00001</t>
  </si>
  <si>
    <t>0610-00012</t>
  </si>
  <si>
    <t>EAE2024000027163 BATI KURUMSAL TEDARİK Ç</t>
  </si>
  <si>
    <t>0611-00008</t>
  </si>
  <si>
    <t>0611-00001</t>
  </si>
  <si>
    <t>0611-00002</t>
  </si>
  <si>
    <t>0611-00010</t>
  </si>
  <si>
    <t>OTOMATIK Plaka no: 06FY0987 , 1117479052</t>
  </si>
  <si>
    <t>0611-00003</t>
  </si>
  <si>
    <t>0611-00011</t>
  </si>
  <si>
    <t>0611-00004</t>
  </si>
  <si>
    <t>0611-00012</t>
  </si>
  <si>
    <t>0611-00005</t>
  </si>
  <si>
    <t>0611-00019</t>
  </si>
  <si>
    <t>FAİK BEY TRAFİK CEZA</t>
  </si>
  <si>
    <t>0612-00001</t>
  </si>
  <si>
    <t>0612-00009</t>
  </si>
  <si>
    <t>0612-00003</t>
  </si>
  <si>
    <t>0613-00015</t>
  </si>
  <si>
    <t>0614-00014</t>
  </si>
  <si>
    <t>0614-00001</t>
  </si>
  <si>
    <t>0614-00019</t>
  </si>
  <si>
    <t>0614-00006</t>
  </si>
  <si>
    <t>0614-00008</t>
  </si>
  <si>
    <t>0614-00022</t>
  </si>
  <si>
    <t>0614-00009</t>
  </si>
  <si>
    <t>0615-00004</t>
  </si>
  <si>
    <t>0617-00001</t>
  </si>
  <si>
    <t>0618-00001</t>
  </si>
  <si>
    <t>0618-00002</t>
  </si>
  <si>
    <t>0618-00003</t>
  </si>
  <si>
    <t>0618-00004</t>
  </si>
  <si>
    <t>0618-00005</t>
  </si>
  <si>
    <t>0619-00001</t>
  </si>
  <si>
    <t>0620-00001</t>
  </si>
  <si>
    <t>EAE2024000030886 BATI KURUMSAL TEDARİK Ç</t>
  </si>
  <si>
    <t>0622-00001</t>
  </si>
  <si>
    <t>0622-00002</t>
  </si>
  <si>
    <t>0625-00012</t>
  </si>
  <si>
    <t>0625-00015</t>
  </si>
  <si>
    <t>0626-00007</t>
  </si>
  <si>
    <t>RTS2024000000065 KREDİ KARTI SATICILARI</t>
  </si>
  <si>
    <t>0626-00008</t>
  </si>
  <si>
    <t>0626-00001</t>
  </si>
  <si>
    <t>0626-00002</t>
  </si>
  <si>
    <t>0626-00003</t>
  </si>
  <si>
    <t>0626-00011</t>
  </si>
  <si>
    <t>0626-00004</t>
  </si>
  <si>
    <t>0626-00019</t>
  </si>
  <si>
    <t>0626-00020</t>
  </si>
  <si>
    <t>0627-00008</t>
  </si>
  <si>
    <t>0627-00001</t>
  </si>
  <si>
    <t>0627-00016</t>
  </si>
  <si>
    <t>GIB2024000000139 SEYİT MEHMET ASLAN-ÖZLE</t>
  </si>
  <si>
    <t>0628-00017</t>
  </si>
  <si>
    <t>0628-00006</t>
  </si>
  <si>
    <t>0628-00025</t>
  </si>
  <si>
    <t>0629-00002</t>
  </si>
  <si>
    <t>0629-00001</t>
  </si>
  <si>
    <t>0630-00003</t>
  </si>
  <si>
    <t>EAE2024000034617 BATI KURUMSAL TEDARİK Ç</t>
  </si>
  <si>
    <t>0630-00015</t>
  </si>
  <si>
    <t>0630-00001</t>
  </si>
  <si>
    <t>0630-00016</t>
  </si>
  <si>
    <t>0630-00002</t>
  </si>
  <si>
    <t>0630-00017</t>
  </si>
  <si>
    <t>0630-00021</t>
  </si>
  <si>
    <t>GB32024004443937 TT MOBİL İLETİŞİM HİZME</t>
  </si>
  <si>
    <t>MTV</t>
  </si>
  <si>
    <t>Değerler</t>
  </si>
  <si>
    <t>Toplam Alacak Tutarı</t>
  </si>
</sst>
</file>

<file path=xl/styles.xml><?xml version="1.0" encoding="utf-8"?>
<styleSheet xmlns="http://schemas.openxmlformats.org/spreadsheetml/2006/main">
  <numFmts count="3">
    <numFmt numFmtId="43" formatCode="_-* #,##0.00_-;\-* #,##0.00_-;_-* &quot;-&quot;??_-;_-@_-"/>
    <numFmt numFmtId="164" formatCode="_-* #,##0.00\ _T_L_-;\-* #,##0.00\ _T_L_-;_-* &quot;-&quot;??\ _T_L_-;_-@_-"/>
    <numFmt numFmtId="165" formatCode="#,##0.00_ ;[Red]\-#,##0.00\ "/>
  </numFmts>
  <fonts count="42">
    <font>
      <sz val="10"/>
      <name val="Arial"/>
    </font>
    <font>
      <sz val="11"/>
      <color theme="1"/>
      <name val="Calibri"/>
      <family val="2"/>
      <charset val="162"/>
      <scheme val="minor"/>
    </font>
    <font>
      <sz val="10"/>
      <name val="Arial"/>
      <family val="2"/>
      <charset val="162"/>
    </font>
    <font>
      <sz val="10"/>
      <name val="Arial"/>
      <family val="2"/>
      <charset val="162"/>
    </font>
    <font>
      <sz val="8"/>
      <name val="Arial"/>
      <family val="2"/>
      <charset val="162"/>
    </font>
    <font>
      <sz val="8"/>
      <name val="Tahoma"/>
      <family val="2"/>
      <charset val="162"/>
    </font>
    <font>
      <b/>
      <sz val="8"/>
      <name val="Tahoma"/>
      <family val="2"/>
      <charset val="162"/>
    </font>
    <font>
      <b/>
      <sz val="9"/>
      <name val="Tahoma"/>
      <family val="2"/>
      <charset val="162"/>
    </font>
    <font>
      <sz val="7"/>
      <name val="Tahoma"/>
      <family val="2"/>
      <charset val="162"/>
    </font>
    <font>
      <sz val="10"/>
      <name val="Arial"/>
      <family val="2"/>
      <charset val="162"/>
    </font>
    <font>
      <sz val="9"/>
      <name val="Tahoma"/>
      <family val="2"/>
      <charset val="162"/>
    </font>
    <font>
      <b/>
      <sz val="10"/>
      <name val="Tahoma"/>
      <family val="2"/>
      <charset val="162"/>
    </font>
    <font>
      <sz val="9"/>
      <name val="Arial"/>
      <family val="2"/>
      <charset val="162"/>
    </font>
    <font>
      <b/>
      <sz val="10"/>
      <color indexed="25"/>
      <name val="Arial"/>
      <family val="2"/>
      <charset val="162"/>
    </font>
    <font>
      <b/>
      <sz val="10"/>
      <name val="Arial"/>
      <family val="2"/>
      <charset val="162"/>
    </font>
    <font>
      <b/>
      <u/>
      <sz val="11"/>
      <color indexed="63"/>
      <name val="Arial"/>
      <family val="2"/>
      <charset val="162"/>
    </font>
    <font>
      <sz val="11"/>
      <color theme="1"/>
      <name val="Calibri"/>
      <family val="2"/>
      <charset val="162"/>
      <scheme val="minor"/>
    </font>
    <font>
      <sz val="11"/>
      <color theme="0"/>
      <name val="Calibri"/>
      <family val="2"/>
      <charset val="162"/>
      <scheme val="minor"/>
    </font>
    <font>
      <i/>
      <sz val="11"/>
      <color rgb="FF7F7F7F"/>
      <name val="Calibri"/>
      <family val="2"/>
      <charset val="162"/>
      <scheme val="minor"/>
    </font>
    <font>
      <sz val="18"/>
      <color theme="3"/>
      <name val="Cambria"/>
      <family val="2"/>
      <charset val="162"/>
      <scheme val="major"/>
    </font>
    <font>
      <sz val="11"/>
      <color rgb="FFFA7D00"/>
      <name val="Calibri"/>
      <family val="2"/>
      <charset val="162"/>
      <scheme val="min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b/>
      <sz val="11"/>
      <color rgb="FF3F3F3F"/>
      <name val="Calibri"/>
      <family val="2"/>
      <charset val="162"/>
      <scheme val="minor"/>
    </font>
    <font>
      <sz val="11"/>
      <color rgb="FF3F3F76"/>
      <name val="Calibri"/>
      <family val="2"/>
      <charset val="162"/>
      <scheme val="minor"/>
    </font>
    <font>
      <b/>
      <sz val="11"/>
      <color rgb="FFFA7D00"/>
      <name val="Calibri"/>
      <family val="2"/>
      <charset val="162"/>
      <scheme val="minor"/>
    </font>
    <font>
      <b/>
      <sz val="11"/>
      <color theme="0"/>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b/>
      <sz val="11"/>
      <color theme="1"/>
      <name val="Calibri"/>
      <family val="2"/>
      <charset val="162"/>
      <scheme val="minor"/>
    </font>
    <font>
      <sz val="11"/>
      <color rgb="FFFF0000"/>
      <name val="Calibri"/>
      <family val="2"/>
      <charset val="162"/>
      <scheme val="minor"/>
    </font>
    <font>
      <sz val="10"/>
      <name val="Calibri"/>
      <family val="2"/>
      <charset val="162"/>
      <scheme val="minor"/>
    </font>
    <font>
      <b/>
      <sz val="10"/>
      <color theme="1"/>
      <name val="Calibri"/>
      <family val="2"/>
      <charset val="162"/>
      <scheme val="minor"/>
    </font>
    <font>
      <sz val="10"/>
      <color theme="1"/>
      <name val="Calibri"/>
      <family val="2"/>
      <charset val="162"/>
      <scheme val="minor"/>
    </font>
    <font>
      <b/>
      <sz val="10"/>
      <color rgb="FFFF0000"/>
      <name val="Arial"/>
      <family val="2"/>
      <charset val="162"/>
    </font>
    <font>
      <sz val="10"/>
      <color rgb="FFFF0000"/>
      <name val="Arial"/>
      <family val="2"/>
      <charset val="162"/>
    </font>
    <font>
      <sz val="9"/>
      <color rgb="FFFF0000"/>
      <name val="Tahoma"/>
      <family val="2"/>
      <charset val="162"/>
    </font>
    <font>
      <b/>
      <i/>
      <sz val="10"/>
      <name val="Arial"/>
      <family val="2"/>
      <charset val="162"/>
    </font>
    <font>
      <sz val="8"/>
      <color rgb="FFFF0000"/>
      <name val="Tahoma"/>
      <family val="2"/>
      <charset val="162"/>
    </font>
    <font>
      <sz val="10"/>
      <name val="Arial"/>
      <family val="2"/>
      <charset val="16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FFCC99"/>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FFCC"/>
      </patternFill>
    </fill>
    <fill>
      <patternFill patternType="solid">
        <fgColor rgb="FFFFEB9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000"/>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right style="medium">
        <color indexed="64"/>
      </right>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bottom style="double">
        <color rgb="FFFF80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7">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21" applyNumberFormat="0" applyFill="0" applyAlignment="0" applyProtection="0"/>
    <xf numFmtId="0" fontId="21" fillId="0" borderId="22" applyNumberFormat="0" applyFill="0" applyAlignment="0" applyProtection="0"/>
    <xf numFmtId="0" fontId="22" fillId="0" borderId="23" applyNumberFormat="0" applyFill="0" applyAlignment="0" applyProtection="0"/>
    <xf numFmtId="0" fontId="23" fillId="0" borderId="24" applyNumberFormat="0" applyFill="0" applyAlignment="0" applyProtection="0"/>
    <xf numFmtId="0" fontId="23" fillId="0" borderId="0" applyNumberFormat="0" applyFill="0" applyBorder="0" applyAlignment="0" applyProtection="0"/>
    <xf numFmtId="164" fontId="9" fillId="0" borderId="0" applyFont="0" applyFill="0" applyBorder="0" applyAlignment="0" applyProtection="0"/>
    <xf numFmtId="0" fontId="24" fillId="20" borderId="25" applyNumberFormat="0" applyAlignment="0" applyProtection="0"/>
    <xf numFmtId="0" fontId="25" fillId="21" borderId="26" applyNumberFormat="0" applyAlignment="0" applyProtection="0"/>
    <xf numFmtId="0" fontId="26" fillId="20" borderId="26" applyNumberFormat="0" applyAlignment="0" applyProtection="0"/>
    <xf numFmtId="0" fontId="27" fillId="22" borderId="27" applyNumberFormat="0" applyAlignment="0" applyProtection="0"/>
    <xf numFmtId="0" fontId="28" fillId="23" borderId="0" applyNumberFormat="0" applyBorder="0" applyAlignment="0" applyProtection="0"/>
    <xf numFmtId="0" fontId="29" fillId="24" borderId="0" applyNumberFormat="0" applyBorder="0" applyAlignment="0" applyProtection="0"/>
    <xf numFmtId="0" fontId="16" fillId="0" borderId="0"/>
    <xf numFmtId="0" fontId="16" fillId="0" borderId="0"/>
    <xf numFmtId="0" fontId="9" fillId="0" borderId="0"/>
    <xf numFmtId="0" fontId="16" fillId="0" borderId="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16" fillId="25" borderId="28" applyNumberFormat="0" applyFont="0" applyAlignment="0" applyProtection="0"/>
    <xf numFmtId="0" fontId="30" fillId="26" borderId="0" applyNumberFormat="0" applyBorder="0" applyAlignment="0" applyProtection="0"/>
    <xf numFmtId="0" fontId="31" fillId="0" borderId="29" applyNumberFormat="0" applyFill="0" applyAlignment="0" applyProtection="0"/>
    <xf numFmtId="0" fontId="32" fillId="0" borderId="0" applyNumberFormat="0" applyFill="0" applyBorder="0" applyAlignment="0" applyProtection="0"/>
    <xf numFmtId="164" fontId="2" fillId="0" borderId="0" applyFont="0" applyFill="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 fillId="0" borderId="0"/>
    <xf numFmtId="43" fontId="1" fillId="0" borderId="0" applyFont="0" applyFill="0" applyBorder="0" applyAlignment="0" applyProtection="0"/>
    <xf numFmtId="9" fontId="41" fillId="0" borderId="0" applyFont="0" applyFill="0" applyBorder="0" applyAlignment="0" applyProtection="0"/>
  </cellStyleXfs>
  <cellXfs count="134">
    <xf numFmtId="0" fontId="3" fillId="0" borderId="0" xfId="0" applyFont="1"/>
    <xf numFmtId="0" fontId="0" fillId="0" borderId="0" xfId="0" applyFill="1"/>
    <xf numFmtId="0" fontId="5" fillId="0" borderId="2" xfId="0" applyNumberFormat="1" applyFont="1" applyFill="1" applyBorder="1" applyAlignment="1" applyProtection="1">
      <alignment horizontal="left" vertical="top"/>
    </xf>
    <xf numFmtId="0" fontId="6" fillId="0" borderId="4" xfId="0" applyNumberFormat="1" applyFont="1" applyFill="1" applyBorder="1" applyAlignment="1" applyProtection="1">
      <alignment horizontal="left" vertical="top"/>
    </xf>
    <xf numFmtId="0" fontId="5" fillId="0" borderId="4" xfId="0" applyNumberFormat="1" applyFont="1" applyFill="1" applyBorder="1" applyAlignment="1" applyProtection="1">
      <alignment horizontal="left" vertical="top"/>
    </xf>
    <xf numFmtId="0" fontId="5" fillId="0" borderId="6" xfId="0" applyNumberFormat="1" applyFont="1" applyFill="1" applyBorder="1" applyAlignment="1" applyProtection="1">
      <alignment horizontal="left" vertical="top"/>
    </xf>
    <xf numFmtId="0" fontId="5" fillId="0" borderId="7" xfId="0" applyNumberFormat="1" applyFont="1" applyFill="1" applyBorder="1" applyAlignment="1" applyProtection="1">
      <alignment horizontal="left" vertical="top"/>
    </xf>
    <xf numFmtId="0" fontId="6" fillId="0" borderId="0" xfId="0" applyNumberFormat="1" applyFont="1" applyFill="1" applyBorder="1" applyAlignment="1" applyProtection="1">
      <alignment horizontal="left" vertical="top"/>
    </xf>
    <xf numFmtId="0" fontId="5" fillId="0" borderId="0" xfId="0" applyNumberFormat="1" applyFont="1" applyFill="1" applyBorder="1" applyAlignment="1" applyProtection="1">
      <alignment horizontal="left" vertical="top"/>
    </xf>
    <xf numFmtId="0" fontId="5" fillId="0" borderId="0" xfId="0" applyFont="1" applyFill="1"/>
    <xf numFmtId="0" fontId="5" fillId="0" borderId="12" xfId="0" applyFont="1" applyFill="1" applyBorder="1" applyAlignment="1">
      <alignment horizontal="left" vertical="top"/>
    </xf>
    <xf numFmtId="0" fontId="5" fillId="0" borderId="1" xfId="0" applyFont="1" applyFill="1" applyBorder="1" applyAlignment="1">
      <alignment horizontal="left" vertical="top"/>
    </xf>
    <xf numFmtId="0" fontId="5" fillId="0" borderId="0" xfId="0" applyFont="1" applyFill="1" applyAlignment="1">
      <alignment horizontal="left" vertical="top"/>
    </xf>
    <xf numFmtId="0" fontId="33" fillId="0" borderId="0" xfId="0" applyFont="1" applyFill="1"/>
    <xf numFmtId="0" fontId="34" fillId="0" borderId="0" xfId="46" applyFont="1"/>
    <xf numFmtId="0" fontId="34" fillId="0" borderId="0" xfId="0" applyFont="1" applyFill="1"/>
    <xf numFmtId="0" fontId="35" fillId="0" borderId="0" xfId="49" applyFont="1"/>
    <xf numFmtId="0" fontId="35" fillId="0" borderId="0" xfId="46" applyFont="1"/>
    <xf numFmtId="0" fontId="35" fillId="0" borderId="0" xfId="0" applyFont="1" applyFill="1"/>
    <xf numFmtId="0" fontId="33" fillId="0" borderId="4" xfId="0" applyNumberFormat="1" applyFont="1" applyFill="1" applyBorder="1" applyAlignment="1" applyProtection="1">
      <alignment horizontal="left" vertical="top"/>
    </xf>
    <xf numFmtId="164" fontId="7" fillId="0" borderId="13" xfId="67" applyFont="1" applyFill="1" applyBorder="1"/>
    <xf numFmtId="0" fontId="10" fillId="0" borderId="0" xfId="48" applyFont="1" applyFill="1"/>
    <xf numFmtId="49" fontId="10" fillId="0" borderId="0" xfId="48" applyNumberFormat="1" applyFont="1" applyFill="1"/>
    <xf numFmtId="164" fontId="10" fillId="0" borderId="0" xfId="67" applyFont="1" applyFill="1"/>
    <xf numFmtId="49" fontId="10" fillId="0" borderId="0" xfId="48" applyNumberFormat="1" applyFont="1" applyFill="1" applyBorder="1"/>
    <xf numFmtId="0" fontId="10" fillId="0" borderId="0" xfId="48" applyFont="1" applyFill="1" applyBorder="1"/>
    <xf numFmtId="0" fontId="10" fillId="0" borderId="14" xfId="48" applyFont="1" applyFill="1" applyBorder="1"/>
    <xf numFmtId="0" fontId="10" fillId="0" borderId="15" xfId="48" applyFont="1" applyFill="1" applyBorder="1"/>
    <xf numFmtId="0" fontId="7" fillId="0" borderId="16" xfId="48" applyFont="1" applyFill="1" applyBorder="1"/>
    <xf numFmtId="0" fontId="12" fillId="0" borderId="16" xfId="48" applyFont="1" applyFill="1" applyBorder="1"/>
    <xf numFmtId="164" fontId="10" fillId="0" borderId="13" xfId="67" applyFont="1" applyFill="1" applyBorder="1"/>
    <xf numFmtId="0" fontId="10" fillId="0" borderId="16" xfId="48" applyFont="1" applyFill="1" applyBorder="1"/>
    <xf numFmtId="0" fontId="7" fillId="0" borderId="0" xfId="48" applyFont="1" applyFill="1"/>
    <xf numFmtId="4" fontId="10" fillId="0" borderId="0" xfId="48" applyNumberFormat="1" applyFont="1" applyFill="1"/>
    <xf numFmtId="0" fontId="7" fillId="0" borderId="17" xfId="48" applyFont="1" applyFill="1" applyBorder="1" applyAlignment="1">
      <alignment vertical="center"/>
    </xf>
    <xf numFmtId="164" fontId="10" fillId="0" borderId="18" xfId="67" applyFont="1" applyFill="1" applyBorder="1" applyAlignment="1">
      <alignment vertical="center"/>
    </xf>
    <xf numFmtId="164" fontId="10" fillId="0" borderId="0" xfId="67" applyFont="1" applyFill="1" applyBorder="1"/>
    <xf numFmtId="0" fontId="0" fillId="0" borderId="0" xfId="0"/>
    <xf numFmtId="4" fontId="0" fillId="0" borderId="0" xfId="0" applyNumberFormat="1"/>
    <xf numFmtId="0" fontId="36" fillId="0" borderId="9" xfId="0" applyFont="1" applyBorder="1"/>
    <xf numFmtId="0" fontId="3" fillId="0" borderId="9" xfId="0" applyFont="1" applyBorder="1"/>
    <xf numFmtId="0" fontId="37" fillId="0" borderId="9" xfId="0" applyFont="1" applyBorder="1"/>
    <xf numFmtId="0" fontId="3" fillId="0" borderId="0" xfId="0" applyFont="1" applyAlignment="1">
      <alignment vertical="justify"/>
    </xf>
    <xf numFmtId="0" fontId="3" fillId="0" borderId="0" xfId="0" applyFont="1" applyAlignment="1">
      <alignment horizontal="left" vertical="justify"/>
    </xf>
    <xf numFmtId="0" fontId="36" fillId="0" borderId="0" xfId="0" applyFont="1" applyAlignment="1">
      <alignment horizontal="left" vertical="justify"/>
    </xf>
    <xf numFmtId="0" fontId="14" fillId="0" borderId="9" xfId="0" applyFont="1" applyBorder="1"/>
    <xf numFmtId="0" fontId="4" fillId="0" borderId="0" xfId="0" applyFont="1" applyFill="1" applyBorder="1"/>
    <xf numFmtId="0" fontId="4" fillId="0" borderId="0" xfId="0" applyFont="1" applyFill="1" applyBorder="1" applyAlignment="1">
      <alignment horizontal="left"/>
    </xf>
    <xf numFmtId="165" fontId="3" fillId="0" borderId="0" xfId="67" applyNumberFormat="1" applyFont="1"/>
    <xf numFmtId="165" fontId="3" fillId="0" borderId="9" xfId="67" applyNumberFormat="1" applyFont="1" applyBorder="1"/>
    <xf numFmtId="165" fontId="14" fillId="0" borderId="9" xfId="67" applyNumberFormat="1" applyFont="1" applyBorder="1"/>
    <xf numFmtId="165" fontId="37" fillId="0" borderId="9" xfId="67" applyNumberFormat="1" applyFont="1" applyBorder="1"/>
    <xf numFmtId="165" fontId="3" fillId="0" borderId="0" xfId="67" applyNumberFormat="1" applyFont="1" applyAlignment="1">
      <alignment horizontal="left" vertical="justify"/>
    </xf>
    <xf numFmtId="164" fontId="4" fillId="0" borderId="0" xfId="67" applyFont="1" applyFill="1" applyBorder="1"/>
    <xf numFmtId="14" fontId="0" fillId="0" borderId="0" xfId="0" applyNumberFormat="1"/>
    <xf numFmtId="4" fontId="5" fillId="0" borderId="0" xfId="0" applyNumberFormat="1" applyFont="1" applyFill="1"/>
    <xf numFmtId="0" fontId="2" fillId="0" borderId="0" xfId="0" applyFont="1"/>
    <xf numFmtId="22" fontId="0" fillId="0" borderId="0" xfId="0" applyNumberFormat="1"/>
    <xf numFmtId="0" fontId="3" fillId="0" borderId="0" xfId="0" pivotButton="1" applyFont="1"/>
    <xf numFmtId="0" fontId="3" fillId="0" borderId="0" xfId="0" applyFont="1" applyAlignment="1">
      <alignment horizontal="left"/>
    </xf>
    <xf numFmtId="0" fontId="14" fillId="0" borderId="0" xfId="0" applyFont="1"/>
    <xf numFmtId="164" fontId="3" fillId="0" borderId="0" xfId="67" applyFont="1"/>
    <xf numFmtId="0" fontId="38" fillId="0" borderId="0" xfId="48" applyFont="1" applyFill="1"/>
    <xf numFmtId="164" fontId="38" fillId="0" borderId="0" xfId="67" applyFont="1" applyFill="1"/>
    <xf numFmtId="0" fontId="4" fillId="0" borderId="0" xfId="0" applyFont="1" applyFill="1"/>
    <xf numFmtId="0" fontId="4" fillId="0" borderId="0" xfId="0" applyFont="1"/>
    <xf numFmtId="164" fontId="14" fillId="0" borderId="0" xfId="67" applyFont="1"/>
    <xf numFmtId="165" fontId="2" fillId="0" borderId="9" xfId="67" applyNumberFormat="1" applyFont="1" applyBorder="1"/>
    <xf numFmtId="0" fontId="10" fillId="0" borderId="0" xfId="48" applyFont="1" applyFill="1" applyAlignment="1">
      <alignment wrapText="1"/>
    </xf>
    <xf numFmtId="0" fontId="38" fillId="0" borderId="0" xfId="48" applyFont="1" applyFill="1" applyAlignment="1">
      <alignment wrapText="1"/>
    </xf>
    <xf numFmtId="0" fontId="6" fillId="0" borderId="0" xfId="0" applyFont="1" applyFill="1" applyAlignment="1">
      <alignment horizontal="center"/>
    </xf>
    <xf numFmtId="0" fontId="6" fillId="0" borderId="0" xfId="0" applyNumberFormat="1" applyFont="1" applyFill="1" applyBorder="1" applyAlignment="1" applyProtection="1">
      <alignment horizontal="left" vertical="top"/>
    </xf>
    <xf numFmtId="0" fontId="5" fillId="0" borderId="3" xfId="0" applyNumberFormat="1" applyFont="1" applyFill="1" applyBorder="1" applyAlignment="1" applyProtection="1">
      <alignment horizontal="left" vertical="top"/>
    </xf>
    <xf numFmtId="0" fontId="6" fillId="0" borderId="5" xfId="0" applyNumberFormat="1" applyFont="1" applyFill="1" applyBorder="1" applyAlignment="1" applyProtection="1">
      <alignment horizontal="left" vertical="top"/>
    </xf>
    <xf numFmtId="0" fontId="5" fillId="0" borderId="1" xfId="0" applyNumberFormat="1" applyFont="1" applyFill="1" applyBorder="1" applyAlignment="1" applyProtection="1">
      <alignment horizontal="left" vertical="top"/>
    </xf>
    <xf numFmtId="0" fontId="5" fillId="0" borderId="5" xfId="0" applyNumberFormat="1" applyFont="1" applyFill="1" applyBorder="1" applyAlignment="1" applyProtection="1">
      <alignment horizontal="left" vertical="top"/>
    </xf>
    <xf numFmtId="0" fontId="5" fillId="0" borderId="8" xfId="0" applyNumberFormat="1" applyFont="1" applyFill="1" applyBorder="1" applyAlignment="1" applyProtection="1">
      <alignment horizontal="left" vertical="top"/>
    </xf>
    <xf numFmtId="0" fontId="7" fillId="0" borderId="0" xfId="0" applyNumberFormat="1" applyFont="1" applyFill="1" applyBorder="1" applyAlignment="1" applyProtection="1">
      <alignment horizontal="left" vertical="top"/>
    </xf>
    <xf numFmtId="164" fontId="8" fillId="0" borderId="2" xfId="67" applyFont="1" applyFill="1" applyBorder="1" applyAlignment="1" applyProtection="1">
      <alignment horizontal="right" vertical="top"/>
    </xf>
    <xf numFmtId="164" fontId="6" fillId="0" borderId="9" xfId="67" applyFont="1" applyFill="1" applyBorder="1" applyAlignment="1" applyProtection="1">
      <alignment vertical="top"/>
    </xf>
    <xf numFmtId="164" fontId="6" fillId="0" borderId="2" xfId="67" applyFont="1" applyFill="1" applyBorder="1" applyAlignment="1" applyProtection="1">
      <alignment vertical="top"/>
    </xf>
    <xf numFmtId="164" fontId="5" fillId="0" borderId="4" xfId="67" applyFont="1" applyFill="1" applyBorder="1" applyAlignment="1" applyProtection="1">
      <alignment vertical="top"/>
    </xf>
    <xf numFmtId="164" fontId="6" fillId="0" borderId="4" xfId="67" applyFont="1" applyFill="1" applyBorder="1" applyAlignment="1" applyProtection="1">
      <alignment vertical="top"/>
    </xf>
    <xf numFmtId="164" fontId="5" fillId="0" borderId="6" xfId="67" applyFont="1" applyFill="1" applyBorder="1" applyAlignment="1" applyProtection="1">
      <alignment vertical="top"/>
    </xf>
    <xf numFmtId="164" fontId="5" fillId="0" borderId="0" xfId="67" applyFont="1" applyFill="1" applyBorder="1" applyAlignment="1" applyProtection="1">
      <alignment vertical="top"/>
    </xf>
    <xf numFmtId="164" fontId="6" fillId="0" borderId="10" xfId="67" applyFont="1" applyFill="1" applyBorder="1" applyAlignment="1" applyProtection="1">
      <alignment vertical="top"/>
    </xf>
    <xf numFmtId="164" fontId="5" fillId="0" borderId="1" xfId="67" applyFont="1" applyFill="1" applyBorder="1" applyAlignment="1" applyProtection="1">
      <alignment vertical="top"/>
    </xf>
    <xf numFmtId="164" fontId="5" fillId="0" borderId="0" xfId="67" applyFont="1" applyFill="1" applyAlignment="1">
      <alignment vertical="top"/>
    </xf>
    <xf numFmtId="164" fontId="6" fillId="0" borderId="0" xfId="67" applyFont="1" applyFill="1" applyBorder="1" applyAlignment="1" applyProtection="1">
      <alignment vertical="top"/>
    </xf>
    <xf numFmtId="164" fontId="6" fillId="0" borderId="9" xfId="67" applyFont="1" applyFill="1" applyBorder="1" applyAlignment="1" applyProtection="1">
      <alignment horizontal="right" vertical="top"/>
    </xf>
    <xf numFmtId="164" fontId="6" fillId="0" borderId="4" xfId="67" applyFont="1" applyFill="1" applyBorder="1" applyAlignment="1" applyProtection="1">
      <alignment horizontal="right" vertical="top"/>
    </xf>
    <xf numFmtId="164" fontId="5" fillId="0" borderId="4" xfId="67" applyFont="1" applyFill="1" applyBorder="1" applyAlignment="1" applyProtection="1">
      <alignment horizontal="right" vertical="top"/>
    </xf>
    <xf numFmtId="164" fontId="5" fillId="0" borderId="6" xfId="67" applyFont="1" applyFill="1" applyBorder="1" applyAlignment="1" applyProtection="1">
      <alignment horizontal="right" vertical="top"/>
    </xf>
    <xf numFmtId="164" fontId="5" fillId="0" borderId="5" xfId="67" applyFont="1" applyFill="1" applyBorder="1" applyAlignment="1" applyProtection="1">
      <alignment horizontal="right" vertical="top"/>
    </xf>
    <xf numFmtId="164" fontId="6" fillId="0" borderId="11" xfId="67" applyFont="1" applyFill="1" applyBorder="1" applyAlignment="1" applyProtection="1">
      <alignment horizontal="right" vertical="top"/>
    </xf>
    <xf numFmtId="164" fontId="5" fillId="0" borderId="8" xfId="67" applyFont="1" applyFill="1" applyBorder="1" applyAlignment="1" applyProtection="1">
      <alignment horizontal="right" vertical="top"/>
    </xf>
    <xf numFmtId="164" fontId="6" fillId="0" borderId="0" xfId="67" applyFont="1" applyFill="1" applyAlignment="1">
      <alignment horizontal="center"/>
    </xf>
    <xf numFmtId="164" fontId="6" fillId="0" borderId="2" xfId="67" applyFont="1" applyFill="1" applyBorder="1" applyAlignment="1" applyProtection="1">
      <alignment horizontal="right" vertical="top"/>
    </xf>
    <xf numFmtId="164" fontId="5" fillId="0" borderId="4" xfId="67" applyFont="1" applyFill="1" applyBorder="1" applyAlignment="1">
      <alignment horizontal="right" vertical="top"/>
    </xf>
    <xf numFmtId="164" fontId="5" fillId="0" borderId="0" xfId="67" applyFont="1" applyFill="1" applyBorder="1" applyAlignment="1" applyProtection="1">
      <alignment horizontal="right" vertical="top"/>
    </xf>
    <xf numFmtId="164" fontId="6" fillId="0" borderId="5" xfId="67" applyFont="1" applyFill="1" applyBorder="1" applyAlignment="1" applyProtection="1">
      <alignment horizontal="right" vertical="top"/>
    </xf>
    <xf numFmtId="164" fontId="5" fillId="0" borderId="0" xfId="67" applyFont="1" applyFill="1" applyAlignment="1">
      <alignment horizontal="right" vertical="top"/>
    </xf>
    <xf numFmtId="164" fontId="40" fillId="33" borderId="0" xfId="67" applyFont="1" applyFill="1" applyAlignment="1">
      <alignment horizontal="right" vertical="top"/>
    </xf>
    <xf numFmtId="0" fontId="6" fillId="0" borderId="0" xfId="0" applyNumberFormat="1" applyFont="1" applyFill="1" applyBorder="1" applyAlignment="1" applyProtection="1">
      <alignment horizontal="left" vertical="top"/>
    </xf>
    <xf numFmtId="0" fontId="2" fillId="0" borderId="9" xfId="0" applyFont="1" applyBorder="1" applyAlignment="1">
      <alignment horizontal="center" vertical="center"/>
    </xf>
    <xf numFmtId="0" fontId="2" fillId="0" borderId="9" xfId="0" applyFont="1" applyBorder="1" applyAlignment="1">
      <alignment horizontal="center" vertical="justify"/>
    </xf>
    <xf numFmtId="0" fontId="2" fillId="0" borderId="9" xfId="0" applyFont="1" applyBorder="1"/>
    <xf numFmtId="4" fontId="2" fillId="0" borderId="9" xfId="0" applyNumberFormat="1" applyFont="1" applyBorder="1"/>
    <xf numFmtId="164" fontId="2" fillId="0" borderId="0" xfId="67" applyFont="1"/>
    <xf numFmtId="4" fontId="2" fillId="0" borderId="0" xfId="0" applyNumberFormat="1" applyFont="1"/>
    <xf numFmtId="0" fontId="2" fillId="0" borderId="0" xfId="0" applyFont="1" applyAlignment="1">
      <alignment horizontal="center"/>
    </xf>
    <xf numFmtId="4" fontId="2" fillId="0" borderId="0" xfId="0" applyNumberFormat="1" applyFont="1" applyAlignment="1">
      <alignment horizontal="center"/>
    </xf>
    <xf numFmtId="43" fontId="2" fillId="0" borderId="0" xfId="0" applyNumberFormat="1" applyFont="1"/>
    <xf numFmtId="4" fontId="14" fillId="0" borderId="0" xfId="0" applyNumberFormat="1" applyFont="1"/>
    <xf numFmtId="0" fontId="14" fillId="0" borderId="9" xfId="0" applyFont="1" applyBorder="1" applyAlignment="1">
      <alignment horizontal="center"/>
    </xf>
    <xf numFmtId="164" fontId="14" fillId="0" borderId="9" xfId="67" applyFont="1" applyBorder="1" applyAlignment="1">
      <alignment horizontal="center"/>
    </xf>
    <xf numFmtId="0" fontId="2" fillId="0" borderId="9" xfId="0" applyFont="1" applyBorder="1" applyAlignment="1">
      <alignment horizontal="right"/>
    </xf>
    <xf numFmtId="43" fontId="2" fillId="0" borderId="9" xfId="0" applyNumberFormat="1" applyFont="1" applyBorder="1"/>
    <xf numFmtId="9" fontId="2" fillId="0" borderId="9" xfId="76" applyFont="1" applyBorder="1"/>
    <xf numFmtId="4" fontId="37" fillId="0" borderId="9" xfId="0" applyNumberFormat="1" applyFont="1" applyBorder="1" applyAlignment="1">
      <alignment horizontal="right"/>
    </xf>
    <xf numFmtId="4" fontId="37" fillId="0" borderId="9" xfId="0" applyNumberFormat="1" applyFont="1" applyBorder="1"/>
    <xf numFmtId="0" fontId="40" fillId="0" borderId="5" xfId="0" applyNumberFormat="1" applyFont="1" applyFill="1" applyBorder="1" applyAlignment="1" applyProtection="1">
      <alignment horizontal="left" vertical="top"/>
    </xf>
    <xf numFmtId="164" fontId="3" fillId="0" borderId="0" xfId="67" pivotButton="1" applyFont="1"/>
    <xf numFmtId="164" fontId="4" fillId="0" borderId="0" xfId="67" applyFont="1"/>
    <xf numFmtId="0" fontId="6" fillId="0" borderId="0" xfId="0" applyFont="1" applyFill="1" applyAlignment="1">
      <alignment horizontal="center"/>
    </xf>
    <xf numFmtId="0" fontId="6" fillId="0" borderId="0" xfId="0" applyNumberFormat="1" applyFont="1" applyFill="1" applyBorder="1" applyAlignment="1" applyProtection="1">
      <alignment horizontal="left" vertical="top"/>
    </xf>
    <xf numFmtId="0" fontId="6" fillId="0" borderId="7" xfId="0" applyNumberFormat="1" applyFont="1" applyFill="1" applyBorder="1" applyAlignment="1" applyProtection="1">
      <alignment horizontal="left" vertical="top"/>
    </xf>
    <xf numFmtId="49" fontId="11" fillId="0" borderId="0" xfId="48" applyNumberFormat="1" applyFont="1" applyFill="1" applyAlignment="1">
      <alignment horizontal="center"/>
    </xf>
    <xf numFmtId="164" fontId="7" fillId="0" borderId="19" xfId="67" applyFont="1" applyFill="1" applyBorder="1" applyAlignment="1">
      <alignment horizontal="center" vertical="center"/>
    </xf>
    <xf numFmtId="164" fontId="7" fillId="0" borderId="20" xfId="67" applyFont="1" applyFill="1" applyBorder="1" applyAlignment="1">
      <alignment horizontal="center" vertical="center"/>
    </xf>
    <xf numFmtId="0" fontId="4" fillId="0" borderId="0" xfId="0" applyFont="1" applyFill="1" applyBorder="1" applyAlignment="1">
      <alignment horizontal="center"/>
    </xf>
    <xf numFmtId="0" fontId="3" fillId="0" borderId="0" xfId="0" applyFont="1" applyAlignment="1">
      <alignment horizontal="left" vertical="justify"/>
    </xf>
    <xf numFmtId="0" fontId="2" fillId="0" borderId="0" xfId="0" applyFont="1" applyAlignment="1">
      <alignment horizontal="left" vertical="justify"/>
    </xf>
    <xf numFmtId="0" fontId="14" fillId="0" borderId="9" xfId="0" applyFont="1" applyBorder="1" applyAlignment="1">
      <alignment horizontal="center"/>
    </xf>
  </cellXfs>
  <cellStyles count="77">
    <cellStyle name="%20 - Vurgu1" xfId="1" builtinId="30" customBuiltin="1"/>
    <cellStyle name="%20 - Vurgu2" xfId="2" builtinId="34" customBuiltin="1"/>
    <cellStyle name="%20 - Vurgu3" xfId="3" builtinId="38" customBuiltin="1"/>
    <cellStyle name="%20 - Vurgu4" xfId="4" builtinId="42" customBuiltin="1"/>
    <cellStyle name="%20 - Vurgu5" xfId="5" builtinId="46" customBuiltin="1"/>
    <cellStyle name="%20 - Vurgu6" xfId="6" builtinId="50" customBuiltin="1"/>
    <cellStyle name="%40 - Vurgu1" xfId="7" builtinId="31" customBuiltin="1"/>
    <cellStyle name="%40 - Vurgu2" xfId="8" builtinId="35" customBuiltin="1"/>
    <cellStyle name="%40 - Vurgu3" xfId="9" builtinId="39" customBuiltin="1"/>
    <cellStyle name="%40 - Vurgu4" xfId="10" builtinId="43" customBuiltin="1"/>
    <cellStyle name="%40 - Vurgu5" xfId="11" builtinId="47" customBuiltin="1"/>
    <cellStyle name="%40 - Vurgu6" xfId="12" builtinId="51" customBuiltin="1"/>
    <cellStyle name="%60 - Vurgu1" xfId="13" builtinId="32" customBuiltin="1"/>
    <cellStyle name="%60 - Vurgu2" xfId="14" builtinId="36" customBuiltin="1"/>
    <cellStyle name="%60 - Vurgu3" xfId="15" builtinId="40" customBuiltin="1"/>
    <cellStyle name="%60 - Vurgu4" xfId="16" builtinId="44" customBuiltin="1"/>
    <cellStyle name="%60 - Vurgu5" xfId="17" builtinId="48" customBuiltin="1"/>
    <cellStyle name="%60 - Vurgu6" xfId="18" builtinId="52" customBuiltin="1"/>
    <cellStyle name="Açıklama Metni" xfId="19" builtinId="53" customBuiltin="1"/>
    <cellStyle name="Ana Başlık 10" xfId="20"/>
    <cellStyle name="Ana Başlık 11" xfId="21"/>
    <cellStyle name="Ana Başlık 12" xfId="22"/>
    <cellStyle name="Ana Başlık 13" xfId="23"/>
    <cellStyle name="Ana Başlık 14" xfId="24"/>
    <cellStyle name="Ana Başlık 15" xfId="25"/>
    <cellStyle name="Ana Başlık 2" xfId="26"/>
    <cellStyle name="Ana Başlık 3" xfId="27"/>
    <cellStyle name="Ana Başlık 4" xfId="28"/>
    <cellStyle name="Ana Başlık 5" xfId="29"/>
    <cellStyle name="Ana Başlık 6" xfId="30"/>
    <cellStyle name="Ana Başlık 7" xfId="31"/>
    <cellStyle name="Ana Başlık 8" xfId="32"/>
    <cellStyle name="Ana Başlık 9" xfId="33"/>
    <cellStyle name="Bağlı Hücre" xfId="34" builtinId="24" customBuiltin="1"/>
    <cellStyle name="Başlık 1" xfId="35" builtinId="16" customBuiltin="1"/>
    <cellStyle name="Başlık 2" xfId="36" builtinId="17" customBuiltin="1"/>
    <cellStyle name="Başlık 3" xfId="37" builtinId="18" customBuiltin="1"/>
    <cellStyle name="Başlık 4" xfId="38" builtinId="19" customBuiltin="1"/>
    <cellStyle name="Binlik Ayracı" xfId="67" builtinId="3"/>
    <cellStyle name="Binlik Ayracı 2" xfId="39"/>
    <cellStyle name="Binlik Ayracı 3" xfId="75"/>
    <cellStyle name="Çıkış" xfId="40" builtinId="21" customBuiltin="1"/>
    <cellStyle name="Giriş" xfId="41" builtinId="20" customBuiltin="1"/>
    <cellStyle name="Hesaplama" xfId="42" builtinId="22" customBuiltin="1"/>
    <cellStyle name="İşaretli Hücre" xfId="43" builtinId="23" customBuiltin="1"/>
    <cellStyle name="İyi" xfId="44" builtinId="26" customBuiltin="1"/>
    <cellStyle name="Kötü" xfId="45" builtinId="27" customBuiltin="1"/>
    <cellStyle name="Normal" xfId="0" builtinId="0"/>
    <cellStyle name="Normal 16" xfId="46"/>
    <cellStyle name="Normal 2" xfId="74"/>
    <cellStyle name="Normal 32" xfId="47"/>
    <cellStyle name="Normal 4" xfId="48"/>
    <cellStyle name="Normal 7" xfId="49"/>
    <cellStyle name="Not 10" xfId="50"/>
    <cellStyle name="Not 11" xfId="51"/>
    <cellStyle name="Not 12" xfId="52"/>
    <cellStyle name="Not 13" xfId="53"/>
    <cellStyle name="Not 14" xfId="54"/>
    <cellStyle name="Not 15" xfId="55"/>
    <cellStyle name="Not 2" xfId="56"/>
    <cellStyle name="Not 3" xfId="57"/>
    <cellStyle name="Not 4" xfId="58"/>
    <cellStyle name="Not 5" xfId="59"/>
    <cellStyle name="Not 6" xfId="60"/>
    <cellStyle name="Not 7" xfId="61"/>
    <cellStyle name="Not 8" xfId="62"/>
    <cellStyle name="Not 9" xfId="63"/>
    <cellStyle name="Nötr" xfId="64" builtinId="28" customBuiltin="1"/>
    <cellStyle name="Toplam" xfId="65" builtinId="25" customBuiltin="1"/>
    <cellStyle name="Uyarı Metni" xfId="66" builtinId="11" customBuiltin="1"/>
    <cellStyle name="Vurgu1" xfId="68" builtinId="29" customBuiltin="1"/>
    <cellStyle name="Vurgu2" xfId="69" builtinId="33" customBuiltin="1"/>
    <cellStyle name="Vurgu3" xfId="70" builtinId="37" customBuiltin="1"/>
    <cellStyle name="Vurgu4" xfId="71" builtinId="41" customBuiltin="1"/>
    <cellStyle name="Vurgu5" xfId="72" builtinId="45" customBuiltin="1"/>
    <cellStyle name="Vurgu6" xfId="73" builtinId="49" customBuiltin="1"/>
    <cellStyle name="Yüzde" xfId="7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NİZ DARICI" refreshedDate="45523.681061111114" createdVersion="3" refreshedVersion="3" minRefreshableVersion="3" recordCount="343">
  <cacheSource type="worksheet">
    <worksheetSource ref="E3:I346" sheet="KKEG"/>
  </cacheSource>
  <cacheFields count="5">
    <cacheField name="Kar Merkezi Kodu" numFmtId="0">
      <sharedItems count="4">
        <s v="ÖİV"/>
        <s v="ARAÇ G.K."/>
        <s v="DİĞER"/>
        <s v="MTV"/>
      </sharedItems>
    </cacheField>
    <cacheField name="Kaynak Yeri" numFmtId="0">
      <sharedItems/>
    </cacheField>
    <cacheField name="Açıklama" numFmtId="0">
      <sharedItems/>
    </cacheField>
    <cacheField name="Borç Tutarı" numFmtId="0">
      <sharedItems containsSemiMixedTypes="0" containsString="0" containsNumber="1" minValue="0.01" maxValue="27670"/>
    </cacheField>
    <cacheField name="Alacak Tutarı" numFmtId="0">
      <sharedItems containsSemiMixedTypes="0" containsString="0" containsNumber="1" containsInteger="1" minValue="0" maxValue="0"/>
    </cacheField>
  </cacheFields>
</pivotCacheDefinition>
</file>

<file path=xl/pivotCache/pivotCacheRecords1.xml><?xml version="1.0" encoding="utf-8"?>
<pivotCacheRecords xmlns="http://schemas.openxmlformats.org/spreadsheetml/2006/main" xmlns:r="http://schemas.openxmlformats.org/officeDocument/2006/relationships" count="343">
  <r>
    <x v="0"/>
    <s v="Fatura"/>
    <s v="YBB2024010102751 TURKNET İLETİŞİM HİZMET"/>
    <n v="45.95"/>
    <n v="0"/>
  </r>
  <r>
    <x v="1"/>
    <s v="Fatura"/>
    <s v="GNY2024000000001 GÜNEYLİ OTOMOBİL OTO SE"/>
    <n v="3820.5"/>
    <n v="0"/>
  </r>
  <r>
    <x v="1"/>
    <s v="Banka"/>
    <s v="OTOMATIK Plaka no: 34FDF874 , 1117437630"/>
    <n v="22.5"/>
    <n v="0"/>
  </r>
  <r>
    <x v="1"/>
    <s v="Banka"/>
    <s v="OTOMATIK Plaka no: 34FDF874 , 1117437630"/>
    <n v="22.5"/>
    <n v="0"/>
  </r>
  <r>
    <x v="1"/>
    <s v="Banka"/>
    <s v="OTOMATIK Plaka no: 34FDF874 , 1117437630"/>
    <n v="22.5"/>
    <n v="0"/>
  </r>
  <r>
    <x v="2"/>
    <s v="Banka"/>
    <s v="12/12/23-85985303 SGK IPC BORÇ ÖDEME"/>
    <n v="2846.05"/>
    <n v="0"/>
  </r>
  <r>
    <x v="1"/>
    <s v="Banka"/>
    <s v="OTOMATIK Plaka no: 34FDF874 , 1117437630"/>
    <n v="22.5"/>
    <n v="0"/>
  </r>
  <r>
    <x v="2"/>
    <s v="Fatura"/>
    <s v="KRK2024000000002 KARACA HIRDAVAT CİVATA"/>
    <n v="0.02"/>
    <n v="0"/>
  </r>
  <r>
    <x v="1"/>
    <s v="Banka"/>
    <s v="OTOMATIK Plaka no: 34CZE831 , 1117318885"/>
    <n v="22.5"/>
    <n v="0"/>
  </r>
  <r>
    <x v="1"/>
    <s v="Banka"/>
    <s v="OTOMATIK Plaka no: 34GS0987 , 1113247685"/>
    <n v="42"/>
    <n v="0"/>
  </r>
  <r>
    <x v="2"/>
    <s v="Fatura"/>
    <s v="AAA2024000000844 BATI KURUMSAL TEDARİK Ç"/>
    <n v="3721.39"/>
    <n v="0"/>
  </r>
  <r>
    <x v="1"/>
    <s v="Banka"/>
    <s v="OTOMATIK Plaka no: 34FDF874 , 1117437630"/>
    <n v="22.5"/>
    <n v="0"/>
  </r>
  <r>
    <x v="1"/>
    <s v="Banka"/>
    <s v="OTOMATIK Plaka no: 34GS0987 , 1113247685"/>
    <n v="30"/>
    <n v="0"/>
  </r>
  <r>
    <x v="1"/>
    <s v="Banka"/>
    <s v="OTOMATIK Plaka no: 34FMA593 , 1117685178"/>
    <n v="60"/>
    <n v="0"/>
  </r>
  <r>
    <x v="1"/>
    <s v="Banka"/>
    <s v="OTOMATIK Plaka no: 34FDF874 , 1117437630"/>
    <n v="22.5"/>
    <n v="0"/>
  </r>
  <r>
    <x v="1"/>
    <s v="Banka"/>
    <s v="OTOMATIK Plaka no: 34FDF874 , 1117437630"/>
    <n v="22.5"/>
    <n v="0"/>
  </r>
  <r>
    <x v="1"/>
    <s v="Banka"/>
    <s v="OTOMATIK Plaka no: 34FDF874 , 1117437630"/>
    <n v="22.5"/>
    <n v="0"/>
  </r>
  <r>
    <x v="1"/>
    <s v="Banka"/>
    <s v="OTOMATIK Plaka no: 34FDF874 , 1117437630"/>
    <n v="34.5"/>
    <n v="0"/>
  </r>
  <r>
    <x v="1"/>
    <s v="Banka"/>
    <s v="OTOMATIK Plaka no: 34GS0987 , 1113247685"/>
    <n v="30"/>
    <n v="0"/>
  </r>
  <r>
    <x v="1"/>
    <s v="Banka"/>
    <s v="OTOMATIK Plaka no: 34GS0987 , 1113247685"/>
    <n v="43.5"/>
    <n v="0"/>
  </r>
  <r>
    <x v="2"/>
    <s v="Fatura"/>
    <s v="DP-F-0011 FURKAN SANCAR / İŞ AVANSI"/>
    <n v="15.6"/>
    <n v="0"/>
  </r>
  <r>
    <x v="1"/>
    <s v="Banka"/>
    <s v="OTOMATIK Plaka no: 34GS0987 , 1113247685"/>
    <n v="30"/>
    <n v="0"/>
  </r>
  <r>
    <x v="2"/>
    <s v="Fatura"/>
    <s v="GAD2024000000029 KREDİ KARTI SATICILARI"/>
    <n v="2040.01"/>
    <n v="0"/>
  </r>
  <r>
    <x v="1"/>
    <s v="Fatura"/>
    <s v="BAE2024000001005 BATI KURUMSAL TEDARİK Ç"/>
    <n v="3229.72"/>
    <n v="0"/>
  </r>
  <r>
    <x v="1"/>
    <s v="Banka"/>
    <s v="OTOMATIK Plaka no: 34EME494 , 1117318887"/>
    <n v="22.5"/>
    <n v="0"/>
  </r>
  <r>
    <x v="1"/>
    <s v="Banka"/>
    <s v="OTOMATIK Plaka no: 34GS0987 , 1113247685"/>
    <n v="30"/>
    <n v="0"/>
  </r>
  <r>
    <x v="1"/>
    <s v="Banka"/>
    <s v="OTOMATIK Plaka no: 34EME494 , 1117318887"/>
    <n v="22.5"/>
    <n v="0"/>
  </r>
  <r>
    <x v="1"/>
    <s v="Banka"/>
    <s v="OTOMATIK Plaka no: 34GS0987 , 1113247685"/>
    <n v="52.5"/>
    <n v="0"/>
  </r>
  <r>
    <x v="1"/>
    <s v="Banka"/>
    <s v="OTOMATIK Plaka no: 34GS0987 , 1113247685"/>
    <n v="52.5"/>
    <n v="0"/>
  </r>
  <r>
    <x v="2"/>
    <s v="Fatura"/>
    <s v="LDE2024000008230 KREDİ KARTI SATICILARI"/>
    <n v="1173.33"/>
    <n v="0"/>
  </r>
  <r>
    <x v="3"/>
    <s v="Banka"/>
    <s v="06FY6809 MTV ÖDEMESİ"/>
    <n v="1272"/>
    <n v="0"/>
  </r>
  <r>
    <x v="3"/>
    <s v="Banka"/>
    <s v="34CZE831 MTV ÖDEMESİ"/>
    <n v="1288"/>
    <n v="0"/>
  </r>
  <r>
    <x v="3"/>
    <s v="Banka"/>
    <s v="34EME494 MTV ÖDEMESİ"/>
    <n v="2632.5"/>
    <n v="0"/>
  </r>
  <r>
    <x v="3"/>
    <s v="Banka"/>
    <s v="34FDF874 MTV ÖDEMESİ"/>
    <n v="2016"/>
    <n v="0"/>
  </r>
  <r>
    <x v="3"/>
    <s v="Banka"/>
    <s v="34FMA593 MTV ÖDEMESİ"/>
    <n v="2016"/>
    <n v="0"/>
  </r>
  <r>
    <x v="3"/>
    <s v="Banka"/>
    <s v="34GHZ549 MTV ÖDEMESİ"/>
    <n v="2016"/>
    <n v="0"/>
  </r>
  <r>
    <x v="3"/>
    <s v="Banka"/>
    <s v="34GS0987 MTV ÖDEMESİ"/>
    <n v="2632.5"/>
    <n v="0"/>
  </r>
  <r>
    <x v="1"/>
    <s v="Banka"/>
    <s v="OTOMATIK Plaka no: 06FY6809 , 1117318886"/>
    <n v="52.5"/>
    <n v="0"/>
  </r>
  <r>
    <x v="1"/>
    <s v="Banka"/>
    <s v="OTOMATIK Plaka no: 34CZE831 , 1117318885"/>
    <n v="52.5"/>
    <n v="0"/>
  </r>
  <r>
    <x v="1"/>
    <s v="Banka"/>
    <s v="OTOMATIK Plaka no: 34EME494 , 1117318887"/>
    <n v="52.5"/>
    <n v="0"/>
  </r>
  <r>
    <x v="1"/>
    <s v="Banka"/>
    <s v="OTOMATIK Plaka no: 34FDF874 , 1117437630"/>
    <n v="52.5"/>
    <n v="0"/>
  </r>
  <r>
    <x v="1"/>
    <s v="Banka"/>
    <s v="OTOMATIK Plaka no: 34RL4917 , 1117318883"/>
    <n v="52.5"/>
    <n v="0"/>
  </r>
  <r>
    <x v="1"/>
    <s v="Banka"/>
    <s v="OTOMATIK Plaka no: 34SP7576 , 1117318884"/>
    <n v="52.5"/>
    <n v="0"/>
  </r>
  <r>
    <x v="1"/>
    <s v="Banka"/>
    <s v="OTOMATIK Plaka no: 34FDF874 , 1117437630"/>
    <n v="52.5"/>
    <n v="0"/>
  </r>
  <r>
    <x v="1"/>
    <s v="Banka"/>
    <s v="OTOMATIK Plaka no: 34GS0987 , 1113247685"/>
    <n v="52.5"/>
    <n v="0"/>
  </r>
  <r>
    <x v="2"/>
    <s v="Banka"/>
    <s v="ARALIK/23 KDV ÖDEMESİ"/>
    <n v="521.6"/>
    <n v="0"/>
  </r>
  <r>
    <x v="2"/>
    <s v="Banka"/>
    <s v="ARALIK/23 KDV ÖDEMESİ"/>
    <n v="243.41"/>
    <n v="0"/>
  </r>
  <r>
    <x v="1"/>
    <s v="Fatura"/>
    <s v="BAE2024000004668 BATI KURUMSAL TEDARİK Ç"/>
    <n v="7620.45"/>
    <n v="0"/>
  </r>
  <r>
    <x v="1"/>
    <s v="Banka"/>
    <s v="OTOMATIK Plaka no: 34FDF874 , 1117437630"/>
    <n v="87"/>
    <n v="0"/>
  </r>
  <r>
    <x v="1"/>
    <s v="Banka"/>
    <s v="OTOMATIK Plaka no: 34FDF874 , 1117437630"/>
    <n v="52.5"/>
    <n v="0"/>
  </r>
  <r>
    <x v="0"/>
    <s v="Fatura"/>
    <s v="GB32024003926840 TT MOBİL İLETİŞİM HİZME"/>
    <n v="350.65"/>
    <n v="0"/>
  </r>
  <r>
    <x v="2"/>
    <s v="Cari"/>
    <s v="DPA2024000000007 FATURA İPTALİ"/>
    <n v="7935.02"/>
    <n v="0"/>
  </r>
  <r>
    <x v="2"/>
    <s v="Cari"/>
    <s v="DPA2024000000008 FATURA İPTALİ"/>
    <n v="777.6"/>
    <n v="0"/>
  </r>
  <r>
    <x v="2"/>
    <s v="Fatura"/>
    <s v="KRC2024000000981 KARACA HIRDAVAT CİVATA"/>
    <n v="0.68"/>
    <n v="0"/>
  </r>
  <r>
    <x v="2"/>
    <s v="Cari"/>
    <s v="OCAK /2024 340-679 ARASI VİRMAN"/>
    <n v="2285.6799999999998"/>
    <n v="0"/>
  </r>
  <r>
    <x v="2"/>
    <s v="Cari"/>
    <s v="OCAK 2024 320-679-689 VİRMAN KAYDI"/>
    <n v="143.06"/>
    <n v="0"/>
  </r>
  <r>
    <x v="2"/>
    <s v="Cari"/>
    <s v="OCAK 2024 320-679-689 VİRMAN KAYDI"/>
    <n v="128.47"/>
    <n v="0"/>
  </r>
  <r>
    <x v="2"/>
    <s v="Cari"/>
    <s v="OCAK 2024 320-679-689 VİRMAN KAYDI"/>
    <n v="0.06"/>
    <n v="0"/>
  </r>
  <r>
    <x v="2"/>
    <s v="Cari"/>
    <s v="OCAK 2024 320-679-689 VİRMAN KAYDI"/>
    <n v="0.47"/>
    <n v="0"/>
  </r>
  <r>
    <x v="2"/>
    <s v="Cari"/>
    <s v="OCAK 2024 320-679-689 VİRMAN KAYDI"/>
    <n v="0.04"/>
    <n v="0"/>
  </r>
  <r>
    <x v="2"/>
    <s v="Cari"/>
    <s v="OCAK 2024 320-679-689 VİRMAN KAYDI"/>
    <n v="0.01"/>
    <n v="0"/>
  </r>
  <r>
    <x v="2"/>
    <s v="Cari"/>
    <s v="OCAK 2024 320-679-689 VİRMAN KAYDI"/>
    <n v="0.02"/>
    <n v="0"/>
  </r>
  <r>
    <x v="2"/>
    <s v="Cari"/>
    <s v="OCAK 2024 320-679-689 VİRMAN KAYDI"/>
    <n v="0.01"/>
    <n v="0"/>
  </r>
  <r>
    <x v="2"/>
    <s v="Cari"/>
    <s v="OCAK 2024 320-679-689 VİRMAN KAYDI"/>
    <n v="0.01"/>
    <n v="0"/>
  </r>
  <r>
    <x v="2"/>
    <s v="Cari"/>
    <s v="OCAK 2024 320-679-689 VİRMAN KAYDI"/>
    <n v="18.190000000000001"/>
    <n v="0"/>
  </r>
  <r>
    <x v="2"/>
    <s v="Cari"/>
    <s v="OCAK 2024 320-679-689 VİRMAN KAYDI"/>
    <n v="24.97"/>
    <n v="0"/>
  </r>
  <r>
    <x v="2"/>
    <s v="Cari"/>
    <s v="OCAK 2024 320-679-689 VİRMAN KAYDI"/>
    <n v="0.01"/>
    <n v="0"/>
  </r>
  <r>
    <x v="2"/>
    <s v="Cari"/>
    <s v="OCAK 2024 320-679-689 VİRMAN KAYDI"/>
    <n v="0.01"/>
    <n v="0"/>
  </r>
  <r>
    <x v="2"/>
    <s v="Cari"/>
    <s v="OCAK/2024 320-689 HESAPLAR ARASI VİRMAN"/>
    <n v="990"/>
    <n v="0"/>
  </r>
  <r>
    <x v="2"/>
    <s v="Cari"/>
    <s v="OCAK/2024 320-689 HESAPLAR ARASI VİRMAN"/>
    <n v="0.14000000000000001"/>
    <n v="0"/>
  </r>
  <r>
    <x v="2"/>
    <s v="Cari"/>
    <s v="OCAK/2024 320-689 HESAPLAR ARASI VİRMAN"/>
    <n v="0.1"/>
    <n v="0"/>
  </r>
  <r>
    <x v="2"/>
    <s v="Cari"/>
    <s v="OCAK/2024 320-689 HESAPLAR ARASI VİRMAN"/>
    <n v="5677.38"/>
    <n v="0"/>
  </r>
  <r>
    <x v="2"/>
    <s v="Cari"/>
    <s v="OCAK/2024 320-689 HESAPLAR ARASI VİRMAN"/>
    <n v="0.2"/>
    <n v="0"/>
  </r>
  <r>
    <x v="2"/>
    <s v="Cari"/>
    <s v="OCAK/2024 320-689 HESAPLAR ARASI VİRMAN"/>
    <n v="0.23"/>
    <n v="0"/>
  </r>
  <r>
    <x v="2"/>
    <s v="Cari"/>
    <s v="OCAK/2024 320-689 HESAPLAR ARASI VİRMAN"/>
    <n v="817.74"/>
    <n v="0"/>
  </r>
  <r>
    <x v="2"/>
    <s v="Cari"/>
    <s v="OCAK/2024 320-689 HESAPLAR ARASI VİRMAN"/>
    <n v="0.36"/>
    <n v="0"/>
  </r>
  <r>
    <x v="2"/>
    <s v="Cari"/>
    <s v="OCAK/2024 320-689 HESAPLAR ARASI VİRMAN"/>
    <n v="3162.13"/>
    <n v="0"/>
  </r>
  <r>
    <x v="2"/>
    <s v="Cari"/>
    <s v="OCAK/2024 320-689 HESAPLAR ARASI VİRMAN"/>
    <n v="413.38"/>
    <n v="0"/>
  </r>
  <r>
    <x v="2"/>
    <s v="Cari"/>
    <s v="OCAK/2024 320-689 HESAPLAR ARASI VİRMAN"/>
    <n v="133.81"/>
    <n v="0"/>
  </r>
  <r>
    <x v="2"/>
    <s v="Cari"/>
    <s v="OCAK/2024 320-689 HESAPLAR ARASI VİRMAN"/>
    <n v="8.2200000000000006"/>
    <n v="0"/>
  </r>
  <r>
    <x v="0"/>
    <s v="Fatura"/>
    <s v="YCB2024020101824 TURKNET İLETİŞİM HİZMET"/>
    <n v="79.56"/>
    <n v="0"/>
  </r>
  <r>
    <x v="2"/>
    <s v="Cari"/>
    <s v="İSTANBUL SANAYİ ODASI AİDAT ÖDEMESİ"/>
    <n v="2572.69"/>
    <n v="0"/>
  </r>
  <r>
    <x v="1"/>
    <s v="Banka"/>
    <s v="OTOMATIK Plaka no: 34EME494 , 1117318887"/>
    <n v="52.5"/>
    <n v="0"/>
  </r>
  <r>
    <x v="1"/>
    <s v="Banka"/>
    <s v="OTOMATIK Plaka no: 34FDF874 , 1117437630"/>
    <n v="114"/>
    <n v="0"/>
  </r>
  <r>
    <x v="1"/>
    <s v="Banka"/>
    <s v="OTOMATIK Plaka no: 34FMA593 , 1117685178"/>
    <n v="60"/>
    <n v="0"/>
  </r>
  <r>
    <x v="1"/>
    <s v="Banka"/>
    <s v="OTOMATIK Plaka no: 34FDF874 , 1117437630"/>
    <n v="52.5"/>
    <n v="0"/>
  </r>
  <r>
    <x v="1"/>
    <s v="Banka"/>
    <s v="OTOMATIK Plaka no: 34GHZ549 1113247684"/>
    <n v="52.5"/>
    <n v="0"/>
  </r>
  <r>
    <x v="1"/>
    <s v="Banka"/>
    <s v="OTOMATIK Plaka no: 34CZE831 , 1117318885"/>
    <n v="18"/>
    <n v="0"/>
  </r>
  <r>
    <x v="1"/>
    <s v="Banka"/>
    <s v="OTOMATIK Plaka no: 34CZE831 , 1117318885"/>
    <n v="52.5"/>
    <n v="0"/>
  </r>
  <r>
    <x v="1"/>
    <s v="Banka"/>
    <s v="OTOMATIK Plaka no: 34CZE831 , 1117318885"/>
    <n v="52.5"/>
    <n v="0"/>
  </r>
  <r>
    <x v="1"/>
    <s v="Banka"/>
    <s v="OTOMATIK Plaka no: 34GS0987 , 1113247685"/>
    <n v="52.5"/>
    <n v="0"/>
  </r>
  <r>
    <x v="1"/>
    <s v="Banka"/>
    <s v="OTOMATIK Plaka no: 34GS0987 , 1113247685"/>
    <n v="24"/>
    <n v="0"/>
  </r>
  <r>
    <x v="1"/>
    <s v="Banka"/>
    <s v="OTOMATIK Plaka no: 34GS0987 , 1113247685"/>
    <n v="52.5"/>
    <n v="0"/>
  </r>
  <r>
    <x v="1"/>
    <s v="Fatura"/>
    <s v="BAE2024000008470 BATI KURUMSAL TEDARİK Ç"/>
    <n v="5482.8"/>
    <n v="0"/>
  </r>
  <r>
    <x v="1"/>
    <s v="Banka"/>
    <s v="OTOMATIK Plaka no: 34GS0987 , 1113247685"/>
    <n v="52.5"/>
    <n v="0"/>
  </r>
  <r>
    <x v="1"/>
    <s v="Banka"/>
    <s v="OTOMATIK Plaka no: 34FMA593 , 1117685178"/>
    <n v="60"/>
    <n v="0"/>
  </r>
  <r>
    <x v="1"/>
    <s v="Banka"/>
    <s v="OTOMATIK Plaka no: 34GS0987 , 1113247685"/>
    <n v="52.5"/>
    <n v="0"/>
  </r>
  <r>
    <x v="1"/>
    <s v="Banka"/>
    <s v="OTOMATIK Plaka no: 34GS0987 , 1113247685"/>
    <n v="87"/>
    <n v="0"/>
  </r>
  <r>
    <x v="1"/>
    <s v="Banka"/>
    <s v="OTOMATIK Plaka no: 34GS0987 , 1113247685"/>
    <n v="52.5"/>
    <n v="0"/>
  </r>
  <r>
    <x v="1"/>
    <s v="Banka"/>
    <s v="OTOMATIK Plaka no: 34GS0987 , 1113247685"/>
    <n v="114"/>
    <n v="0"/>
  </r>
  <r>
    <x v="1"/>
    <s v="Banka"/>
    <s v="OTOMATIK Plaka no: 34GS0987 , 1113247685"/>
    <n v="52.5"/>
    <n v="0"/>
  </r>
  <r>
    <x v="1"/>
    <s v="Banka"/>
    <s v="OTOMATIK Plaka no: 34FDF874 , 1117437630"/>
    <n v="52.5"/>
    <n v="0"/>
  </r>
  <r>
    <x v="1"/>
    <s v="Banka"/>
    <s v="OTOMATIK Plaka no: 34GS0987 , 1113247685"/>
    <n v="52.5"/>
    <n v="0"/>
  </r>
  <r>
    <x v="2"/>
    <s v="Fatura"/>
    <s v="HLT2024000000180 KREDİ KARTI SATICILARI"/>
    <n v="0.04"/>
    <n v="0"/>
  </r>
  <r>
    <x v="1"/>
    <s v="Fatura"/>
    <s v="BAE2024000012298 BATI KURUMSAL TEDARİK Ç"/>
    <n v="6309.08"/>
    <n v="0"/>
  </r>
  <r>
    <x v="1"/>
    <s v="Banka"/>
    <s v="OTOMATIK Plaka no: 34FDF874 , 1117437630"/>
    <n v="52.5"/>
    <n v="0"/>
  </r>
  <r>
    <x v="1"/>
    <s v="Banka"/>
    <s v="OTOMATIK Plaka no: 34GS0987 , 1113247685"/>
    <n v="42"/>
    <n v="0"/>
  </r>
  <r>
    <x v="1"/>
    <s v="Banka"/>
    <s v="OTOMATIK Plaka no: 34GS0987 , 1113247685"/>
    <n v="52.5"/>
    <n v="0"/>
  </r>
  <r>
    <x v="1"/>
    <s v="Banka"/>
    <s v="OTOMATIK Plaka no: 34EME494 , 1117318887"/>
    <n v="52.5"/>
    <n v="0"/>
  </r>
  <r>
    <x v="1"/>
    <s v="Banka"/>
    <s v="OTOMATIK Plaka no: 34GS0987 , 1113247685"/>
    <n v="87"/>
    <n v="0"/>
  </r>
  <r>
    <x v="1"/>
    <s v="Banka"/>
    <s v="OTOMATIK Plaka no: 34GS0987 , 1113247685"/>
    <n v="52.5"/>
    <n v="0"/>
  </r>
  <r>
    <x v="1"/>
    <s v="Banka"/>
    <s v="OTOMATIK Plaka no: 34GS0987 , 1113247685"/>
    <n v="99"/>
    <n v="0"/>
  </r>
  <r>
    <x v="1"/>
    <s v="Banka"/>
    <s v="OTOMATIK Plaka no: 34FDF874 , 1117437630"/>
    <n v="52.5"/>
    <n v="0"/>
  </r>
  <r>
    <x v="1"/>
    <s v="Banka"/>
    <s v="OTOMATIK Plaka no: 34GS0987 , 1113247685"/>
    <n v="52.5"/>
    <n v="0"/>
  </r>
  <r>
    <x v="1"/>
    <s v="Banka"/>
    <s v="OTOMATIK Plaka no: 34FDF874 , 1117437630"/>
    <n v="52.5"/>
    <n v="0"/>
  </r>
  <r>
    <x v="1"/>
    <s v="Banka"/>
    <s v="OTOMATIK Plaka no: 34GS0987 , 1113247685"/>
    <n v="52.5"/>
    <n v="0"/>
  </r>
  <r>
    <x v="1"/>
    <s v="Banka"/>
    <s v="OTOMATIK Plaka no: 34GS0987 , 1113247685"/>
    <n v="99"/>
    <n v="0"/>
  </r>
  <r>
    <x v="1"/>
    <s v="Banka"/>
    <s v="OTOMATIK Plaka no: 34GS0987 , 1113247685"/>
    <n v="114"/>
    <n v="0"/>
  </r>
  <r>
    <x v="1"/>
    <s v="Banka"/>
    <s v="OTOMATIK Plaka no: 34EME494 , 1117318887"/>
    <n v="52.5"/>
    <n v="0"/>
  </r>
  <r>
    <x v="1"/>
    <s v="Banka"/>
    <s v="OTOMATIK Plaka no: 34FDF874 , 1117437630"/>
    <n v="87"/>
    <n v="0"/>
  </r>
  <r>
    <x v="1"/>
    <s v="Banka"/>
    <s v="OTOMATIK Plaka no: 34FDF874 , 1117437630"/>
    <n v="114"/>
    <n v="0"/>
  </r>
  <r>
    <x v="1"/>
    <s v="Banka"/>
    <s v="OTOMATIK Plaka no: 34FDF874 , 1117437630"/>
    <n v="52.5"/>
    <n v="0"/>
  </r>
  <r>
    <x v="1"/>
    <s v="Banka"/>
    <s v="OTOMATIK Plaka no: 34FMA593 , 1117685178"/>
    <n v="60"/>
    <n v="0"/>
  </r>
  <r>
    <x v="1"/>
    <s v="Banka"/>
    <s v="OTOMATIK Plaka no: 34GS0987 , 1113247685"/>
    <n v="52.5"/>
    <n v="0"/>
  </r>
  <r>
    <x v="3"/>
    <s v="Banka"/>
    <s v="34EJ655 TRAFİK CEZASI ÖDEMESİ"/>
    <n v="2176.9"/>
    <n v="0"/>
  </r>
  <r>
    <x v="1"/>
    <s v="Fatura"/>
    <s v="BAE2024000016123 BATI KURUMSAL TEDARİK Ç"/>
    <n v="6244.22"/>
    <n v="0"/>
  </r>
  <r>
    <x v="0"/>
    <s v="Fatura"/>
    <s v="GB32024004013126 TT MOBİL İLETİŞİM HİZME"/>
    <n v="325.27999999999997"/>
    <n v="0"/>
  </r>
  <r>
    <x v="1"/>
    <s v="Banka"/>
    <s v="OTOMATIK Plaka no: 34FDF874 , 1117437630"/>
    <n v="52.5"/>
    <n v="0"/>
  </r>
  <r>
    <x v="0"/>
    <s v="Fatura"/>
    <s v="YDB2024030101226 TURKNET İLETİŞİM HİZMET"/>
    <n v="77.25"/>
    <n v="0"/>
  </r>
  <r>
    <x v="2"/>
    <s v="Fatura"/>
    <s v="DP-F-0013 SERTER ASLAN / İŞ AVANSI"/>
    <n v="75"/>
    <n v="0"/>
  </r>
  <r>
    <x v="2"/>
    <s v="Fatura"/>
    <s v="DP-F-0014 SERTER ASLAN / İŞ AVANSI"/>
    <n v="30"/>
    <n v="0"/>
  </r>
  <r>
    <x v="2"/>
    <s v="Fatura"/>
    <s v="DP-F--20240208 ONUR ÇAKIROĞLU / İŞ AVANS"/>
    <n v="7.5"/>
    <n v="0"/>
  </r>
  <r>
    <x v="2"/>
    <s v="Fatura"/>
    <s v="DP-F-240201 GÖRKEM İPEK / İŞ AVANSI"/>
    <n v="68"/>
    <n v="0"/>
  </r>
  <r>
    <x v="2"/>
    <s v="Fatura"/>
    <s v="DP-F-240229 ERGİN OLGUN / İŞ AVANSI"/>
    <n v="120"/>
    <n v="0"/>
  </r>
  <r>
    <x v="1"/>
    <s v="Fatura"/>
    <s v="311000264249396 ADİL SİGORTA ARA. HİZ. L"/>
    <n v="2927.78"/>
    <n v="0"/>
  </r>
  <r>
    <x v="1"/>
    <s v="Fatura"/>
    <s v="333000017020382 ADİL SİGORTA ARA. HİZ. L"/>
    <n v="8023.23"/>
    <n v="0"/>
  </r>
  <r>
    <x v="1"/>
    <s v="Banka"/>
    <s v="OTOMATIK Plaka no: 34GHZ549 1113247684"/>
    <n v="52.5"/>
    <n v="0"/>
  </r>
  <r>
    <x v="1"/>
    <s v="Fatura"/>
    <s v="311000266089880 ADİL SİGORTA ARA. HİZ. L"/>
    <n v="2927.78"/>
    <n v="0"/>
  </r>
  <r>
    <x v="1"/>
    <s v="Fatura"/>
    <s v="333000017058905 ADİL SİGORTA ARA. HİZ. L"/>
    <n v="4459.2"/>
    <n v="0"/>
  </r>
  <r>
    <x v="1"/>
    <s v="Banka"/>
    <s v="OTOMATIK Plaka no: 34GHZ549 1113247684"/>
    <n v="52.5"/>
    <n v="0"/>
  </r>
  <r>
    <x v="2"/>
    <s v="Fatura"/>
    <s v="2910725341 İSTANBUL SU VE KANALİZASYON İ"/>
    <n v="0.45"/>
    <n v="0"/>
  </r>
  <r>
    <x v="2"/>
    <s v="Fatura"/>
    <s v="AKT2024000000029 AKTEK DÖKÜM SAN.TİC.LTD"/>
    <n v="2.12"/>
    <n v="0"/>
  </r>
  <r>
    <x v="1"/>
    <s v="Banka"/>
    <s v="OTOMATIK Plaka no: 34CZE831 , 1117318885"/>
    <n v="52.5"/>
    <n v="0"/>
  </r>
  <r>
    <x v="2"/>
    <s v="Fatura"/>
    <s v="DP-F--20240309 ONUR ÇAKIROĞLU / İŞ AVANS"/>
    <n v="48"/>
    <n v="0"/>
  </r>
  <r>
    <x v="1"/>
    <s v="Fatura"/>
    <s v="BAE2024000020167 BATI KURUMSAL TEDARİK Ç"/>
    <n v="5147.2299999999996"/>
    <n v="0"/>
  </r>
  <r>
    <x v="1"/>
    <s v="Banka"/>
    <s v="OTOMATIK Plaka no: 34GS0987 , 1113247685"/>
    <n v="52.5"/>
    <n v="0"/>
  </r>
  <r>
    <x v="1"/>
    <s v="Banka"/>
    <s v="OTOMATIK Plaka no: 34GS0987 , 1113247685"/>
    <n v="114"/>
    <n v="0"/>
  </r>
  <r>
    <x v="1"/>
    <s v="Fatura"/>
    <s v="OR02024000001239 KREDİ KARTI SATICILARI"/>
    <n v="2360.85"/>
    <n v="0"/>
  </r>
  <r>
    <x v="1"/>
    <s v="Banka"/>
    <s v="OTOMATIK Plaka no: 34FDF874 , 1117437630"/>
    <n v="52.5"/>
    <n v="0"/>
  </r>
  <r>
    <x v="1"/>
    <s v="Banka"/>
    <s v="OTOMATIK Plaka no: 34GS0987 , 1113247685"/>
    <n v="52.5"/>
    <n v="0"/>
  </r>
  <r>
    <x v="1"/>
    <s v="Banka"/>
    <s v="OTOMATIK Plaka no: 34GS0987 , 1113247685"/>
    <n v="3"/>
    <n v="0"/>
  </r>
  <r>
    <x v="1"/>
    <s v="Banka"/>
    <s v="OTOMATIK Plaka no: 34GS0987 , 1113247685"/>
    <n v="52.5"/>
    <n v="0"/>
  </r>
  <r>
    <x v="1"/>
    <s v="Banka"/>
    <s v="OTOMATIK Plaka no: 34FDF874 , 1117437630"/>
    <n v="52.5"/>
    <n v="0"/>
  </r>
  <r>
    <x v="1"/>
    <s v="Banka"/>
    <s v="OTOMATIK Plaka no: 34GS0987 , 1113247685"/>
    <n v="52.5"/>
    <n v="0"/>
  </r>
  <r>
    <x v="2"/>
    <s v="Fatura"/>
    <s v="KRK2024000000152 KRK ELK. İNŞ. TUR. SAN."/>
    <n v="1"/>
    <n v="0"/>
  </r>
  <r>
    <x v="1"/>
    <s v="Banka"/>
    <s v="OTOMATIK Plaka no: 34GS0987 , 1113247685"/>
    <n v="52.5"/>
    <n v="0"/>
  </r>
  <r>
    <x v="1"/>
    <s v="Banka"/>
    <s v="OTOMATIK Plaka no: 34GS0987 , 1113247685"/>
    <n v="52.5"/>
    <n v="0"/>
  </r>
  <r>
    <x v="2"/>
    <s v="Fatura"/>
    <s v="TUN2024000000299 TUNÇ METAL DÖKÜM SAN. T"/>
    <n v="1"/>
    <n v="0"/>
  </r>
  <r>
    <x v="1"/>
    <s v="Fatura"/>
    <s v="BAE2024000024058 BATI KURUMSAL TEDARİK Ç"/>
    <n v="5586.05"/>
    <n v="0"/>
  </r>
  <r>
    <x v="1"/>
    <s v="Banka"/>
    <s v="OTOMATIK Plaka no: 34GS0987 , 1113247685"/>
    <n v="52.5"/>
    <n v="0"/>
  </r>
  <r>
    <x v="1"/>
    <s v="Banka"/>
    <s v="OTOMATIK Plaka no: 34EME494 , 1117318887"/>
    <n v="52.5"/>
    <n v="0"/>
  </r>
  <r>
    <x v="2"/>
    <s v="Fatura"/>
    <s v="AKT2024000000037 AKTEK DÖKÜM SAN.TİC.LTD"/>
    <n v="0.48"/>
    <n v="0"/>
  </r>
  <r>
    <x v="2"/>
    <s v="Banka"/>
    <s v="11/2023 MUHTASAR GEÇMİŞ ÖDEMESİ"/>
    <n v="46.77"/>
    <n v="0"/>
  </r>
  <r>
    <x v="1"/>
    <s v="Fatura"/>
    <s v="GIB2024000000062 SEYİT MEHMET ASLAN-ÖZLE"/>
    <n v="1363.81"/>
    <n v="0"/>
  </r>
  <r>
    <x v="1"/>
    <s v="Banka"/>
    <s v="OTOMATIK Plaka no: 34CZE831 , 1117318885"/>
    <n v="52.5"/>
    <n v="0"/>
  </r>
  <r>
    <x v="1"/>
    <s v="Banka"/>
    <s v="OTOMATIK Plaka no: 34GS0987 , 1113247685"/>
    <n v="52.5"/>
    <n v="0"/>
  </r>
  <r>
    <x v="2"/>
    <s v="Banka"/>
    <s v="KASIM/2023 BEYANNAME DÜZELTME CEZA ÖDEME"/>
    <n v="324.38"/>
    <n v="0"/>
  </r>
  <r>
    <x v="2"/>
    <s v="Banka"/>
    <s v="KASIM/2023 KDV DÜZELTME BEYAN ÖDEMESİ"/>
    <n v="60.55"/>
    <n v="0"/>
  </r>
  <r>
    <x v="2"/>
    <s v="Banka"/>
    <s v="OCAK/2024 KDV DÜZELTME BEYAN ÖDEMESİKASI"/>
    <n v="754.57"/>
    <n v="0"/>
  </r>
  <r>
    <x v="1"/>
    <s v="Banka"/>
    <s v="OTOMATIK Plaka no: 34GS0987 , 1113247685"/>
    <n v="52.5"/>
    <n v="0"/>
  </r>
  <r>
    <x v="1"/>
    <s v="Banka"/>
    <s v="OTOMATIK Plaka no: 34EME494 , 1117318887"/>
    <n v="52.5"/>
    <n v="0"/>
  </r>
  <r>
    <x v="1"/>
    <s v="Banka"/>
    <s v="OTOMATIK Plaka no: 34GS0987 , 1113247685"/>
    <n v="52.5"/>
    <n v="0"/>
  </r>
  <r>
    <x v="1"/>
    <s v="Fatura"/>
    <s v="EAE2024000001093 BATI KURUMSAL TEDARİK Ç"/>
    <n v="4792.99"/>
    <n v="0"/>
  </r>
  <r>
    <x v="0"/>
    <s v="Fatura"/>
    <s v="GB32024004121774 TT MOBİL İLETİŞİM HİZME"/>
    <n v="427"/>
    <n v="0"/>
  </r>
  <r>
    <x v="2"/>
    <s v="Cari"/>
    <s v="GEZER-MASS KASTAMONU-CARİ SIFIRLAMA"/>
    <n v="19647"/>
    <n v="0"/>
  </r>
  <r>
    <x v="2"/>
    <s v="Cari"/>
    <s v="NATURAL POMPA CHM 689 HESABA VİRMAN"/>
    <n v="4510.5600000000004"/>
    <n v="0"/>
  </r>
  <r>
    <x v="1"/>
    <s v="Fatura"/>
    <s v="GIB2024000000065 SEYİT MEHMET ASLAN-ÖZLE"/>
    <n v="3444"/>
    <n v="0"/>
  </r>
  <r>
    <x v="0"/>
    <s v="Fatura"/>
    <s v="YEB2024040101699 TURKNET İLETİŞİM HİZMET"/>
    <n v="80.33"/>
    <n v="0"/>
  </r>
  <r>
    <x v="1"/>
    <s v="Banka"/>
    <s v="OTOMATIK Plaka no: 34GS0987 , 1113247685"/>
    <n v="52.5"/>
    <n v="0"/>
  </r>
  <r>
    <x v="2"/>
    <s v="Fatura"/>
    <s v="RYL2024000001687 ROYAL METAL SANAYİ VE T"/>
    <n v="0.17"/>
    <n v="0"/>
  </r>
  <r>
    <x v="1"/>
    <s v="Banka"/>
    <s v="OTOMATIK Plaka no: 34FDF874 , 1117437630"/>
    <n v="52.5"/>
    <n v="0"/>
  </r>
  <r>
    <x v="1"/>
    <s v="Banka"/>
    <s v="OTOMATIK Plaka no: 34GS0987 , 1113247685"/>
    <n v="52.5"/>
    <n v="0"/>
  </r>
  <r>
    <x v="2"/>
    <s v="Fatura"/>
    <s v="EFR2024000000437 EFORGRUP PROMOSYON BİLG"/>
    <n v="0.03"/>
    <n v="0"/>
  </r>
  <r>
    <x v="1"/>
    <s v="Banka"/>
    <s v="OTOMATIK Plaka no: 34FMA593 , 1117685178"/>
    <n v="60"/>
    <n v="0"/>
  </r>
  <r>
    <x v="1"/>
    <s v="Fatura"/>
    <s v="EAE2024000004760 BATI KURUMSAL TEDARİK Ç"/>
    <n v="6417.99"/>
    <n v="0"/>
  </r>
  <r>
    <x v="1"/>
    <s v="Banka"/>
    <s v="OTOMATIK Plaka no: 34GS0987 , 1113247685"/>
    <n v="87"/>
    <n v="0"/>
  </r>
  <r>
    <x v="1"/>
    <s v="Banka"/>
    <s v="OTOMATIK Plaka no: 34GS0987 , 1113247685"/>
    <n v="52.5"/>
    <n v="0"/>
  </r>
  <r>
    <x v="1"/>
    <s v="Banka"/>
    <s v="OTOMATIK Plaka no: 34GS0987 , 1113247685"/>
    <n v="52.5"/>
    <n v="0"/>
  </r>
  <r>
    <x v="1"/>
    <s v="Banka"/>
    <s v="OTOMATIK Plaka no: 34FDF874 , 1117437630"/>
    <n v="52.5"/>
    <n v="0"/>
  </r>
  <r>
    <x v="1"/>
    <s v="Banka"/>
    <s v="OTOMATIK Plaka no: 34GS0987 , 1113247685"/>
    <n v="99"/>
    <n v="0"/>
  </r>
  <r>
    <x v="1"/>
    <s v="Banka"/>
    <s v="OTOMATIK Plaka no: 34GS0987 , 1113247685"/>
    <n v="52.5"/>
    <n v="0"/>
  </r>
  <r>
    <x v="2"/>
    <s v="Fatura"/>
    <s v="GÖRKEM/20241504 GÖRKEM İPEK / İŞ AVANSI"/>
    <n v="150"/>
    <n v="0"/>
  </r>
  <r>
    <x v="2"/>
    <s v="Fatura"/>
    <s v="GÖRKEM/20241504 GÖRKEM İPEK / İŞ AVANSI"/>
    <n v="75"/>
    <n v="0"/>
  </r>
  <r>
    <x v="2"/>
    <s v="Fatura"/>
    <s v="GÖRKEM/20241504 GÖRKEM İPEK / İŞ AVANSI"/>
    <n v="60"/>
    <n v="0"/>
  </r>
  <r>
    <x v="1"/>
    <s v="Banka"/>
    <s v="OTOMATIK Plaka no: 34GS0987 , 1113247685"/>
    <n v="52.5"/>
    <n v="0"/>
  </r>
  <r>
    <x v="1"/>
    <s v="Banka"/>
    <s v="OTOMATIK Plaka no: 34GS0987 , 1113247685"/>
    <n v="114"/>
    <n v="0"/>
  </r>
  <r>
    <x v="1"/>
    <s v="Banka"/>
    <s v="OTOMATIK Plaka no: 34GS0987 , 1113247685"/>
    <n v="18"/>
    <n v="0"/>
  </r>
  <r>
    <x v="1"/>
    <s v="Banka"/>
    <s v="OTOMATIK Plaka no: 34GS0987 , 1113247685"/>
    <n v="52.5"/>
    <n v="0"/>
  </r>
  <r>
    <x v="1"/>
    <s v="Banka"/>
    <s v="OTOMATIK Plaka no: 34FDF874 , 1117437630"/>
    <n v="52.5"/>
    <n v="0"/>
  </r>
  <r>
    <x v="1"/>
    <s v="Banka"/>
    <s v="OTOMATIK Plaka no: 34GS0987 , 1113247685"/>
    <n v="52.5"/>
    <n v="0"/>
  </r>
  <r>
    <x v="2"/>
    <s v="Fatura"/>
    <s v="KRK2024000000260 KÜRK-AR DÖKÜM SANAYİ VE"/>
    <n v="3.6"/>
    <n v="0"/>
  </r>
  <r>
    <x v="2"/>
    <s v="Fatura"/>
    <s v="SERTER 20240418 SERTER ASLAN / İŞ AVANSI"/>
    <n v="300"/>
    <n v="0"/>
  </r>
  <r>
    <x v="2"/>
    <s v="Fatura"/>
    <s v="SERTER 20240418 SERTER ASLAN / İŞ AVANSI"/>
    <n v="30"/>
    <n v="0"/>
  </r>
  <r>
    <x v="1"/>
    <s v="Banka"/>
    <s v="OTOMATIK Plaka no: 34FMA593 , 1117685178"/>
    <n v="60"/>
    <n v="0"/>
  </r>
  <r>
    <x v="1"/>
    <s v="Fatura"/>
    <s v="EAE2024000008391 BATI KURUMSAL TEDARİK Ç"/>
    <n v="6209"/>
    <n v="0"/>
  </r>
  <r>
    <x v="1"/>
    <s v="Fatura"/>
    <s v="EAE2024000012011 BATI KURUMSAL TEDARİK Ç"/>
    <n v="5520.69"/>
    <n v="0"/>
  </r>
  <r>
    <x v="1"/>
    <s v="Banka"/>
    <s v="OTOMATIK Plaka no: 34FDF874 , 1117437630"/>
    <n v="52.5"/>
    <n v="0"/>
  </r>
  <r>
    <x v="1"/>
    <s v="Banka"/>
    <s v="OTOMATIK Plaka no: 34CZE831 , 1117318885"/>
    <n v="52.5"/>
    <n v="0"/>
  </r>
  <r>
    <x v="2"/>
    <s v="Banka"/>
    <s v="34CZ831 TRAFİK CEZA ÖDEMESİ"/>
    <n v="2779.35"/>
    <n v="0"/>
  </r>
  <r>
    <x v="2"/>
    <s v="Banka"/>
    <s v="KASIM/2023 KDV 1 DÜZELTME ÖDEMESİ"/>
    <n v="162.12"/>
    <n v="0"/>
  </r>
  <r>
    <x v="2"/>
    <s v="Banka"/>
    <s v="KASIM/2023 KDV DÜZELTME CEZASI"/>
    <n v="579"/>
    <n v="0"/>
  </r>
  <r>
    <x v="2"/>
    <s v="Banka"/>
    <s v="KASIM/2023 KDV DÜZELTME CEZASI"/>
    <n v="285.91000000000003"/>
    <n v="0"/>
  </r>
  <r>
    <x v="2"/>
    <s v="Banka"/>
    <s v="OCAK/2024 KDV 1 DÜZELTME ÖDEMESİ"/>
    <n v="129.99"/>
    <n v="0"/>
  </r>
  <r>
    <x v="2"/>
    <s v="Banka"/>
    <s v="OCAK/2024 KDV DÜZELTME ÖDEMESİ"/>
    <n v="1148.24"/>
    <n v="0"/>
  </r>
  <r>
    <x v="1"/>
    <s v="Banka"/>
    <s v="OTOMATIK Plaka no: 34GS0987 , 1113247685"/>
    <n v="52.5"/>
    <n v="0"/>
  </r>
  <r>
    <x v="1"/>
    <s v="Fatura"/>
    <s v="GORKEM 20240430 GÖRKEM İPEK / İŞ AVANSI"/>
    <n v="117.08"/>
    <n v="0"/>
  </r>
  <r>
    <x v="1"/>
    <s v="Banka"/>
    <s v="OTOMATIK Plaka no: 34FDF874 , 1117437630"/>
    <n v="52.5"/>
    <n v="0"/>
  </r>
  <r>
    <x v="0"/>
    <s v="Fatura"/>
    <s v="GB32024004225260 TT MOBİL İLETİŞİM HİZME"/>
    <n v="617.58000000000004"/>
    <n v="0"/>
  </r>
  <r>
    <x v="2"/>
    <s v="Fatura"/>
    <s v="2928726150 İSTANBUL SU VE KANALİZASYON İ"/>
    <n v="0.45"/>
    <n v="0"/>
  </r>
  <r>
    <x v="2"/>
    <s v="Fatura"/>
    <s v="GORKEM 20240430 GÖRKEM İPEK / İŞ AVANSI"/>
    <n v="918"/>
    <n v="0"/>
  </r>
  <r>
    <x v="2"/>
    <s v="Fatura"/>
    <s v="GORKEM 20240430 GÖRKEM İPEK / İŞ AVANSI"/>
    <n v="95"/>
    <n v="0"/>
  </r>
  <r>
    <x v="2"/>
    <s v="Fatura"/>
    <s v="GORKEM 20240430 GÖRKEM İPEK / İŞ AVANSI"/>
    <n v="2056.88"/>
    <n v="0"/>
  </r>
  <r>
    <x v="2"/>
    <s v="Fatura"/>
    <s v="GORKEM 20240430 GÖRKEM İPEK / İŞ AVANSI"/>
    <n v="330"/>
    <n v="0"/>
  </r>
  <r>
    <x v="2"/>
    <s v="Fatura"/>
    <s v="GORKEM 20240430 GÖRKEM İPEK / İŞ AVANSI"/>
    <n v="225"/>
    <n v="0"/>
  </r>
  <r>
    <x v="2"/>
    <s v="Banka"/>
    <s v="KDV DAMGA VERGİSİ GECİKME ÖDEMESİ"/>
    <n v="1"/>
    <n v="0"/>
  </r>
  <r>
    <x v="2"/>
    <s v="Cari"/>
    <s v="ÖZBORA CHM DÜZELTME VİRMANI"/>
    <n v="2537"/>
    <n v="0"/>
  </r>
  <r>
    <x v="1"/>
    <s v="Banka"/>
    <s v="OTOMATIK Plaka no: 34FDF874 , 1117437630"/>
    <n v="52.5"/>
    <n v="0"/>
  </r>
  <r>
    <x v="0"/>
    <s v="Fatura"/>
    <s v="YFB2024050101685 TURKNET İLETİŞİM HİZMET"/>
    <n v="80.33"/>
    <n v="0"/>
  </r>
  <r>
    <x v="2"/>
    <s v="Fatura"/>
    <s v="ALİKAAN20240201 ALİ KAAN ESMER / İŞ AVAN"/>
    <n v="1386.2"/>
    <n v="0"/>
  </r>
  <r>
    <x v="2"/>
    <s v="Fatura"/>
    <s v="ALİKAAN20240209 ALİ KAAN ESMER / İŞ AVAN"/>
    <n v="1100"/>
    <n v="0"/>
  </r>
  <r>
    <x v="2"/>
    <s v="Fatura"/>
    <s v="ALİKAAN20240209 ALİ KAAN ESMER / İŞ AVAN"/>
    <n v="714"/>
    <n v="0"/>
  </r>
  <r>
    <x v="2"/>
    <s v="Fatura"/>
    <s v="ALİKAAN20240209 ALİ KAAN ESMER / İŞ AVAN"/>
    <n v="1856.4"/>
    <n v="0"/>
  </r>
  <r>
    <x v="2"/>
    <s v="Fatura"/>
    <s v="ALİKAAN20240209 ALİ KAAN ESMER / İŞ AVAN"/>
    <n v="455.94"/>
    <n v="0"/>
  </r>
  <r>
    <x v="2"/>
    <s v="Fatura"/>
    <s v="ALİKAAN20240209 ALİ KAAN ESMER / İŞ AVAN"/>
    <n v="446.08"/>
    <n v="0"/>
  </r>
  <r>
    <x v="2"/>
    <s v="Fatura"/>
    <s v="ALİKAAN20240209 ALİ KAAN ESMER / İŞ AVAN"/>
    <n v="184.96"/>
    <n v="0"/>
  </r>
  <r>
    <x v="2"/>
    <s v="Fatura"/>
    <s v="ALİKAAN20240209 ALİ KAAN ESMER / İŞ AVAN"/>
    <n v="440.3"/>
    <n v="0"/>
  </r>
  <r>
    <x v="2"/>
    <s v="Fatura"/>
    <s v="ALİKAAN20240209 ALİ KAAN ESMER / İŞ AVAN"/>
    <n v="168.3"/>
    <n v="0"/>
  </r>
  <r>
    <x v="2"/>
    <s v="Fatura"/>
    <s v="ALİKAAN20240209 ALİ KAAN ESMER / İŞ AVAN"/>
    <n v="773.52"/>
    <n v="0"/>
  </r>
  <r>
    <x v="2"/>
    <s v="Fatura"/>
    <s v="ALİKAAN20240209 ALİ KAAN ESMER / İŞ AVAN"/>
    <n v="1712"/>
    <n v="0"/>
  </r>
  <r>
    <x v="2"/>
    <s v="Fatura"/>
    <s v="ALİKAAN20240209 ALİ KAAN ESMER / İŞ AVAN"/>
    <n v="150"/>
    <n v="0"/>
  </r>
  <r>
    <x v="2"/>
    <s v="Fatura"/>
    <s v="FAİKÖNERMASRAF2023 FAİK ÖNER / İŞ AVANSI"/>
    <n v="1460"/>
    <n v="0"/>
  </r>
  <r>
    <x v="2"/>
    <s v="Fatura"/>
    <s v="FAİKÖNERMASRAFMİLANO FAİK ÖNER / İŞ AVAN"/>
    <n v="27670"/>
    <n v="0"/>
  </r>
  <r>
    <x v="1"/>
    <s v="Banka"/>
    <s v="OTOMATIK Plaka no: 34GS0987 , 1113247685"/>
    <n v="24"/>
    <n v="0"/>
  </r>
  <r>
    <x v="1"/>
    <s v="Banka"/>
    <s v="OTOMATIK Plaka no: 34GS0987 , 1113247685"/>
    <n v="52.5"/>
    <n v="0"/>
  </r>
  <r>
    <x v="1"/>
    <s v="Banka"/>
    <s v="OTOMATIK Plaka no: 34GS0987 , 1113247685"/>
    <n v="52.5"/>
    <n v="0"/>
  </r>
  <r>
    <x v="1"/>
    <s v="Banka"/>
    <s v="OTOMATIK Plaka no: 34FDF874 , 1117437630"/>
    <n v="52.5"/>
    <n v="0"/>
  </r>
  <r>
    <x v="1"/>
    <s v="Fatura"/>
    <s v="EAE2024000015786 BATI KURUMSAL TEDARİK Ç"/>
    <n v="5807.73"/>
    <n v="0"/>
  </r>
  <r>
    <x v="1"/>
    <s v="Banka"/>
    <s v="OTOMATIK Plaka no: 34FDF874 , 1117437630"/>
    <n v="52.5"/>
    <n v="0"/>
  </r>
  <r>
    <x v="1"/>
    <s v="Banka"/>
    <s v="OTOMATIK Plaka no: 34FDF874 , 1117437630"/>
    <n v="52.5"/>
    <n v="0"/>
  </r>
  <r>
    <x v="1"/>
    <s v="Banka"/>
    <s v="OTOMATIK Plaka no: 34GS0987 , 1113247685"/>
    <n v="42"/>
    <n v="0"/>
  </r>
  <r>
    <x v="1"/>
    <s v="Banka"/>
    <s v="OTOMATIK Plaka no: 34CZE831 , 1117318885"/>
    <n v="52.5"/>
    <n v="0"/>
  </r>
  <r>
    <x v="1"/>
    <s v="Banka"/>
    <s v="OTOMATIK Plaka no: 34FDF874 , 1117437630"/>
    <n v="52.5"/>
    <n v="0"/>
  </r>
  <r>
    <x v="1"/>
    <s v="Banka"/>
    <s v="OTOMATIK Plaka no: 34GS0987 , 1113247685"/>
    <n v="52.5"/>
    <n v="0"/>
  </r>
  <r>
    <x v="1"/>
    <s v="Banka"/>
    <s v="OTOMATIK Plaka no: 34FDF874 , 1117437630"/>
    <n v="52.5"/>
    <n v="0"/>
  </r>
  <r>
    <x v="1"/>
    <s v="Banka"/>
    <s v="OTOMATIK Plaka no: 34GHZ549 1113247684"/>
    <n v="52.5"/>
    <n v="0"/>
  </r>
  <r>
    <x v="1"/>
    <s v="Banka"/>
    <s v="OTOMATIK Plaka no: 34GS0987 , 1113247685"/>
    <n v="119.7"/>
    <n v="0"/>
  </r>
  <r>
    <x v="1"/>
    <s v="Banka"/>
    <s v="OTOMATIK Plaka no: 34GS0987 , 1113247685"/>
    <n v="37.5"/>
    <n v="0"/>
  </r>
  <r>
    <x v="1"/>
    <s v="Banka"/>
    <s v="OTOMATIK Plaka no: 34GS0987 , 1113247685"/>
    <n v="138"/>
    <n v="0"/>
  </r>
  <r>
    <x v="1"/>
    <s v="Banka"/>
    <s v="OTOMATIK Plaka no: 34GS0987 , 1113247685"/>
    <n v="52.5"/>
    <n v="0"/>
  </r>
  <r>
    <x v="1"/>
    <s v="Banka"/>
    <s v="OTOMATIK Plaka no: 34EME494 , 1117318887"/>
    <n v="52.5"/>
    <n v="0"/>
  </r>
  <r>
    <x v="1"/>
    <s v="Banka"/>
    <s v="OTOMATIK Plaka no: 34FDF874 , 1117437630"/>
    <n v="52.5"/>
    <n v="0"/>
  </r>
  <r>
    <x v="1"/>
    <s v="Banka"/>
    <s v="OTOMATIK Plaka no: 34GS0987 , 1113247685"/>
    <n v="52.5"/>
    <n v="0"/>
  </r>
  <r>
    <x v="1"/>
    <s v="Banka"/>
    <s v="OTOMATIK Plaka no: 34GS0987 , 1113247685"/>
    <n v="52.5"/>
    <n v="0"/>
  </r>
  <r>
    <x v="1"/>
    <s v="Banka"/>
    <s v="OTOMATIK Plaka no: 34GS0987 , 1113247685"/>
    <n v="157.19999999999999"/>
    <n v="0"/>
  </r>
  <r>
    <x v="1"/>
    <s v="Fatura"/>
    <s v="EAE2024000019614 BATI KURUMSAL TEDARİK Ç"/>
    <n v="6866.21"/>
    <n v="0"/>
  </r>
  <r>
    <x v="1"/>
    <s v="Banka"/>
    <s v="OTOMATIK Plaka no: 34FDF874 , 1117437630"/>
    <n v="52.5"/>
    <n v="0"/>
  </r>
  <r>
    <x v="1"/>
    <s v="Banka"/>
    <s v="OTOMATIK Plaka no: 34GS0987 , 1113247685"/>
    <n v="138"/>
    <n v="0"/>
  </r>
  <r>
    <x v="2"/>
    <s v="Fatura"/>
    <s v="20240508 FATİH BALTA / İŞ AVANSI"/>
    <n v="100"/>
    <n v="0"/>
  </r>
  <r>
    <x v="1"/>
    <s v="Banka"/>
    <s v="OTOMATIK Plaka no: 34FMA593 , 1117685178"/>
    <n v="60"/>
    <n v="0"/>
  </r>
  <r>
    <x v="1"/>
    <s v="Banka"/>
    <s v="OTOMATIK Plaka no: 34EME494 , 1117318887"/>
    <n v="52.5"/>
    <n v="0"/>
  </r>
  <r>
    <x v="1"/>
    <s v="Banka"/>
    <s v="OTOMATIK Plaka no: 34GS0987 , 1113247685"/>
    <n v="33.6"/>
    <n v="0"/>
  </r>
  <r>
    <x v="1"/>
    <s v="Banka"/>
    <s v="OTOMATIK Plaka no: 34GS0987 , 1113247685"/>
    <n v="52.5"/>
    <n v="0"/>
  </r>
  <r>
    <x v="1"/>
    <s v="Banka"/>
    <s v="OTOMATIK Plaka no: 34GS0987 , 1113247685"/>
    <n v="119.7"/>
    <n v="0"/>
  </r>
  <r>
    <x v="1"/>
    <s v="Banka"/>
    <s v="OTOMATIK Plaka no: 34GS0987 , 1113247685"/>
    <n v="52.5"/>
    <n v="0"/>
  </r>
  <r>
    <x v="1"/>
    <s v="Banka"/>
    <s v="OTOMATIK Plaka no: 34GS0987 , 1113247685"/>
    <n v="157.19999999999999"/>
    <n v="0"/>
  </r>
  <r>
    <x v="1"/>
    <s v="Banka"/>
    <s v="OTOMATIK Plaka no: 34FDF874 , 1117437630"/>
    <n v="52.5"/>
    <n v="0"/>
  </r>
  <r>
    <x v="1"/>
    <s v="Banka"/>
    <s v="OTOMATIK Plaka no: 34GS0987 , 1113247685"/>
    <n v="138"/>
    <n v="0"/>
  </r>
  <r>
    <x v="1"/>
    <s v="Banka"/>
    <s v="OTOMATIK Plaka no: 34GS0987 , 1113247685"/>
    <n v="123"/>
    <n v="0"/>
  </r>
  <r>
    <x v="1"/>
    <s v="Banka"/>
    <s v="OTOMATIK Plaka no: 34GS0987 , 1113247685"/>
    <n v="52.5"/>
    <n v="0"/>
  </r>
  <r>
    <x v="1"/>
    <s v="Banka"/>
    <s v="OTOMATIK Plaka no: 34GS0987 , 1113247685"/>
    <n v="52.5"/>
    <n v="0"/>
  </r>
  <r>
    <x v="1"/>
    <s v="Fatura"/>
    <s v="EAE2024000023413 BATI KURUMSAL TEDARİK Ç"/>
    <n v="8420.9599999999991"/>
    <n v="0"/>
  </r>
  <r>
    <x v="0"/>
    <s v="Fatura"/>
    <s v="GB32024004349266 TT MOBİL İLETİŞİM HİZME"/>
    <n v="499.59"/>
    <n v="0"/>
  </r>
  <r>
    <x v="2"/>
    <s v="Cari"/>
    <s v="GÖRKEM İPEK UÇAK VİRMANI"/>
    <n v="3199"/>
    <n v="0"/>
  </r>
  <r>
    <x v="2"/>
    <s v="Fatura"/>
    <s v="WKB2024000000013 WIKA INSTRUMENTS Endüst"/>
    <n v="1527.33"/>
    <n v="0"/>
  </r>
  <r>
    <x v="1"/>
    <s v="Fatura"/>
    <s v="GIB2024000000107 SEYİT MEHMET ASLAN-ÖZLE"/>
    <n v="2290.21"/>
    <n v="0"/>
  </r>
  <r>
    <x v="1"/>
    <s v="Banka"/>
    <s v="OTOMATIK Plaka no: 34CZE831 , 1117318885"/>
    <n v="52.5"/>
    <n v="0"/>
  </r>
  <r>
    <x v="1"/>
    <s v="Banka"/>
    <s v="OTOMATIK Plaka no: 34GHZ549 1113247684"/>
    <n v="52.5"/>
    <n v="0"/>
  </r>
  <r>
    <x v="0"/>
    <s v="Fatura"/>
    <s v="YGB2024060102921 TURKNET İLETİŞİM HİZMET"/>
    <n v="80.33"/>
    <n v="0"/>
  </r>
  <r>
    <x v="1"/>
    <s v="Fatura"/>
    <s v="GIB2024000000115 SEYİT MEHMET ASLAN-ÖZLE"/>
    <n v="1848"/>
    <n v="0"/>
  </r>
  <r>
    <x v="1"/>
    <s v="Banka"/>
    <s v="OTOMATIK Plaka no: 34GS0987 , 1113247685"/>
    <n v="52.5"/>
    <n v="0"/>
  </r>
  <r>
    <x v="1"/>
    <s v="Banka"/>
    <s v="OTOMATIK Plaka no: 34FDF874 , 1117437630"/>
    <n v="119.7"/>
    <n v="0"/>
  </r>
  <r>
    <x v="1"/>
    <s v="Banka"/>
    <s v="OTOMATIK Plaka no: 34FDF874 , 1117437630"/>
    <n v="52.5"/>
    <n v="0"/>
  </r>
  <r>
    <x v="1"/>
    <s v="Banka"/>
    <s v="OTOMATIK Plaka no: 34GS0987 , 1113247685"/>
    <n v="52.5"/>
    <n v="0"/>
  </r>
  <r>
    <x v="1"/>
    <s v="Banka"/>
    <s v="OTOMATIK Plaka no: 34FDF874 , 1117437630"/>
    <n v="52.5"/>
    <n v="0"/>
  </r>
  <r>
    <x v="1"/>
    <s v="Banka"/>
    <s v="OTOMATIK Plaka no: 34GHZ549 1113247684"/>
    <n v="52.5"/>
    <n v="0"/>
  </r>
  <r>
    <x v="1"/>
    <s v="Banka"/>
    <s v="OTOMATIK Plaka no: 34GS0987 , 1113247685"/>
    <n v="52.5"/>
    <n v="0"/>
  </r>
  <r>
    <x v="1"/>
    <s v="Banka"/>
    <s v="OTOMATIK Plaka no: 34GS0987 , 1113247685"/>
    <n v="52.5"/>
    <n v="0"/>
  </r>
  <r>
    <x v="2"/>
    <s v="Fatura"/>
    <s v="KRK2024000000301 KRK ELK. İNŞ. TUR. SAN."/>
    <n v="0.01"/>
    <n v="0"/>
  </r>
  <r>
    <x v="1"/>
    <s v="Banka"/>
    <s v="OTOMATIK Plaka no: 34FDF874 , 1117437630"/>
    <n v="157.19999999999999"/>
    <n v="0"/>
  </r>
  <r>
    <x v="1"/>
    <s v="Fatura"/>
    <s v="EAE2024000027163 BATI KURUMSAL TEDARİK Ç"/>
    <n v="6247.85"/>
    <n v="0"/>
  </r>
  <r>
    <x v="1"/>
    <s v="Banka"/>
    <s v="OTOMATIK Plaka no: 06FY0987 , 1117479052"/>
    <n v="52.5"/>
    <n v="0"/>
  </r>
  <r>
    <x v="1"/>
    <s v="Banka"/>
    <s v="OTOMATIK Plaka no: 06FY0987 , 1117479052"/>
    <n v="40.5"/>
    <n v="0"/>
  </r>
  <r>
    <x v="1"/>
    <s v="Banka"/>
    <s v="OTOMATIK Plaka no: 34EME494 , 1117318887"/>
    <n v="119.7"/>
    <n v="0"/>
  </r>
  <r>
    <x v="1"/>
    <s v="Banka"/>
    <s v="OTOMATIK Plaka no: 34EME494 , 1117318887"/>
    <n v="59.5"/>
    <n v="0"/>
  </r>
  <r>
    <x v="1"/>
    <s v="Banka"/>
    <s v="OTOMATIK Plaka no: 34EME494 , 1117318887"/>
    <n v="88.5"/>
    <n v="0"/>
  </r>
  <r>
    <x v="1"/>
    <s v="Banka"/>
    <s v="OTOMATIK Plaka no: 34EME494 , 1117318887"/>
    <n v="49.5"/>
    <n v="0"/>
  </r>
  <r>
    <x v="1"/>
    <s v="Banka"/>
    <s v="OTOMATIK Plaka no: 06FY0987 , 1117479052"/>
    <n v="52.5"/>
    <n v="0"/>
  </r>
  <r>
    <x v="2"/>
    <s v="Banka"/>
    <s v="FAİK BEY TRAFİK CEZA"/>
    <n v="1129.5"/>
    <n v="0"/>
  </r>
  <r>
    <x v="1"/>
    <s v="Banka"/>
    <s v="OTOMATIK Plaka no: 06FY0987 , 1117479052"/>
    <n v="52.5"/>
    <n v="0"/>
  </r>
  <r>
    <x v="1"/>
    <s v="Banka"/>
    <s v="OTOMATIK Plaka no: 06FY0987 , 1117479052"/>
    <n v="52.5"/>
    <n v="0"/>
  </r>
  <r>
    <x v="1"/>
    <s v="Banka"/>
    <s v="OTOMATIK Plaka no: 06FY0987 , 1117479052"/>
    <n v="52.5"/>
    <n v="0"/>
  </r>
  <r>
    <x v="1"/>
    <s v="Banka"/>
    <s v="OTOMATIK Plaka no: 34CZE831 , 1117318885"/>
    <n v="52.5"/>
    <n v="0"/>
  </r>
  <r>
    <x v="1"/>
    <s v="Banka"/>
    <s v="OTOMATIK Plaka no: 34FDF874 , 1117437630"/>
    <n v="52.5"/>
    <n v="0"/>
  </r>
  <r>
    <x v="1"/>
    <s v="Banka"/>
    <s v="OTOMATIK Plaka no: 06FY0987 , 1117479052"/>
    <n v="52.5"/>
    <n v="0"/>
  </r>
  <r>
    <x v="1"/>
    <s v="Banka"/>
    <s v="OTOMATIK Plaka no: 34FDF874 , 1117437630"/>
    <n v="52.5"/>
    <n v="0"/>
  </r>
  <r>
    <x v="1"/>
    <s v="Banka"/>
    <s v="OTOMATIK Plaka no: 34EME494 , 1117318887"/>
    <n v="138"/>
    <n v="0"/>
  </r>
  <r>
    <x v="1"/>
    <s v="Banka"/>
    <s v="OTOMATIK Plaka no: 34EME494 , 1117318887"/>
    <n v="157.19999999999999"/>
    <n v="0"/>
  </r>
  <r>
    <x v="1"/>
    <s v="Banka"/>
    <s v="OTOMATIK Plaka no: 34EME494 , 1117318887"/>
    <n v="119.7"/>
    <n v="0"/>
  </r>
  <r>
    <x v="1"/>
    <s v="Banka"/>
    <s v="OTOMATIK Plaka no: 34EME494 , 1117318887"/>
    <n v="125.7"/>
    <n v="0"/>
  </r>
  <r>
    <x v="1"/>
    <s v="Banka"/>
    <s v="OTOMATIK Plaka no: 34FDF874 , 1117437630"/>
    <n v="2"/>
    <n v="0"/>
  </r>
  <r>
    <x v="1"/>
    <s v="Banka"/>
    <s v="OTOMATIK Plaka no: 34FDF874 , 1117437630"/>
    <n v="52.5"/>
    <n v="0"/>
  </r>
  <r>
    <x v="1"/>
    <s v="Fatura"/>
    <s v="EAE2024000030886 BATI KURUMSAL TEDARİK Ç"/>
    <n v="5843.23"/>
    <n v="0"/>
  </r>
  <r>
    <x v="1"/>
    <s v="Banka"/>
    <s v="OTOMATIK Plaka no: 34EME494 , 1117318887"/>
    <n v="119.7"/>
    <n v="0"/>
  </r>
  <r>
    <x v="1"/>
    <s v="Banka"/>
    <s v="OTOMATIK Plaka no: 34EME494 , 1117318887"/>
    <n v="125.7"/>
    <n v="0"/>
  </r>
  <r>
    <x v="1"/>
    <s v="Banka"/>
    <s v="OTOMATIK Plaka no: 34GS0987 , 1113247685"/>
    <n v="33.6"/>
    <n v="0"/>
  </r>
  <r>
    <x v="1"/>
    <s v="Banka"/>
    <s v="OTOMATIK Plaka no: 34GS0987 , 1113247685"/>
    <n v="52.5"/>
    <n v="0"/>
  </r>
  <r>
    <x v="1"/>
    <s v="Banka"/>
    <s v="OTOMATIK Plaka no: 34EME494 , 1117318887"/>
    <n v="1500"/>
    <n v="0"/>
  </r>
  <r>
    <x v="1"/>
    <s v="Banka"/>
    <s v="OTOMATIK Plaka no: 34GS0987 , 1113247685"/>
    <n v="2.5"/>
    <n v="0"/>
  </r>
  <r>
    <x v="1"/>
    <s v="Banka"/>
    <s v="OTOMATIK Plaka no: 34GS0987 , 1113247685"/>
    <n v="2.5"/>
    <n v="0"/>
  </r>
  <r>
    <x v="1"/>
    <s v="Banka"/>
    <s v="OTOMATIK Plaka no: 34GS0987 , 1113247685"/>
    <n v="4.5"/>
    <n v="0"/>
  </r>
  <r>
    <x v="1"/>
    <s v="Banka"/>
    <s v="OTOMATIK Plaka no: 34GS0987 , 1113247685"/>
    <n v="6"/>
    <n v="0"/>
  </r>
  <r>
    <x v="1"/>
    <s v="Banka"/>
    <s v="OTOMATIK Plaka no: 34GS0987 , 1113247685"/>
    <n v="52.5"/>
    <n v="0"/>
  </r>
  <r>
    <x v="2"/>
    <s v="Fatura"/>
    <s v="RTS2024000000065 KREDİ KARTI SATICILARI"/>
    <n v="1650"/>
    <n v="0"/>
  </r>
  <r>
    <x v="1"/>
    <s v="Fatura"/>
    <s v="GIB2024000000139 SEYİT MEHMET ASLAN-ÖZLE"/>
    <n v="2745.6"/>
    <n v="0"/>
  </r>
  <r>
    <x v="1"/>
    <s v="Banka"/>
    <s v="OTOMATIK Plaka no: 34GS0987 , 1113247685"/>
    <n v="52.5"/>
    <n v="0"/>
  </r>
  <r>
    <x v="1"/>
    <s v="Banka"/>
    <s v="OTOMATIK Plaka no: 34CZE831 , 1117318885"/>
    <n v="52.5"/>
    <n v="0"/>
  </r>
  <r>
    <x v="1"/>
    <s v="Banka"/>
    <s v="OTOMATIK Plaka no: 34FDF874 , 1117437630"/>
    <n v="52.5"/>
    <n v="0"/>
  </r>
  <r>
    <x v="1"/>
    <s v="Banka"/>
    <s v="OTOMATIK Plaka no: 34FDF874 , 1117437630"/>
    <n v="52.5"/>
    <n v="0"/>
  </r>
  <r>
    <x v="1"/>
    <s v="Fatura"/>
    <s v="EAE2024000034617 BATI KURUMSAL TEDARİK Ç"/>
    <n v="4702.03"/>
    <n v="0"/>
  </r>
  <r>
    <x v="1"/>
    <s v="Banka"/>
    <s v="OTOMATIK Plaka no: 06FY0987 , 1117479052"/>
    <n v="119.7"/>
    <n v="0"/>
  </r>
  <r>
    <x v="1"/>
    <s v="Banka"/>
    <s v="OTOMATIK Plaka no: 34EME494 , 1117318887"/>
    <n v="1500"/>
    <n v="0"/>
  </r>
  <r>
    <x v="1"/>
    <s v="Banka"/>
    <s v="OTOMATIK Plaka no: 34FMA593 , 1117685178"/>
    <n v="60"/>
    <n v="0"/>
  </r>
  <r>
    <x v="0"/>
    <s v="Fatura"/>
    <s v="GB32024004443937 TT MOBİL İLETİŞİM HİZME"/>
    <n v="602.7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Özet Tablo 3" cacheId="2" applyNumberFormats="0" applyBorderFormats="0" applyFontFormats="0" applyPatternFormats="0" applyAlignmentFormats="0" applyWidthHeightFormats="1" dataCaption="Değerler" updatedVersion="3" minRefreshableVersion="3" showCalcMbrs="0" useAutoFormatting="1" itemPrintTitles="1" createdVersion="3" indent="0" outline="1" outlineData="1" multipleFieldFilters="0">
  <location ref="D350:F356" firstHeaderRow="1" firstDataRow="2" firstDataCol="1"/>
  <pivotFields count="5">
    <pivotField axis="axisRow" showAll="0">
      <items count="5">
        <item x="1"/>
        <item x="2"/>
        <item x="3"/>
        <item x="0"/>
        <item t="default"/>
      </items>
    </pivotField>
    <pivotField showAll="0"/>
    <pivotField showAll="0"/>
    <pivotField dataField="1" showAll="0"/>
    <pivotField dataField="1" showAll="0"/>
  </pivotFields>
  <rowFields count="1">
    <field x="0"/>
  </rowFields>
  <rowItems count="5">
    <i>
      <x/>
    </i>
    <i>
      <x v="1"/>
    </i>
    <i>
      <x v="2"/>
    </i>
    <i>
      <x v="3"/>
    </i>
    <i t="grand">
      <x/>
    </i>
  </rowItems>
  <colFields count="1">
    <field x="-2"/>
  </colFields>
  <colItems count="2">
    <i>
      <x/>
    </i>
    <i i="1">
      <x v="1"/>
    </i>
  </colItems>
  <dataFields count="2">
    <dataField name="Toplam Borç Tutarı" fld="3" baseField="0" baseItem="0"/>
    <dataField name="Toplam Alacak Tutarı" fld="4" baseField="0"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sheetPr>
    <tabColor theme="3"/>
  </sheetPr>
  <dimension ref="A2:G145"/>
  <sheetViews>
    <sheetView workbookViewId="0">
      <selection activeCell="F142" sqref="F142"/>
    </sheetView>
  </sheetViews>
  <sheetFormatPr defaultColWidth="9.21875" defaultRowHeight="10.199999999999999"/>
  <cols>
    <col min="1" max="1" width="4.21875" style="12" bestFit="1" customWidth="1"/>
    <col min="2" max="2" width="44.6640625" style="12" bestFit="1" customWidth="1"/>
    <col min="3" max="3" width="14.44140625" style="87" customWidth="1"/>
    <col min="4" max="4" width="4.21875" style="12" bestFit="1" customWidth="1"/>
    <col min="5" max="5" width="53" style="12" bestFit="1" customWidth="1"/>
    <col min="6" max="6" width="14.44140625" style="101" customWidth="1"/>
    <col min="7" max="16384" width="9.21875" style="9"/>
  </cols>
  <sheetData>
    <row r="2" spans="1:6">
      <c r="A2" s="124" t="s">
        <v>1660</v>
      </c>
      <c r="B2" s="124"/>
      <c r="C2" s="124"/>
      <c r="D2" s="124"/>
      <c r="E2" s="124"/>
      <c r="F2" s="124"/>
    </row>
    <row r="3" spans="1:6">
      <c r="A3" s="124" t="s">
        <v>855</v>
      </c>
      <c r="B3" s="124"/>
      <c r="C3" s="124"/>
      <c r="D3" s="124"/>
      <c r="E3" s="124"/>
      <c r="F3" s="124"/>
    </row>
    <row r="5" spans="1:6">
      <c r="A5" s="2"/>
      <c r="B5" s="72"/>
      <c r="C5" s="78" t="s">
        <v>8</v>
      </c>
      <c r="D5" s="2"/>
      <c r="E5" s="72"/>
      <c r="F5" s="78" t="s">
        <v>8</v>
      </c>
    </row>
    <row r="6" spans="1:6">
      <c r="A6" s="3" t="s">
        <v>52</v>
      </c>
      <c r="B6" s="73" t="s">
        <v>891</v>
      </c>
      <c r="C6" s="79">
        <f>+C7+C13+C19+C28+C37+C45+C49+C52</f>
        <v>31888963.850000005</v>
      </c>
      <c r="D6" s="3" t="s">
        <v>276</v>
      </c>
      <c r="E6" s="73" t="s">
        <v>981</v>
      </c>
      <c r="F6" s="89">
        <f>SUM(F7+F17+F23+F30+F33+F36+F41+F47+F50)</f>
        <v>29002518.599999998</v>
      </c>
    </row>
    <row r="7" spans="1:6">
      <c r="A7" s="3" t="s">
        <v>53</v>
      </c>
      <c r="B7" s="71" t="s">
        <v>892</v>
      </c>
      <c r="C7" s="80">
        <f>SUM(C8:C12)</f>
        <v>4257507.04</v>
      </c>
      <c r="D7" s="3" t="s">
        <v>401</v>
      </c>
      <c r="E7" s="71" t="s">
        <v>982</v>
      </c>
      <c r="F7" s="90">
        <f>SUM(F8:F16)</f>
        <v>0</v>
      </c>
    </row>
    <row r="8" spans="1:6">
      <c r="A8" s="4" t="s">
        <v>42</v>
      </c>
      <c r="B8" s="8" t="s">
        <v>897</v>
      </c>
      <c r="C8" s="81">
        <f>VLOOKUP(A8,CARİDÖNEM!A:F,6,FALSE)-VLOOKUP(A8,CARİDÖNEM!A:G,7,FALSE)</f>
        <v>0</v>
      </c>
      <c r="D8" s="4" t="s">
        <v>277</v>
      </c>
      <c r="E8" s="75" t="s">
        <v>1355</v>
      </c>
      <c r="F8" s="91">
        <f>VLOOKUP(D8,CARİDÖNEM!A:G,7,FALSE)-VLOOKUP(D8,CARİDÖNEM!A:F,6,FALSE)</f>
        <v>0</v>
      </c>
    </row>
    <row r="9" spans="1:6">
      <c r="A9" s="4" t="s">
        <v>43</v>
      </c>
      <c r="B9" s="8" t="s">
        <v>893</v>
      </c>
      <c r="C9" s="81">
        <f>VLOOKUP(A9,CARİDÖNEM!A:F,6,FALSE)-VLOOKUP(A9,CARİDÖNEM!A:G,7,FALSE)</f>
        <v>3253028</v>
      </c>
      <c r="D9" s="4" t="s">
        <v>278</v>
      </c>
      <c r="E9" s="75" t="s">
        <v>1356</v>
      </c>
      <c r="F9" s="91">
        <f>VLOOKUP(D9,CARİDÖNEM!A:G,7,FALSE)-VLOOKUP(D9,CARİDÖNEM!A:F,6,FALSE)</f>
        <v>0</v>
      </c>
    </row>
    <row r="10" spans="1:6">
      <c r="A10" s="4" t="s">
        <v>44</v>
      </c>
      <c r="B10" s="8" t="s">
        <v>894</v>
      </c>
      <c r="C10" s="81">
        <f>VLOOKUP(A10,CARİDÖNEM!A:F,6,FALSE)-VLOOKUP(A10,CARİDÖNEM!A:G,7,FALSE)</f>
        <v>1004479.04</v>
      </c>
      <c r="D10" s="4" t="s">
        <v>279</v>
      </c>
      <c r="E10" s="75" t="s">
        <v>1357</v>
      </c>
      <c r="F10" s="91">
        <f>VLOOKUP(D10,CARİDÖNEM!A:G,7,FALSE)-VLOOKUP(D10,CARİDÖNEM!A:F,6,FALSE)</f>
        <v>0</v>
      </c>
    </row>
    <row r="11" spans="1:6">
      <c r="A11" s="4" t="s">
        <v>45</v>
      </c>
      <c r="B11" s="8" t="s">
        <v>898</v>
      </c>
      <c r="C11" s="81">
        <f>VLOOKUP(A11,CARİDÖNEM!A:F,6,FALSE)-VLOOKUP(A11,CARİDÖNEM!A:G,7,FALSE)</f>
        <v>0</v>
      </c>
      <c r="D11" s="4" t="s">
        <v>280</v>
      </c>
      <c r="E11" s="75" t="s">
        <v>1354</v>
      </c>
      <c r="F11" s="91">
        <f>VLOOKUP(D11,CARİDÖNEM!A:G,7,FALSE)-VLOOKUP(D11,CARİDÖNEM!A:F,6,FALSE)</f>
        <v>0</v>
      </c>
    </row>
    <row r="12" spans="1:6">
      <c r="A12" s="4" t="s">
        <v>46</v>
      </c>
      <c r="B12" s="8" t="s">
        <v>899</v>
      </c>
      <c r="C12" s="81">
        <f>VLOOKUP(A12,CARİDÖNEM!A:F,6,FALSE)-VLOOKUP(A12,CARİDÖNEM!A:G,7,FALSE)</f>
        <v>0</v>
      </c>
      <c r="D12" s="4" t="s">
        <v>281</v>
      </c>
      <c r="E12" s="75" t="s">
        <v>1358</v>
      </c>
      <c r="F12" s="91">
        <f>VLOOKUP(D12,CARİDÖNEM!A:G,7,FALSE)-VLOOKUP(D12,CARİDÖNEM!A:F,6,FALSE)</f>
        <v>0</v>
      </c>
    </row>
    <row r="13" spans="1:6">
      <c r="A13" s="3" t="s">
        <v>54</v>
      </c>
      <c r="B13" s="71" t="s">
        <v>895</v>
      </c>
      <c r="C13" s="82">
        <f>SUM(C14:C18)</f>
        <v>0</v>
      </c>
      <c r="D13" s="4" t="s">
        <v>282</v>
      </c>
      <c r="E13" s="75" t="s">
        <v>1359</v>
      </c>
      <c r="F13" s="91">
        <f>VLOOKUP(D13,CARİDÖNEM!A:G,7,FALSE)-VLOOKUP(D13,CARİDÖNEM!A:F,6,FALSE)</f>
        <v>0</v>
      </c>
    </row>
    <row r="14" spans="1:6">
      <c r="A14" s="4" t="s">
        <v>47</v>
      </c>
      <c r="B14" s="8" t="s">
        <v>896</v>
      </c>
      <c r="C14" s="81">
        <f>VLOOKUP(A14,CARİDÖNEM!A:F,6,FALSE)-VLOOKUP(A14,CARİDÖNEM!A:G,7,FALSE)</f>
        <v>0</v>
      </c>
      <c r="D14" s="4" t="s">
        <v>283</v>
      </c>
      <c r="E14" s="75" t="s">
        <v>1360</v>
      </c>
      <c r="F14" s="91">
        <f>VLOOKUP(D14,CARİDÖNEM!A:G,7,FALSE)-VLOOKUP(D14,CARİDÖNEM!A:F,6,FALSE)</f>
        <v>0</v>
      </c>
    </row>
    <row r="15" spans="1:6">
      <c r="A15" s="4" t="s">
        <v>48</v>
      </c>
      <c r="B15" s="8" t="s">
        <v>929</v>
      </c>
      <c r="C15" s="81">
        <f>VLOOKUP(A15,CARİDÖNEM!A:F,6,FALSE)-VLOOKUP(A15,CARİDÖNEM!A:G,7,FALSE)</f>
        <v>0</v>
      </c>
      <c r="D15" s="4" t="s">
        <v>284</v>
      </c>
      <c r="E15" s="75" t="s">
        <v>1361</v>
      </c>
      <c r="F15" s="91">
        <f>VLOOKUP(D15,CARİDÖNEM!A:G,7,FALSE)-VLOOKUP(D15,CARİDÖNEM!A:F,6,FALSE)</f>
        <v>0</v>
      </c>
    </row>
    <row r="16" spans="1:6">
      <c r="A16" s="4" t="s">
        <v>49</v>
      </c>
      <c r="B16" s="8" t="s">
        <v>930</v>
      </c>
      <c r="C16" s="81">
        <f>VLOOKUP(A16,CARİDÖNEM!A:F,6,FALSE)-VLOOKUP(A16,CARİDÖNEM!A:G,7,FALSE)</f>
        <v>0</v>
      </c>
      <c r="D16" s="4" t="s">
        <v>285</v>
      </c>
      <c r="E16" s="75" t="s">
        <v>1362</v>
      </c>
      <c r="F16" s="91">
        <f>VLOOKUP(D16,CARİDÖNEM!A:G,7,FALSE)-VLOOKUP(D16,CARİDÖNEM!A:F,6,FALSE)</f>
        <v>0</v>
      </c>
    </row>
    <row r="17" spans="1:6">
      <c r="A17" s="4" t="s">
        <v>50</v>
      </c>
      <c r="B17" s="8" t="s">
        <v>900</v>
      </c>
      <c r="C17" s="81">
        <f>VLOOKUP(A17,CARİDÖNEM!A:F,6,FALSE)-VLOOKUP(A17,CARİDÖNEM!A:G,7,FALSE)</f>
        <v>0</v>
      </c>
      <c r="D17" s="3" t="s">
        <v>402</v>
      </c>
      <c r="E17" s="71" t="s">
        <v>988</v>
      </c>
      <c r="F17" s="90">
        <f>SUM(F18:F22)</f>
        <v>16383030.33</v>
      </c>
    </row>
    <row r="18" spans="1:6">
      <c r="A18" s="4" t="s">
        <v>51</v>
      </c>
      <c r="B18" s="8" t="s">
        <v>901</v>
      </c>
      <c r="C18" s="81">
        <f>VLOOKUP(A18,CARİDÖNEM!A:F,6,FALSE)-VLOOKUP(A18,CARİDÖNEM!A:G,7,FALSE)</f>
        <v>0</v>
      </c>
      <c r="D18" s="4" t="s">
        <v>286</v>
      </c>
      <c r="E18" s="75" t="s">
        <v>983</v>
      </c>
      <c r="F18" s="91">
        <f>VLOOKUP(D18,CARİDÖNEM!A:G,7,FALSE)-VLOOKUP(D18,CARİDÖNEM!A:F,6,FALSE)</f>
        <v>16383030.33</v>
      </c>
    </row>
    <row r="19" spans="1:6">
      <c r="A19" s="3" t="s">
        <v>55</v>
      </c>
      <c r="B19" s="71" t="s">
        <v>902</v>
      </c>
      <c r="C19" s="82">
        <f>SUM(C20:C27)</f>
        <v>8406791.540000001</v>
      </c>
      <c r="D19" s="4" t="s">
        <v>287</v>
      </c>
      <c r="E19" s="75" t="s">
        <v>984</v>
      </c>
      <c r="F19" s="91">
        <f>VLOOKUP(D19,CARİDÖNEM!A:G,7,FALSE)-VLOOKUP(D19,CARİDÖNEM!A:F,6,FALSE)</f>
        <v>0</v>
      </c>
    </row>
    <row r="20" spans="1:6">
      <c r="A20" s="4" t="s">
        <v>56</v>
      </c>
      <c r="B20" s="8" t="s">
        <v>903</v>
      </c>
      <c r="C20" s="81">
        <f>VLOOKUP(A20,CARİDÖNEM!A:F,6,FALSE)-VLOOKUP(A20,CARİDÖNEM!A:G,7,FALSE)</f>
        <v>8370652.4400000004</v>
      </c>
      <c r="D20" s="4" t="s">
        <v>288</v>
      </c>
      <c r="E20" s="75" t="s">
        <v>985</v>
      </c>
      <c r="F20" s="91">
        <f>VLOOKUP(D20,CARİDÖNEM!A:G,7,FALSE)-VLOOKUP(D20,CARİDÖNEM!A:F,6,FALSE)</f>
        <v>0</v>
      </c>
    </row>
    <row r="21" spans="1:6">
      <c r="A21" s="4" t="s">
        <v>57</v>
      </c>
      <c r="B21" s="8" t="s">
        <v>904</v>
      </c>
      <c r="C21" s="81">
        <f>VLOOKUP(A21,CARİDÖNEM!A:F,6,FALSE)-VLOOKUP(A21,CARİDÖNEM!A:G,7,FALSE)</f>
        <v>0</v>
      </c>
      <c r="D21" s="4" t="s">
        <v>289</v>
      </c>
      <c r="E21" s="75" t="s">
        <v>986</v>
      </c>
      <c r="F21" s="91">
        <f>VLOOKUP(D21,CARİDÖNEM!A:G,7,FALSE)-VLOOKUP(D21,CARİDÖNEM!A:F,6,FALSE)</f>
        <v>0</v>
      </c>
    </row>
    <row r="22" spans="1:6">
      <c r="A22" s="4" t="s">
        <v>58</v>
      </c>
      <c r="B22" s="8" t="s">
        <v>905</v>
      </c>
      <c r="C22" s="81">
        <f>VLOOKUP(A22,CARİDÖNEM!A:F,6,FALSE)-VLOOKUP(A22,CARİDÖNEM!A:G,7,FALSE)</f>
        <v>0</v>
      </c>
      <c r="D22" s="4" t="s">
        <v>290</v>
      </c>
      <c r="E22" s="75" t="s">
        <v>987</v>
      </c>
      <c r="F22" s="91">
        <f>VLOOKUP(D22,CARİDÖNEM!A:G,7,FALSE)-VLOOKUP(D22,CARİDÖNEM!A:F,6,FALSE)</f>
        <v>0</v>
      </c>
    </row>
    <row r="23" spans="1:6">
      <c r="A23" s="4" t="s">
        <v>59</v>
      </c>
      <c r="B23" s="8" t="s">
        <v>906</v>
      </c>
      <c r="C23" s="81">
        <f>VLOOKUP(A23,CARİDÖNEM!A:F,6,FALSE)-VLOOKUP(A23,CARİDÖNEM!A:G,7,FALSE)</f>
        <v>0</v>
      </c>
      <c r="D23" s="3" t="s">
        <v>403</v>
      </c>
      <c r="E23" s="73" t="s">
        <v>989</v>
      </c>
      <c r="F23" s="90">
        <f>SUM(F24:F29)</f>
        <v>6210109.6799999997</v>
      </c>
    </row>
    <row r="24" spans="1:6">
      <c r="A24" s="4" t="s">
        <v>60</v>
      </c>
      <c r="B24" s="8" t="s">
        <v>907</v>
      </c>
      <c r="C24" s="81">
        <f>VLOOKUP(A24,CARİDÖNEM!A:F,6,FALSE)-VLOOKUP(A24,CARİDÖNEM!A:G,7,FALSE)</f>
        <v>36139.1</v>
      </c>
      <c r="D24" s="4" t="s">
        <v>291</v>
      </c>
      <c r="E24" s="75" t="s">
        <v>992</v>
      </c>
      <c r="F24" s="91">
        <f>VLOOKUP(D24,CARİDÖNEM!A:G,7,FALSE)-VLOOKUP(D24,CARİDÖNEM!A:F,6,FALSE)</f>
        <v>0</v>
      </c>
    </row>
    <row r="25" spans="1:6">
      <c r="A25" s="4" t="s">
        <v>61</v>
      </c>
      <c r="B25" s="8" t="s">
        <v>908</v>
      </c>
      <c r="C25" s="81">
        <f>VLOOKUP(A25,CARİDÖNEM!A:F,6,FALSE)-VLOOKUP(A25,CARİDÖNEM!A:G,7,FALSE)</f>
        <v>0</v>
      </c>
      <c r="D25" s="4" t="s">
        <v>292</v>
      </c>
      <c r="E25" s="75" t="s">
        <v>993</v>
      </c>
      <c r="F25" s="91">
        <f>VLOOKUP(D25,CARİDÖNEM!A:G,7,FALSE)-VLOOKUP(D25,CARİDÖNEM!A:F,6,FALSE)</f>
        <v>0</v>
      </c>
    </row>
    <row r="26" spans="1:6">
      <c r="A26" s="4" t="s">
        <v>62</v>
      </c>
      <c r="B26" s="8" t="s">
        <v>909</v>
      </c>
      <c r="C26" s="81">
        <f>VLOOKUP(A26,CARİDÖNEM!A:F,6,FALSE)-VLOOKUP(A26,CARİDÖNEM!A:G,7,FALSE)</f>
        <v>0</v>
      </c>
      <c r="D26" s="4" t="s">
        <v>293</v>
      </c>
      <c r="E26" s="75" t="s">
        <v>994</v>
      </c>
      <c r="F26" s="91">
        <f>VLOOKUP(D26,CARİDÖNEM!A:G,7,FALSE)-VLOOKUP(D26,CARİDÖNEM!A:F,6,FALSE)</f>
        <v>0</v>
      </c>
    </row>
    <row r="27" spans="1:6">
      <c r="A27" s="4" t="s">
        <v>63</v>
      </c>
      <c r="B27" s="8" t="s">
        <v>931</v>
      </c>
      <c r="C27" s="81">
        <f>VLOOKUP(A27,CARİDÖNEM!A:F,6,FALSE)-VLOOKUP(A27,CARİDÖNEM!A:G,7,FALSE)</f>
        <v>0</v>
      </c>
      <c r="D27" s="4" t="s">
        <v>294</v>
      </c>
      <c r="E27" s="75" t="s">
        <v>995</v>
      </c>
      <c r="F27" s="91">
        <f>VLOOKUP(D27,CARİDÖNEM!A:G,7,FALSE)-VLOOKUP(D27,CARİDÖNEM!A:F,6,FALSE)</f>
        <v>1210109.68</v>
      </c>
    </row>
    <row r="28" spans="1:6">
      <c r="A28" s="3" t="s">
        <v>64</v>
      </c>
      <c r="B28" s="71" t="s">
        <v>910</v>
      </c>
      <c r="C28" s="82">
        <f>SUM(C29:C36)</f>
        <v>12663.37</v>
      </c>
      <c r="D28" s="4" t="s">
        <v>295</v>
      </c>
      <c r="E28" s="75" t="s">
        <v>996</v>
      </c>
      <c r="F28" s="91">
        <f>VLOOKUP(D28,CARİDÖNEM!A:G,7,FALSE)-VLOOKUP(D28,CARİDÖNEM!A:F,6,FALSE)</f>
        <v>5000000</v>
      </c>
    </row>
    <row r="29" spans="1:6">
      <c r="A29" s="4" t="s">
        <v>65</v>
      </c>
      <c r="B29" s="8" t="s">
        <v>911</v>
      </c>
      <c r="C29" s="81">
        <f>VLOOKUP(A29,CARİDÖNEM!A:F,6,FALSE)-VLOOKUP(A29,CARİDÖNEM!A:G,7,FALSE)</f>
        <v>0</v>
      </c>
      <c r="D29" s="4" t="s">
        <v>296</v>
      </c>
      <c r="E29" s="75" t="s">
        <v>997</v>
      </c>
      <c r="F29" s="91">
        <f>VLOOKUP(D29,CARİDÖNEM!A:G,7,FALSE)-VLOOKUP(D29,CARİDÖNEM!A:F,6,FALSE)</f>
        <v>0</v>
      </c>
    </row>
    <row r="30" spans="1:6">
      <c r="A30" s="4" t="s">
        <v>66</v>
      </c>
      <c r="B30" s="8" t="s">
        <v>912</v>
      </c>
      <c r="C30" s="81">
        <f>VLOOKUP(A30,CARİDÖNEM!A:F,6,FALSE)-VLOOKUP(A30,CARİDÖNEM!A:G,7,FALSE)</f>
        <v>0</v>
      </c>
      <c r="D30" s="3" t="s">
        <v>404</v>
      </c>
      <c r="E30" s="71" t="s">
        <v>990</v>
      </c>
      <c r="F30" s="90">
        <f>SUM(F31:F32)</f>
        <v>3596343.45</v>
      </c>
    </row>
    <row r="31" spans="1:6">
      <c r="A31" s="4" t="s">
        <v>67</v>
      </c>
      <c r="B31" s="8" t="s">
        <v>913</v>
      </c>
      <c r="C31" s="81">
        <f>VLOOKUP(A31,CARİDÖNEM!A:F,6,FALSE)-VLOOKUP(A31,CARİDÖNEM!A:G,7,FALSE)</f>
        <v>0</v>
      </c>
      <c r="D31" s="4" t="s">
        <v>297</v>
      </c>
      <c r="E31" s="8" t="s">
        <v>998</v>
      </c>
      <c r="F31" s="91">
        <f>VLOOKUP(D31,CARİDÖNEM!A:G,7,FALSE)-VLOOKUP(D31,CARİDÖNEM!A:F,6,FALSE)</f>
        <v>3596343.45</v>
      </c>
    </row>
    <row r="32" spans="1:6">
      <c r="A32" s="4" t="s">
        <v>68</v>
      </c>
      <c r="B32" s="8" t="s">
        <v>914</v>
      </c>
      <c r="C32" s="81">
        <f>VLOOKUP(A32,CARİDÖNEM!A:F,6,FALSE)-VLOOKUP(A32,CARİDÖNEM!A:G,7,FALSE)</f>
        <v>0</v>
      </c>
      <c r="D32" s="4" t="s">
        <v>298</v>
      </c>
      <c r="E32" s="8" t="s">
        <v>999</v>
      </c>
      <c r="F32" s="91">
        <f>VLOOKUP(D32,CARİDÖNEM!A:G,7,FALSE)-VLOOKUP(D32,CARİDÖNEM!A:F,6,FALSE)</f>
        <v>0</v>
      </c>
    </row>
    <row r="33" spans="1:6">
      <c r="A33" s="4" t="s">
        <v>69</v>
      </c>
      <c r="B33" s="8" t="s">
        <v>915</v>
      </c>
      <c r="C33" s="81">
        <f>VLOOKUP(A33,CARİDÖNEM!A:F,6,FALSE)-VLOOKUP(A33,CARİDÖNEM!A:G,7,FALSE)</f>
        <v>12663.37</v>
      </c>
      <c r="D33" s="3" t="s">
        <v>405</v>
      </c>
      <c r="E33" s="71" t="s">
        <v>991</v>
      </c>
      <c r="F33" s="90">
        <f>SUM(F34:F35)</f>
        <v>0</v>
      </c>
    </row>
    <row r="34" spans="1:6">
      <c r="A34" s="4" t="s">
        <v>70</v>
      </c>
      <c r="B34" s="8" t="s">
        <v>932</v>
      </c>
      <c r="C34" s="81">
        <f>VLOOKUP(A34,CARİDÖNEM!A:F,6,FALSE)-VLOOKUP(A34,CARİDÖNEM!A:G,7,FALSE)</f>
        <v>0</v>
      </c>
      <c r="D34" s="4" t="s">
        <v>299</v>
      </c>
      <c r="E34" s="8" t="s">
        <v>1000</v>
      </c>
      <c r="F34" s="91">
        <f>VLOOKUP(D34,CARİDÖNEM!A:G,7,FALSE)-VLOOKUP(D34,CARİDÖNEM!A:F,6,FALSE)</f>
        <v>0</v>
      </c>
    </row>
    <row r="35" spans="1:6">
      <c r="A35" s="4" t="s">
        <v>71</v>
      </c>
      <c r="B35" s="8" t="s">
        <v>916</v>
      </c>
      <c r="C35" s="81">
        <f>VLOOKUP(A35,CARİDÖNEM!A:F,6,FALSE)-VLOOKUP(A35,CARİDÖNEM!A:G,7,FALSE)</f>
        <v>0</v>
      </c>
      <c r="D35" s="4" t="s">
        <v>300</v>
      </c>
      <c r="E35" s="8" t="s">
        <v>928</v>
      </c>
      <c r="F35" s="91">
        <f>VLOOKUP(D35,CARİDÖNEM!A:G,7,FALSE)-VLOOKUP(D35,CARİDÖNEM!A:F,6,FALSE)</f>
        <v>0</v>
      </c>
    </row>
    <row r="36" spans="1:6">
      <c r="A36" s="4" t="s">
        <v>72</v>
      </c>
      <c r="B36" s="8" t="s">
        <v>917</v>
      </c>
      <c r="C36" s="81">
        <f>VLOOKUP(A36,CARİDÖNEM!A:F,6,FALSE)-VLOOKUP(A36,CARİDÖNEM!A:G,7,FALSE)</f>
        <v>0</v>
      </c>
      <c r="D36" s="3" t="s">
        <v>406</v>
      </c>
      <c r="E36" s="71" t="s">
        <v>1001</v>
      </c>
      <c r="F36" s="90">
        <f>SUM(F37:F40)</f>
        <v>1889336.3</v>
      </c>
    </row>
    <row r="37" spans="1:6">
      <c r="A37" s="3" t="s">
        <v>73</v>
      </c>
      <c r="B37" s="71" t="s">
        <v>918</v>
      </c>
      <c r="C37" s="82">
        <f>SUM(C38:C44)</f>
        <v>17248997.060000002</v>
      </c>
      <c r="D37" s="4" t="s">
        <v>301</v>
      </c>
      <c r="E37" s="75" t="s">
        <v>1002</v>
      </c>
      <c r="F37" s="91">
        <f>VLOOKUP(D37,CARİDÖNEM!A:G,7,FALSE)-VLOOKUP(D37,CARİDÖNEM!A:F,6,FALSE)</f>
        <v>817362.96</v>
      </c>
    </row>
    <row r="38" spans="1:6">
      <c r="A38" s="4" t="s">
        <v>74</v>
      </c>
      <c r="B38" s="8" t="s">
        <v>919</v>
      </c>
      <c r="C38" s="81">
        <f>VLOOKUP(A38,CARİDÖNEM!A:F,6,FALSE)-VLOOKUP(A38,CARİDÖNEM!A:G,7,FALSE)</f>
        <v>8584765.6899999995</v>
      </c>
      <c r="D38" s="4" t="s">
        <v>302</v>
      </c>
      <c r="E38" s="75" t="s">
        <v>1003</v>
      </c>
      <c r="F38" s="91">
        <f>VLOOKUP(D38,CARİDÖNEM!A:G,7,FALSE)-VLOOKUP(D38,CARİDÖNEM!A:F,6,FALSE)</f>
        <v>1064225.3400000001</v>
      </c>
    </row>
    <row r="39" spans="1:6">
      <c r="A39" s="4" t="s">
        <v>75</v>
      </c>
      <c r="B39" s="8" t="s">
        <v>925</v>
      </c>
      <c r="C39" s="81">
        <f>VLOOKUP(A39,CARİDÖNEM!A:F,6,FALSE)-VLOOKUP(A39,CARİDÖNEM!A:G,7,FALSE)</f>
        <v>6262019.4500000002</v>
      </c>
      <c r="D39" s="4" t="s">
        <v>303</v>
      </c>
      <c r="E39" s="75" t="s">
        <v>1004</v>
      </c>
      <c r="F39" s="91">
        <f>VLOOKUP(D39,CARİDÖNEM!A:G,7,FALSE)-VLOOKUP(D39,CARİDÖNEM!A:F,6,FALSE)</f>
        <v>0</v>
      </c>
    </row>
    <row r="40" spans="1:6">
      <c r="A40" s="4" t="s">
        <v>76</v>
      </c>
      <c r="B40" s="8" t="s">
        <v>920</v>
      </c>
      <c r="C40" s="81">
        <f>VLOOKUP(A40,CARİDÖNEM!A:F,6,FALSE)-VLOOKUP(A40,CARİDÖNEM!A:G,7,FALSE)</f>
        <v>1094817.95</v>
      </c>
      <c r="D40" s="4" t="s">
        <v>304</v>
      </c>
      <c r="E40" s="75" t="s">
        <v>1005</v>
      </c>
      <c r="F40" s="91">
        <f>VLOOKUP(D40,CARİDÖNEM!A:G,7,FALSE)-VLOOKUP(D40,CARİDÖNEM!A:F,6,FALSE)</f>
        <v>7748</v>
      </c>
    </row>
    <row r="41" spans="1:6">
      <c r="A41" s="4" t="s">
        <v>77</v>
      </c>
      <c r="B41" s="8" t="s">
        <v>921</v>
      </c>
      <c r="C41" s="81">
        <f>VLOOKUP(A41,CARİDÖNEM!A:F,6,FALSE)-VLOOKUP(A41,CARİDÖNEM!A:G,7,FALSE)</f>
        <v>831113.97</v>
      </c>
      <c r="D41" s="3" t="s">
        <v>407</v>
      </c>
      <c r="E41" s="71" t="s">
        <v>1006</v>
      </c>
      <c r="F41" s="90">
        <f>SUM(F42:F46)</f>
        <v>0</v>
      </c>
    </row>
    <row r="42" spans="1:6">
      <c r="A42" s="4" t="s">
        <v>78</v>
      </c>
      <c r="B42" s="8" t="s">
        <v>922</v>
      </c>
      <c r="C42" s="81">
        <f>VLOOKUP(A42,CARİDÖNEM!A:F,6,FALSE)-VLOOKUP(A42,CARİDÖNEM!A:G,7,FALSE)</f>
        <v>0</v>
      </c>
      <c r="D42" s="4" t="s">
        <v>305</v>
      </c>
      <c r="E42" s="75" t="s">
        <v>1007</v>
      </c>
      <c r="F42" s="91">
        <f>VLOOKUP(D42,CARİDÖNEM!A:G,7,FALSE)-VLOOKUP(D42,CARİDÖNEM!A:F,6,FALSE)</f>
        <v>0</v>
      </c>
    </row>
    <row r="43" spans="1:6">
      <c r="A43" s="4" t="s">
        <v>79</v>
      </c>
      <c r="B43" s="8" t="s">
        <v>923</v>
      </c>
      <c r="C43" s="81">
        <f>VLOOKUP(A43,CARİDÖNEM!A:F,6,FALSE)-VLOOKUP(A43,CARİDÖNEM!A:G,7,FALSE)</f>
        <v>0</v>
      </c>
      <c r="D43" s="4" t="s">
        <v>306</v>
      </c>
      <c r="E43" s="75" t="s">
        <v>1008</v>
      </c>
      <c r="F43" s="91">
        <f>VLOOKUP(D43,CARİDÖNEM!A:G,7,FALSE)-VLOOKUP(D43,CARİDÖNEM!A:F,6,FALSE)</f>
        <v>0</v>
      </c>
    </row>
    <row r="44" spans="1:6">
      <c r="A44" s="4" t="s">
        <v>80</v>
      </c>
      <c r="B44" s="8" t="s">
        <v>924</v>
      </c>
      <c r="C44" s="81">
        <f>VLOOKUP(A44,CARİDÖNEM!A:F,6,FALSE)-VLOOKUP(A44,CARİDÖNEM!A:G,7,FALSE)</f>
        <v>476280</v>
      </c>
      <c r="D44" s="4" t="s">
        <v>307</v>
      </c>
      <c r="E44" s="75" t="s">
        <v>1009</v>
      </c>
      <c r="F44" s="91">
        <f>VLOOKUP(D44,CARİDÖNEM!A:G,7,FALSE)-VLOOKUP(D44,CARİDÖNEM!A:F,6,FALSE)</f>
        <v>0</v>
      </c>
    </row>
    <row r="45" spans="1:6">
      <c r="A45" s="3" t="s">
        <v>81</v>
      </c>
      <c r="B45" s="71" t="s">
        <v>933</v>
      </c>
      <c r="C45" s="82">
        <f>SUM(C46:C48)</f>
        <v>0</v>
      </c>
      <c r="D45" s="4" t="s">
        <v>308</v>
      </c>
      <c r="E45" s="75" t="s">
        <v>1010</v>
      </c>
      <c r="F45" s="91">
        <f>VLOOKUP(D45,CARİDÖNEM!A:G,7,FALSE)-VLOOKUP(D45,CARİDÖNEM!A:F,6,FALSE)</f>
        <v>0</v>
      </c>
    </row>
    <row r="46" spans="1:6">
      <c r="A46" s="4" t="s">
        <v>82</v>
      </c>
      <c r="B46" s="8" t="s">
        <v>927</v>
      </c>
      <c r="C46" s="81">
        <f>VLOOKUP(A46,CARİDÖNEM!A:F,6,FALSE)-VLOOKUP(A46,CARİDÖNEM!A:G,7,FALSE)</f>
        <v>0</v>
      </c>
      <c r="D46" s="4" t="s">
        <v>309</v>
      </c>
      <c r="E46" s="75" t="s">
        <v>1011</v>
      </c>
      <c r="F46" s="91">
        <f>VLOOKUP(D46,CARİDÖNEM!A:G,7,FALSE)-VLOOKUP(D46,CARİDÖNEM!A:F,6,FALSE)</f>
        <v>0</v>
      </c>
    </row>
    <row r="47" spans="1:6">
      <c r="A47" s="4" t="s">
        <v>83</v>
      </c>
      <c r="B47" s="8" t="s">
        <v>928</v>
      </c>
      <c r="C47" s="81">
        <f>VLOOKUP(A47,CARİDÖNEM!A:F,6,FALSE)-VLOOKUP(A47,CARİDÖNEM!A:G,7,FALSE)</f>
        <v>0</v>
      </c>
      <c r="D47" s="3" t="s">
        <v>408</v>
      </c>
      <c r="E47" s="71" t="s">
        <v>1019</v>
      </c>
      <c r="F47" s="90">
        <f>SUM(F48:F49)</f>
        <v>923698.84</v>
      </c>
    </row>
    <row r="48" spans="1:6">
      <c r="A48" s="4" t="s">
        <v>84</v>
      </c>
      <c r="B48" s="8" t="s">
        <v>926</v>
      </c>
      <c r="C48" s="81">
        <f>VLOOKUP(A48,CARİDÖNEM!A:F,6,FALSE)-VLOOKUP(A48,CARİDÖNEM!A:G,7,FALSE)</f>
        <v>0</v>
      </c>
      <c r="D48" s="4" t="s">
        <v>310</v>
      </c>
      <c r="E48" s="75" t="s">
        <v>1012</v>
      </c>
      <c r="F48" s="91">
        <f>VLOOKUP(D48,CARİDÖNEM!A:G,7,FALSE)-VLOOKUP(D48,CARİDÖNEM!A:F,6,FALSE)</f>
        <v>923698.84</v>
      </c>
    </row>
    <row r="49" spans="1:6">
      <c r="A49" s="3" t="s">
        <v>85</v>
      </c>
      <c r="B49" s="71" t="s">
        <v>934</v>
      </c>
      <c r="C49" s="82">
        <f>SUM(C50:C51)</f>
        <v>365312.71</v>
      </c>
      <c r="D49" s="4" t="s">
        <v>311</v>
      </c>
      <c r="E49" s="75" t="s">
        <v>1013</v>
      </c>
      <c r="F49" s="91">
        <f>VLOOKUP(D49,CARİDÖNEM!A:G,7,FALSE)-VLOOKUP(D49,CARİDÖNEM!A:F,6,FALSE)</f>
        <v>0</v>
      </c>
    </row>
    <row r="50" spans="1:6">
      <c r="A50" s="4" t="s">
        <v>86</v>
      </c>
      <c r="B50" s="8" t="s">
        <v>935</v>
      </c>
      <c r="C50" s="81">
        <f>VLOOKUP(A50,CARİDÖNEM!A:F,6,FALSE)-VLOOKUP(A50,CARİDÖNEM!A:G,7,FALSE)</f>
        <v>365312.71</v>
      </c>
      <c r="D50" s="3" t="s">
        <v>409</v>
      </c>
      <c r="E50" s="71" t="s">
        <v>1020</v>
      </c>
      <c r="F50" s="90">
        <f>SUM(F51:F61)</f>
        <v>0</v>
      </c>
    </row>
    <row r="51" spans="1:6">
      <c r="A51" s="4" t="s">
        <v>87</v>
      </c>
      <c r="B51" s="8" t="s">
        <v>936</v>
      </c>
      <c r="C51" s="81">
        <f>VLOOKUP(A51,CARİDÖNEM!A:F,6,FALSE)-VLOOKUP(A51,CARİDÖNEM!A:G,7,FALSE)</f>
        <v>0</v>
      </c>
      <c r="D51" s="4" t="s">
        <v>312</v>
      </c>
      <c r="E51" s="8" t="s">
        <v>1014</v>
      </c>
      <c r="F51" s="91">
        <f>VLOOKUP(D51,CARİDÖNEM!A:G,7,FALSE)-VLOOKUP(D51,CARİDÖNEM!A:F,6,FALSE)</f>
        <v>0</v>
      </c>
    </row>
    <row r="52" spans="1:6">
      <c r="A52" s="3" t="s">
        <v>88</v>
      </c>
      <c r="B52" s="71" t="s">
        <v>937</v>
      </c>
      <c r="C52" s="82">
        <f>SUM(C53:C61)</f>
        <v>1597692.1300000001</v>
      </c>
      <c r="D52" s="4" t="s">
        <v>313</v>
      </c>
      <c r="E52" s="8" t="s">
        <v>1015</v>
      </c>
      <c r="F52" s="91">
        <f>VLOOKUP(D52,CARİDÖNEM!A:G,7,FALSE)-VLOOKUP(D52,CARİDÖNEM!A:F,6,FALSE)</f>
        <v>0</v>
      </c>
    </row>
    <row r="53" spans="1:6">
      <c r="A53" s="4" t="s">
        <v>89</v>
      </c>
      <c r="B53" s="8" t="s">
        <v>938</v>
      </c>
      <c r="C53" s="81">
        <f>VLOOKUP(A53,CARİDÖNEM!A:F,6,FALSE)-VLOOKUP(A53,CARİDÖNEM!A:G,7,FALSE)</f>
        <v>0</v>
      </c>
      <c r="D53" s="4" t="s">
        <v>314</v>
      </c>
      <c r="E53" s="8" t="s">
        <v>1016</v>
      </c>
      <c r="F53" s="91">
        <f>VLOOKUP(D53,CARİDÖNEM!A:G,7,FALSE)-VLOOKUP(D53,CARİDÖNEM!A:F,6,FALSE)</f>
        <v>0</v>
      </c>
    </row>
    <row r="54" spans="1:6">
      <c r="A54" s="4" t="s">
        <v>90</v>
      </c>
      <c r="B54" s="8" t="s">
        <v>939</v>
      </c>
      <c r="C54" s="81">
        <f>VLOOKUP(A54,CARİDÖNEM!A:F,6,FALSE)-VLOOKUP(A54,CARİDÖNEM!A:G,7,FALSE)</f>
        <v>0</v>
      </c>
      <c r="D54" s="4" t="s">
        <v>315</v>
      </c>
      <c r="E54" s="8" t="s">
        <v>1017</v>
      </c>
      <c r="F54" s="91">
        <f>VLOOKUP(D54,CARİDÖNEM!A:G,7,FALSE)-VLOOKUP(D54,CARİDÖNEM!A:F,6,FALSE)</f>
        <v>0</v>
      </c>
    </row>
    <row r="55" spans="1:6">
      <c r="A55" s="4" t="s">
        <v>91</v>
      </c>
      <c r="B55" s="8" t="s">
        <v>940</v>
      </c>
      <c r="C55" s="81">
        <f>VLOOKUP(A55,CARİDÖNEM!A:F,6,FALSE)-VLOOKUP(A55,CARİDÖNEM!A:G,7,FALSE)</f>
        <v>1182888.97</v>
      </c>
      <c r="D55" s="4" t="s">
        <v>316</v>
      </c>
      <c r="E55" s="8" t="s">
        <v>1018</v>
      </c>
      <c r="F55" s="91">
        <f>VLOOKUP(D55,CARİDÖNEM!A:G,7,FALSE)-VLOOKUP(D55,CARİDÖNEM!A:F,6,FALSE)</f>
        <v>0</v>
      </c>
    </row>
    <row r="56" spans="1:6">
      <c r="A56" s="4" t="s">
        <v>92</v>
      </c>
      <c r="B56" s="8" t="s">
        <v>941</v>
      </c>
      <c r="C56" s="81">
        <f>VLOOKUP(A56,CARİDÖNEM!A:F,6,FALSE)-VLOOKUP(A56,CARİDÖNEM!A:G,7,FALSE)</f>
        <v>188235.29</v>
      </c>
      <c r="D56" s="4"/>
      <c r="E56" s="8"/>
      <c r="F56" s="91"/>
    </row>
    <row r="57" spans="1:6">
      <c r="A57" s="4" t="s">
        <v>222</v>
      </c>
      <c r="B57" s="8" t="s">
        <v>942</v>
      </c>
      <c r="C57" s="81">
        <f>VLOOKUP(A57,CARİDÖNEM!A:F,6,FALSE)-VLOOKUP(A57,CARİDÖNEM!A:G,7,FALSE)</f>
        <v>58567.87</v>
      </c>
      <c r="D57" s="4"/>
      <c r="E57" s="8"/>
      <c r="F57" s="91"/>
    </row>
    <row r="58" spans="1:6">
      <c r="A58" s="4" t="s">
        <v>93</v>
      </c>
      <c r="B58" s="8" t="s">
        <v>943</v>
      </c>
      <c r="C58" s="81">
        <f>VLOOKUP(A58,CARİDÖNEM!A:F,6,FALSE)-VLOOKUP(A58,CARİDÖNEM!A:G,7,FALSE)</f>
        <v>168000</v>
      </c>
      <c r="D58" s="4"/>
      <c r="E58" s="8"/>
      <c r="F58" s="91"/>
    </row>
    <row r="59" spans="1:6">
      <c r="A59" s="4" t="s">
        <v>94</v>
      </c>
      <c r="B59" s="8" t="s">
        <v>944</v>
      </c>
      <c r="C59" s="81">
        <f>VLOOKUP(A59,CARİDÖNEM!A:F,6,FALSE)-VLOOKUP(A59,CARİDÖNEM!A:G,7,FALSE)</f>
        <v>0</v>
      </c>
      <c r="D59" s="4"/>
      <c r="E59" s="8"/>
      <c r="F59" s="91"/>
    </row>
    <row r="60" spans="1:6">
      <c r="A60" s="4" t="s">
        <v>95</v>
      </c>
      <c r="B60" s="8" t="s">
        <v>945</v>
      </c>
      <c r="C60" s="81">
        <f>VLOOKUP(A60,CARİDÖNEM!A:F,6,FALSE)-VLOOKUP(A60,CARİDÖNEM!A:G,7,FALSE)</f>
        <v>0</v>
      </c>
      <c r="D60" s="4"/>
      <c r="E60" s="8"/>
      <c r="F60" s="91"/>
    </row>
    <row r="61" spans="1:6">
      <c r="A61" s="5" t="s">
        <v>96</v>
      </c>
      <c r="B61" s="74" t="s">
        <v>946</v>
      </c>
      <c r="C61" s="83">
        <f>VLOOKUP(A61,CARİDÖNEM!A:F,6,FALSE)-VLOOKUP(A61,CARİDÖNEM!A:G,7,FALSE)</f>
        <v>0</v>
      </c>
      <c r="D61" s="5"/>
      <c r="E61" s="74"/>
      <c r="F61" s="92"/>
    </row>
    <row r="62" spans="1:6" ht="10.8" thickBot="1">
      <c r="A62" s="6"/>
      <c r="B62" s="8"/>
      <c r="C62" s="84"/>
      <c r="D62" s="8"/>
      <c r="E62" s="8"/>
      <c r="F62" s="93"/>
    </row>
    <row r="63" spans="1:6" ht="10.8" thickBot="1">
      <c r="A63" s="126" t="s">
        <v>400</v>
      </c>
      <c r="B63" s="125"/>
      <c r="C63" s="85">
        <f>C6</f>
        <v>31888963.850000005</v>
      </c>
      <c r="D63" s="125" t="s">
        <v>486</v>
      </c>
      <c r="E63" s="125"/>
      <c r="F63" s="94">
        <f>F6</f>
        <v>29002518.599999998</v>
      </c>
    </row>
    <row r="64" spans="1:6">
      <c r="A64" s="10"/>
      <c r="B64" s="11"/>
      <c r="C64" s="86"/>
      <c r="D64" s="11"/>
      <c r="E64" s="11"/>
      <c r="F64" s="95"/>
    </row>
    <row r="69" spans="1:6">
      <c r="A69" s="124" t="str">
        <f>A2</f>
        <v>DUYAR POMPA VE HİDROFOR SİSTEMLERİ SAN. VE TİC. A.Ş.</v>
      </c>
      <c r="B69" s="124"/>
      <c r="C69" s="124"/>
      <c r="D69" s="124"/>
      <c r="E69" s="124"/>
      <c r="F69" s="124"/>
    </row>
    <row r="70" spans="1:6">
      <c r="A70" s="124" t="str">
        <f>A3</f>
        <v>30.06.2024 TARİHLİ AYRINTILI BİLANÇOSU</v>
      </c>
      <c r="B70" s="124"/>
      <c r="C70" s="124"/>
      <c r="D70" s="124"/>
      <c r="E70" s="124"/>
      <c r="F70" s="124"/>
    </row>
    <row r="71" spans="1:6">
      <c r="D71" s="70"/>
      <c r="E71" s="70"/>
      <c r="F71" s="96"/>
    </row>
    <row r="72" spans="1:6">
      <c r="A72" s="2"/>
      <c r="B72" s="72"/>
      <c r="C72" s="78" t="s">
        <v>8</v>
      </c>
      <c r="D72" s="2"/>
      <c r="E72" s="72"/>
      <c r="F72" s="78" t="s">
        <v>8</v>
      </c>
    </row>
    <row r="73" spans="1:6">
      <c r="A73" s="3" t="s">
        <v>223</v>
      </c>
      <c r="B73" s="103" t="s">
        <v>947</v>
      </c>
      <c r="C73" s="79">
        <f>SUM(C74+C81+C89+C100+C111+C121+C127+C130)</f>
        <v>10909908.34</v>
      </c>
      <c r="D73" s="3" t="s">
        <v>317</v>
      </c>
      <c r="E73" s="103" t="s">
        <v>1021</v>
      </c>
      <c r="F73" s="89">
        <f>SUM(F74+F82+F88+F95+F98+F101+F104)</f>
        <v>0</v>
      </c>
    </row>
    <row r="74" spans="1:6">
      <c r="A74" s="3" t="s">
        <v>410</v>
      </c>
      <c r="B74" s="103" t="s">
        <v>948</v>
      </c>
      <c r="C74" s="80">
        <f>SUM(C75:C80)</f>
        <v>380625.76</v>
      </c>
      <c r="D74" s="3" t="s">
        <v>422</v>
      </c>
      <c r="E74" s="103" t="s">
        <v>982</v>
      </c>
      <c r="F74" s="97">
        <f>SUM(F75:F81)</f>
        <v>0</v>
      </c>
    </row>
    <row r="75" spans="1:6">
      <c r="A75" s="4" t="s">
        <v>224</v>
      </c>
      <c r="B75" s="75" t="s">
        <v>903</v>
      </c>
      <c r="C75" s="81">
        <f>VLOOKUP(A75,CARİDÖNEM!A:F,6,FALSE)-VLOOKUP(A75,CARİDÖNEM!A:G,7,FALSE)</f>
        <v>0</v>
      </c>
      <c r="D75" s="4" t="s">
        <v>318</v>
      </c>
      <c r="E75" s="75" t="s">
        <v>1355</v>
      </c>
      <c r="F75" s="91">
        <f>VLOOKUP(D75,CARİDÖNEM!A:G,7,FALSE)-VLOOKUP(D75,CARİDÖNEM!A:F,6,FALSE)</f>
        <v>0</v>
      </c>
    </row>
    <row r="76" spans="1:6">
      <c r="A76" s="4" t="s">
        <v>225</v>
      </c>
      <c r="B76" s="75" t="s">
        <v>904</v>
      </c>
      <c r="C76" s="81">
        <f>VLOOKUP(A76,CARİDÖNEM!A:F,6,FALSE)-VLOOKUP(A76,CARİDÖNEM!A:G,7,FALSE)</f>
        <v>0</v>
      </c>
      <c r="D76" s="4" t="s">
        <v>319</v>
      </c>
      <c r="E76" s="75" t="s">
        <v>1356</v>
      </c>
      <c r="F76" s="91">
        <f>VLOOKUP(D76,CARİDÖNEM!A:G,7,FALSE)-VLOOKUP(D76,CARİDÖNEM!A:F,6,FALSE)</f>
        <v>0</v>
      </c>
    </row>
    <row r="77" spans="1:6">
      <c r="A77" s="4" t="s">
        <v>226</v>
      </c>
      <c r="B77" s="75" t="s">
        <v>905</v>
      </c>
      <c r="C77" s="81">
        <f>VLOOKUP(A77,CARİDÖNEM!A:F,6,FALSE)-VLOOKUP(A77,CARİDÖNEM!A:G,7,FALSE)</f>
        <v>0</v>
      </c>
      <c r="D77" s="4" t="s">
        <v>320</v>
      </c>
      <c r="E77" s="75" t="s">
        <v>1357</v>
      </c>
      <c r="F77" s="91">
        <f>VLOOKUP(D77,CARİDÖNEM!A:G,7,FALSE)-VLOOKUP(D77,CARİDÖNEM!A:F,6,FALSE)</f>
        <v>0</v>
      </c>
    </row>
    <row r="78" spans="1:6">
      <c r="A78" s="4" t="s">
        <v>227</v>
      </c>
      <c r="B78" s="75" t="s">
        <v>949</v>
      </c>
      <c r="C78" s="81">
        <f>VLOOKUP(A78,CARİDÖNEM!A:F,6,FALSE)-VLOOKUP(A78,CARİDÖNEM!A:G,7,FALSE)</f>
        <v>0</v>
      </c>
      <c r="D78" s="4" t="s">
        <v>321</v>
      </c>
      <c r="E78" s="75" t="s">
        <v>1363</v>
      </c>
      <c r="F78" s="91">
        <f>VLOOKUP(D78,CARİDÖNEM!A:G,7,FALSE)-VLOOKUP(D78,CARİDÖNEM!A:F,6,FALSE)</f>
        <v>0</v>
      </c>
    </row>
    <row r="79" spans="1:6">
      <c r="A79" s="4" t="s">
        <v>228</v>
      </c>
      <c r="B79" s="75" t="s">
        <v>907</v>
      </c>
      <c r="C79" s="81">
        <f>VLOOKUP(A79,CARİDÖNEM!A:F,6,FALSE)-VLOOKUP(A79,CARİDÖNEM!A:G,7,FALSE)</f>
        <v>380625.76</v>
      </c>
      <c r="D79" s="4" t="s">
        <v>322</v>
      </c>
      <c r="E79" s="75" t="s">
        <v>1364</v>
      </c>
      <c r="F79" s="91">
        <f>VLOOKUP(D79,CARİDÖNEM!A:G,7,FALSE)-VLOOKUP(D79,CARİDÖNEM!A:F,6,FALSE)</f>
        <v>0</v>
      </c>
    </row>
    <row r="80" spans="1:6">
      <c r="A80" s="4" t="s">
        <v>229</v>
      </c>
      <c r="B80" s="75" t="s">
        <v>950</v>
      </c>
      <c r="C80" s="81">
        <f>VLOOKUP(A80,CARİDÖNEM!A:F,6,FALSE)-VLOOKUP(A80,CARİDÖNEM!A:G,7,FALSE)</f>
        <v>0</v>
      </c>
      <c r="D80" s="4" t="s">
        <v>323</v>
      </c>
      <c r="E80" s="75" t="s">
        <v>1365</v>
      </c>
      <c r="F80" s="91">
        <f>VLOOKUP(D80,CARİDÖNEM!A:G,7,FALSE)-VLOOKUP(D80,CARİDÖNEM!A:F,6,FALSE)</f>
        <v>0</v>
      </c>
    </row>
    <row r="81" spans="1:6">
      <c r="A81" s="3" t="s">
        <v>411</v>
      </c>
      <c r="B81" s="103" t="s">
        <v>951</v>
      </c>
      <c r="C81" s="82">
        <f>SUM(C82:C88)</f>
        <v>0</v>
      </c>
      <c r="D81" s="4" t="s">
        <v>324</v>
      </c>
      <c r="E81" s="75" t="s">
        <v>1366</v>
      </c>
      <c r="F81" s="91">
        <f>VLOOKUP(D81,CARİDÖNEM!A:G,7,FALSE)-VLOOKUP(D81,CARİDÖNEM!A:F,6,FALSE)</f>
        <v>0</v>
      </c>
    </row>
    <row r="82" spans="1:6">
      <c r="A82" s="4" t="s">
        <v>230</v>
      </c>
      <c r="B82" s="75" t="s">
        <v>911</v>
      </c>
      <c r="C82" s="81">
        <f>VLOOKUP(A82,CARİDÖNEM!A:F,6,FALSE)-VLOOKUP(A82,CARİDÖNEM!A:G,7,FALSE)</f>
        <v>0</v>
      </c>
      <c r="D82" s="3" t="s">
        <v>423</v>
      </c>
      <c r="E82" s="103" t="s">
        <v>988</v>
      </c>
      <c r="F82" s="90">
        <f>SUM(F83:F87)</f>
        <v>0</v>
      </c>
    </row>
    <row r="83" spans="1:6">
      <c r="A83" s="4" t="s">
        <v>231</v>
      </c>
      <c r="B83" s="75" t="s">
        <v>912</v>
      </c>
      <c r="C83" s="81">
        <f>VLOOKUP(A83,CARİDÖNEM!A:F,6,FALSE)-VLOOKUP(A83,CARİDÖNEM!A:G,7,FALSE)</f>
        <v>0</v>
      </c>
      <c r="D83" s="4" t="s">
        <v>325</v>
      </c>
      <c r="E83" s="75" t="s">
        <v>983</v>
      </c>
      <c r="F83" s="91">
        <f>VLOOKUP(D83,CARİDÖNEM!A:G,7,FALSE)-VLOOKUP(D83,CARİDÖNEM!A:F,6,FALSE)</f>
        <v>0</v>
      </c>
    </row>
    <row r="84" spans="1:6">
      <c r="A84" s="4" t="s">
        <v>232</v>
      </c>
      <c r="B84" s="75" t="s">
        <v>913</v>
      </c>
      <c r="C84" s="81">
        <f>VLOOKUP(A84,CARİDÖNEM!A:F,6,FALSE)-VLOOKUP(A84,CARİDÖNEM!A:G,7,FALSE)</f>
        <v>0</v>
      </c>
      <c r="D84" s="4" t="s">
        <v>326</v>
      </c>
      <c r="E84" s="75" t="s">
        <v>984</v>
      </c>
      <c r="F84" s="91">
        <f>VLOOKUP(D84,CARİDÖNEM!A:G,7,FALSE)-VLOOKUP(D84,CARİDÖNEM!A:F,6,FALSE)</f>
        <v>0</v>
      </c>
    </row>
    <row r="85" spans="1:6">
      <c r="A85" s="4" t="s">
        <v>233</v>
      </c>
      <c r="B85" s="75" t="s">
        <v>914</v>
      </c>
      <c r="C85" s="81">
        <f>VLOOKUP(A85,CARİDÖNEM!A:F,6,FALSE)-VLOOKUP(A85,CARİDÖNEM!A:G,7,FALSE)</f>
        <v>0</v>
      </c>
      <c r="D85" s="4" t="s">
        <v>327</v>
      </c>
      <c r="E85" s="75" t="s">
        <v>985</v>
      </c>
      <c r="F85" s="91">
        <f>VLOOKUP(D85,CARİDÖNEM!A:G,7,FALSE)-VLOOKUP(D85,CARİDÖNEM!A:F,6,FALSE)</f>
        <v>0</v>
      </c>
    </row>
    <row r="86" spans="1:6">
      <c r="A86" s="4" t="s">
        <v>234</v>
      </c>
      <c r="B86" s="75" t="s">
        <v>915</v>
      </c>
      <c r="C86" s="81">
        <f>VLOOKUP(A86,CARİDÖNEM!A:F,6,FALSE)-VLOOKUP(A86,CARİDÖNEM!A:G,7,FALSE)</f>
        <v>0</v>
      </c>
      <c r="D86" s="4" t="s">
        <v>328</v>
      </c>
      <c r="E86" s="75" t="s">
        <v>986</v>
      </c>
      <c r="F86" s="91">
        <f>VLOOKUP(D86,CARİDÖNEM!A:G,7,FALSE)-VLOOKUP(D86,CARİDÖNEM!A:F,6,FALSE)</f>
        <v>0</v>
      </c>
    </row>
    <row r="87" spans="1:6">
      <c r="A87" s="4" t="s">
        <v>235</v>
      </c>
      <c r="B87" s="75" t="s">
        <v>932</v>
      </c>
      <c r="C87" s="81">
        <f>VLOOKUP(A87,CARİDÖNEM!A:F,6,FALSE)-VLOOKUP(A87,CARİDÖNEM!A:G,7,FALSE)</f>
        <v>0</v>
      </c>
      <c r="D87" s="4" t="s">
        <v>329</v>
      </c>
      <c r="E87" s="75" t="s">
        <v>987</v>
      </c>
      <c r="F87" s="91">
        <f>VLOOKUP(D87,CARİDÖNEM!A:G,7,FALSE)-VLOOKUP(D87,CARİDÖNEM!A:F,6,FALSE)</f>
        <v>0</v>
      </c>
    </row>
    <row r="88" spans="1:6">
      <c r="A88" s="4" t="s">
        <v>236</v>
      </c>
      <c r="B88" s="75" t="s">
        <v>1332</v>
      </c>
      <c r="C88" s="81">
        <f>VLOOKUP(A88,CARİDÖNEM!A:F,6,FALSE)-VLOOKUP(A88,CARİDÖNEM!A:G,7,FALSE)</f>
        <v>0</v>
      </c>
      <c r="D88" s="3" t="s">
        <v>424</v>
      </c>
      <c r="E88" s="103" t="s">
        <v>989</v>
      </c>
      <c r="F88" s="90">
        <f>SUM(F89:F94)</f>
        <v>0</v>
      </c>
    </row>
    <row r="89" spans="1:6">
      <c r="A89" s="3" t="s">
        <v>412</v>
      </c>
      <c r="B89" s="103" t="s">
        <v>952</v>
      </c>
      <c r="C89" s="82">
        <f>SUM(C90:C99)</f>
        <v>0</v>
      </c>
      <c r="D89" s="4" t="s">
        <v>330</v>
      </c>
      <c r="E89" s="75" t="s">
        <v>992</v>
      </c>
      <c r="F89" s="91">
        <f>VLOOKUP(D89,CARİDÖNEM!A:G,7,FALSE)-VLOOKUP(D89,CARİDÖNEM!A:F,6,FALSE)</f>
        <v>0</v>
      </c>
    </row>
    <row r="90" spans="1:6">
      <c r="A90" s="4" t="s">
        <v>237</v>
      </c>
      <c r="B90" s="75" t="s">
        <v>1333</v>
      </c>
      <c r="C90" s="81">
        <f>VLOOKUP(A90,CARİDÖNEM!A:F,6,FALSE)-VLOOKUP(A90,CARİDÖNEM!A:G,7,FALSE)</f>
        <v>0</v>
      </c>
      <c r="D90" s="4" t="s">
        <v>331</v>
      </c>
      <c r="E90" s="75" t="s">
        <v>993</v>
      </c>
      <c r="F90" s="91">
        <f>VLOOKUP(D90,CARİDÖNEM!A:G,7,FALSE)-VLOOKUP(D90,CARİDÖNEM!A:F,6,FALSE)</f>
        <v>0</v>
      </c>
    </row>
    <row r="91" spans="1:6">
      <c r="A91" s="4" t="s">
        <v>238</v>
      </c>
      <c r="B91" s="75" t="s">
        <v>1334</v>
      </c>
      <c r="C91" s="81">
        <f>VLOOKUP(A91,CARİDÖNEM!A:F,6,FALSE)-VLOOKUP(A91,CARİDÖNEM!A:G,7,FALSE)</f>
        <v>0</v>
      </c>
      <c r="D91" s="4" t="s">
        <v>332</v>
      </c>
      <c r="E91" s="75" t="s">
        <v>994</v>
      </c>
      <c r="F91" s="91">
        <f>VLOOKUP(D91,CARİDÖNEM!A:G,7,FALSE)-VLOOKUP(D91,CARİDÖNEM!A:F,6,FALSE)</f>
        <v>0</v>
      </c>
    </row>
    <row r="92" spans="1:6">
      <c r="A92" s="4" t="s">
        <v>239</v>
      </c>
      <c r="B92" s="75" t="s">
        <v>1335</v>
      </c>
      <c r="C92" s="81">
        <f>VLOOKUP(A92,CARİDÖNEM!A:F,6,FALSE)-VLOOKUP(A92,CARİDÖNEM!A:G,7,FALSE)</f>
        <v>0</v>
      </c>
      <c r="D92" s="4" t="s">
        <v>333</v>
      </c>
      <c r="E92" s="75" t="s">
        <v>1022</v>
      </c>
      <c r="F92" s="91">
        <f>VLOOKUP(D92,CARİDÖNEM!A:G,7,FALSE)-VLOOKUP(D92,CARİDÖNEM!A:F,6,FALSE)</f>
        <v>0</v>
      </c>
    </row>
    <row r="93" spans="1:6">
      <c r="A93" s="4" t="s">
        <v>240</v>
      </c>
      <c r="B93" s="75" t="s">
        <v>1336</v>
      </c>
      <c r="C93" s="81">
        <f>VLOOKUP(A93,CARİDÖNEM!A:F,6,FALSE)-VLOOKUP(A93,CARİDÖNEM!A:G,7,FALSE)</f>
        <v>0</v>
      </c>
      <c r="D93" s="4" t="s">
        <v>334</v>
      </c>
      <c r="E93" s="75" t="s">
        <v>1023</v>
      </c>
      <c r="F93" s="91">
        <f>VLOOKUP(D93,CARİDÖNEM!A:G,7,FALSE)-VLOOKUP(D93,CARİDÖNEM!A:F,6,FALSE)</f>
        <v>0</v>
      </c>
    </row>
    <row r="94" spans="1:6">
      <c r="A94" s="4" t="s">
        <v>241</v>
      </c>
      <c r="B94" s="75" t="s">
        <v>1337</v>
      </c>
      <c r="C94" s="81">
        <f>VLOOKUP(A94,CARİDÖNEM!A:F,6,FALSE)-VLOOKUP(A94,CARİDÖNEM!A:G,7,FALSE)</f>
        <v>0</v>
      </c>
      <c r="D94" s="4" t="s">
        <v>335</v>
      </c>
      <c r="E94" s="75" t="s">
        <v>1024</v>
      </c>
      <c r="F94" s="91">
        <f>VLOOKUP(D94,CARİDÖNEM!A:G,7,FALSE)-VLOOKUP(D94,CARİDÖNEM!A:F,6,FALSE)</f>
        <v>0</v>
      </c>
    </row>
    <row r="95" spans="1:6">
      <c r="A95" s="4" t="s">
        <v>242</v>
      </c>
      <c r="B95" s="75" t="s">
        <v>1338</v>
      </c>
      <c r="C95" s="81">
        <f>VLOOKUP(A95,CARİDÖNEM!A:F,6,FALSE)-VLOOKUP(A95,CARİDÖNEM!A:G,7,FALSE)</f>
        <v>0</v>
      </c>
      <c r="D95" s="3" t="s">
        <v>425</v>
      </c>
      <c r="E95" s="103" t="s">
        <v>990</v>
      </c>
      <c r="F95" s="90">
        <f>SUM(F96:F97)</f>
        <v>0</v>
      </c>
    </row>
    <row r="96" spans="1:6">
      <c r="A96" s="4" t="s">
        <v>243</v>
      </c>
      <c r="B96" s="75" t="s">
        <v>1339</v>
      </c>
      <c r="C96" s="81">
        <f>VLOOKUP(A96,CARİDÖNEM!A:F,6,FALSE)-VLOOKUP(A96,CARİDÖNEM!A:G,7,FALSE)</f>
        <v>0</v>
      </c>
      <c r="D96" s="4" t="s">
        <v>336</v>
      </c>
      <c r="E96" s="8" t="s">
        <v>998</v>
      </c>
      <c r="F96" s="91">
        <f>VLOOKUP(D96,CARİDÖNEM!A:G,7,FALSE)-VLOOKUP(D96,CARİDÖNEM!A:F,6,FALSE)</f>
        <v>0</v>
      </c>
    </row>
    <row r="97" spans="1:6">
      <c r="A97" s="4" t="s">
        <v>244</v>
      </c>
      <c r="B97" s="75" t="s">
        <v>1340</v>
      </c>
      <c r="C97" s="81">
        <f>VLOOKUP(A97,CARİDÖNEM!A:F,6,FALSE)-VLOOKUP(A97,CARİDÖNEM!A:G,7,FALSE)</f>
        <v>0</v>
      </c>
      <c r="D97" s="4" t="s">
        <v>337</v>
      </c>
      <c r="E97" s="8" t="s">
        <v>999</v>
      </c>
      <c r="F97" s="91">
        <f>VLOOKUP(D97,CARİDÖNEM!A:G,7,FALSE)-VLOOKUP(D97,CARİDÖNEM!A:F,6,FALSE)</f>
        <v>0</v>
      </c>
    </row>
    <row r="98" spans="1:6">
      <c r="A98" s="4" t="s">
        <v>1343</v>
      </c>
      <c r="B98" s="75" t="s">
        <v>1341</v>
      </c>
      <c r="C98" s="81"/>
      <c r="D98" s="3" t="s">
        <v>426</v>
      </c>
      <c r="E98" s="103" t="s">
        <v>1025</v>
      </c>
      <c r="F98" s="90">
        <f>SUM(F99:F100)</f>
        <v>0</v>
      </c>
    </row>
    <row r="99" spans="1:6">
      <c r="A99" s="4" t="s">
        <v>245</v>
      </c>
      <c r="B99" s="75" t="s">
        <v>1342</v>
      </c>
      <c r="C99" s="81">
        <f>VLOOKUP(A99,CARİDÖNEM!A:F,6,FALSE)-VLOOKUP(A99,CARİDÖNEM!A:G,7,FALSE)</f>
        <v>0</v>
      </c>
      <c r="D99" s="4" t="s">
        <v>338</v>
      </c>
      <c r="E99" s="75" t="s">
        <v>1026</v>
      </c>
      <c r="F99" s="91">
        <f>VLOOKUP(D99,CARİDÖNEM!A:G,7,FALSE)-VLOOKUP(D99,CARİDÖNEM!A:F,6,FALSE)</f>
        <v>0</v>
      </c>
    </row>
    <row r="100" spans="1:6">
      <c r="A100" s="3" t="s">
        <v>413</v>
      </c>
      <c r="B100" s="103" t="s">
        <v>953</v>
      </c>
      <c r="C100" s="82">
        <f>SUM(C101:C110)</f>
        <v>10146217.630000001</v>
      </c>
      <c r="D100" s="4" t="s">
        <v>339</v>
      </c>
      <c r="E100" s="75" t="s">
        <v>1027</v>
      </c>
      <c r="F100" s="91">
        <f>VLOOKUP(D100,CARİDÖNEM!A:G,7,FALSE)-VLOOKUP(D100,CARİDÖNEM!A:F,6,FALSE)</f>
        <v>0</v>
      </c>
    </row>
    <row r="101" spans="1:6">
      <c r="A101" s="4" t="s">
        <v>246</v>
      </c>
      <c r="B101" s="75" t="s">
        <v>954</v>
      </c>
      <c r="C101" s="81">
        <f>VLOOKUP(A101,CARİDÖNEM!A:F,6,FALSE)-VLOOKUP(A101,CARİDÖNEM!A:G,7,FALSE)</f>
        <v>0</v>
      </c>
      <c r="D101" s="3" t="s">
        <v>427</v>
      </c>
      <c r="E101" s="103" t="s">
        <v>1029</v>
      </c>
      <c r="F101" s="90">
        <f>SUM(F102:F103)</f>
        <v>0</v>
      </c>
    </row>
    <row r="102" spans="1:6">
      <c r="A102" s="4" t="s">
        <v>247</v>
      </c>
      <c r="B102" s="75" t="s">
        <v>955</v>
      </c>
      <c r="C102" s="81">
        <f>VLOOKUP(A102,CARİDÖNEM!A:F,6,FALSE)-VLOOKUP(A102,CARİDÖNEM!A:G,7,FALSE)</f>
        <v>0</v>
      </c>
      <c r="D102" s="4" t="s">
        <v>340</v>
      </c>
      <c r="E102" s="75" t="s">
        <v>1028</v>
      </c>
      <c r="F102" s="91">
        <f>VLOOKUP(D102,CARİDÖNEM!A:G,7,FALSE)-VLOOKUP(D102,CARİDÖNEM!A:F,6,FALSE)</f>
        <v>0</v>
      </c>
    </row>
    <row r="103" spans="1:6">
      <c r="A103" s="4" t="s">
        <v>248</v>
      </c>
      <c r="B103" s="75" t="s">
        <v>956</v>
      </c>
      <c r="C103" s="81">
        <f>VLOOKUP(A103,CARİDÖNEM!A:F,6,FALSE)-VLOOKUP(A103,CARİDÖNEM!A:G,7,FALSE)</f>
        <v>0</v>
      </c>
      <c r="D103" s="4" t="s">
        <v>341</v>
      </c>
      <c r="E103" s="75" t="s">
        <v>1013</v>
      </c>
      <c r="F103" s="91">
        <f>VLOOKUP(D103,CARİDÖNEM!A:G,7,FALSE)-VLOOKUP(D103,CARİDÖNEM!A:F,6,FALSE)</f>
        <v>0</v>
      </c>
    </row>
    <row r="104" spans="1:6">
      <c r="A104" s="4" t="s">
        <v>249</v>
      </c>
      <c r="B104" s="75" t="s">
        <v>963</v>
      </c>
      <c r="C104" s="81">
        <f>VLOOKUP(A104,CARİDÖNEM!A:F,6,FALSE)-VLOOKUP(A104,CARİDÖNEM!A:G,7,FALSE)</f>
        <v>3878904.28</v>
      </c>
      <c r="D104" s="3" t="s">
        <v>428</v>
      </c>
      <c r="E104" s="103" t="s">
        <v>1030</v>
      </c>
      <c r="F104" s="90">
        <f>SUM(F105:F107)</f>
        <v>0</v>
      </c>
    </row>
    <row r="105" spans="1:6">
      <c r="A105" s="4" t="s">
        <v>250</v>
      </c>
      <c r="B105" s="75" t="s">
        <v>957</v>
      </c>
      <c r="C105" s="81">
        <f>VLOOKUP(A105,CARİDÖNEM!A:F,6,FALSE)-VLOOKUP(A105,CARİDÖNEM!A:G,7,FALSE)</f>
        <v>6966194.9100000001</v>
      </c>
      <c r="D105" s="4" t="s">
        <v>342</v>
      </c>
      <c r="E105" s="75" t="s">
        <v>1031</v>
      </c>
      <c r="F105" s="91">
        <f>VLOOKUP(D105,CARİDÖNEM!A:G,7,FALSE)-VLOOKUP(D105,CARİDÖNEM!A:F,6,FALSE)</f>
        <v>0</v>
      </c>
    </row>
    <row r="106" spans="1:6">
      <c r="A106" s="4" t="s">
        <v>251</v>
      </c>
      <c r="B106" s="75" t="s">
        <v>958</v>
      </c>
      <c r="C106" s="81">
        <f>VLOOKUP(A106,CARİDÖNEM!A:F,6,FALSE)-VLOOKUP(A106,CARİDÖNEM!A:G,7,FALSE)</f>
        <v>1773761.62</v>
      </c>
      <c r="D106" s="4" t="s">
        <v>343</v>
      </c>
      <c r="E106" s="75" t="s">
        <v>1032</v>
      </c>
      <c r="F106" s="91">
        <f>VLOOKUP(D106,CARİDÖNEM!A:G,7,FALSE)-VLOOKUP(D106,CARİDÖNEM!A:F,6,FALSE)</f>
        <v>0</v>
      </c>
    </row>
    <row r="107" spans="1:6">
      <c r="A107" s="4" t="s">
        <v>252</v>
      </c>
      <c r="B107" s="75" t="s">
        <v>959</v>
      </c>
      <c r="C107" s="81">
        <f>VLOOKUP(A107,CARİDÖNEM!A:F,6,FALSE)-VLOOKUP(A107,CARİDÖNEM!A:G,7,FALSE)</f>
        <v>6730866.1500000004</v>
      </c>
      <c r="D107" s="4" t="s">
        <v>344</v>
      </c>
      <c r="E107" s="75" t="s">
        <v>1033</v>
      </c>
      <c r="F107" s="91">
        <f>VLOOKUP(D107,CARİDÖNEM!A:G,7,FALSE)-VLOOKUP(D107,CARİDÖNEM!A:F,6,FALSE)</f>
        <v>0</v>
      </c>
    </row>
    <row r="108" spans="1:6">
      <c r="A108" s="4" t="s">
        <v>253</v>
      </c>
      <c r="B108" s="75" t="s">
        <v>960</v>
      </c>
      <c r="C108" s="81">
        <f>VLOOKUP(A108,CARİDÖNEM!A:F,6,FALSE)-VLOOKUP(A108,CARİDÖNEM!A:G,7,FALSE)</f>
        <v>-9203509.3300000001</v>
      </c>
      <c r="D108" s="4"/>
      <c r="E108" s="8"/>
      <c r="F108" s="91"/>
    </row>
    <row r="109" spans="1:6">
      <c r="A109" s="4" t="s">
        <v>254</v>
      </c>
      <c r="B109" s="75" t="s">
        <v>961</v>
      </c>
      <c r="C109" s="81">
        <f>VLOOKUP(A109,CARİDÖNEM!A:F,6,FALSE)-VLOOKUP(A109,CARİDÖNEM!A:G,7,FALSE)</f>
        <v>0</v>
      </c>
      <c r="D109" s="4"/>
      <c r="E109" s="103" t="s">
        <v>421</v>
      </c>
      <c r="F109" s="90">
        <f>F73</f>
        <v>0</v>
      </c>
    </row>
    <row r="110" spans="1:6">
      <c r="A110" s="4" t="s">
        <v>255</v>
      </c>
      <c r="B110" s="75" t="s">
        <v>962</v>
      </c>
      <c r="C110" s="81">
        <f>VLOOKUP(A110,CARİDÖNEM!A:F,6,FALSE)-VLOOKUP(A110,CARİDÖNEM!A:G,7,FALSE)</f>
        <v>0</v>
      </c>
      <c r="D110" s="3"/>
      <c r="E110" s="103"/>
      <c r="F110" s="90"/>
    </row>
    <row r="111" spans="1:6">
      <c r="A111" s="3" t="s">
        <v>414</v>
      </c>
      <c r="B111" s="103" t="s">
        <v>964</v>
      </c>
      <c r="C111" s="82">
        <f>SUM(C112:C120)</f>
        <v>276943.65999999992</v>
      </c>
      <c r="D111" s="3" t="s">
        <v>345</v>
      </c>
      <c r="E111" s="103" t="s">
        <v>1034</v>
      </c>
      <c r="F111" s="90">
        <f>SUM(F112+F117+F125+F131+F133+F135)</f>
        <v>13796353.590000005</v>
      </c>
    </row>
    <row r="112" spans="1:6">
      <c r="A112" s="4" t="s">
        <v>256</v>
      </c>
      <c r="B112" s="75" t="s">
        <v>965</v>
      </c>
      <c r="C112" s="81">
        <f>VLOOKUP(A112,CARİDÖNEM!A:F,6,FALSE)-VLOOKUP(A112,CARİDÖNEM!A:G,7,FALSE)</f>
        <v>695372.37</v>
      </c>
      <c r="D112" s="3" t="s">
        <v>429</v>
      </c>
      <c r="E112" s="103" t="s">
        <v>1035</v>
      </c>
      <c r="F112" s="90">
        <f>SUM(F113:F116)</f>
        <v>393344.37</v>
      </c>
    </row>
    <row r="113" spans="1:6">
      <c r="A113" s="4" t="s">
        <v>415</v>
      </c>
      <c r="B113" s="75" t="s">
        <v>966</v>
      </c>
      <c r="C113" s="81">
        <f>VLOOKUP(A113,CARİDÖNEM!A:F,6,FALSE)-VLOOKUP(A113,CARİDÖNEM!A:G,7,FALSE)</f>
        <v>0</v>
      </c>
      <c r="D113" s="4" t="s">
        <v>346</v>
      </c>
      <c r="E113" s="75" t="s">
        <v>1036</v>
      </c>
      <c r="F113" s="91">
        <f>VLOOKUP(D113,CARİDÖNEM!A:G,7,FALSE)-VLOOKUP(D113,CARİDÖNEM!A:F,6,FALSE)</f>
        <v>50000</v>
      </c>
    </row>
    <row r="114" spans="1:6">
      <c r="A114" s="4" t="s">
        <v>416</v>
      </c>
      <c r="B114" s="75" t="s">
        <v>967</v>
      </c>
      <c r="C114" s="81">
        <f>VLOOKUP(A114,CARİDÖNEM!A:F,6,FALSE)-VLOOKUP(A114,CARİDÖNEM!A:G,7,FALSE)</f>
        <v>0</v>
      </c>
      <c r="D114" s="4" t="s">
        <v>347</v>
      </c>
      <c r="E114" s="75" t="s">
        <v>1037</v>
      </c>
      <c r="F114" s="91">
        <f>VLOOKUP(D114,CARİDÖNEM!A:G,7,FALSE)-VLOOKUP(D114,CARİDÖNEM!A:F,6,FALSE)</f>
        <v>0</v>
      </c>
    </row>
    <row r="115" spans="1:6">
      <c r="A115" s="4" t="s">
        <v>417</v>
      </c>
      <c r="B115" s="75" t="s">
        <v>968</v>
      </c>
      <c r="C115" s="81">
        <f>VLOOKUP(A115,CARİDÖNEM!A:F,6,FALSE)-VLOOKUP(A115,CARİDÖNEM!A:G,7,FALSE)</f>
        <v>0</v>
      </c>
      <c r="D115" s="4" t="s">
        <v>348</v>
      </c>
      <c r="E115" s="75" t="s">
        <v>1038</v>
      </c>
      <c r="F115" s="91">
        <f>VLOOKUP(D115,CARİDÖNEM!A:G,7,FALSE)-VLOOKUP(D115,CARİDÖNEM!A:F,6,FALSE)</f>
        <v>343344.37</v>
      </c>
    </row>
    <row r="116" spans="1:6">
      <c r="A116" s="4" t="s">
        <v>257</v>
      </c>
      <c r="B116" s="75" t="s">
        <v>969</v>
      </c>
      <c r="C116" s="81">
        <f>VLOOKUP(A116,CARİDÖNEM!A:F,6,FALSE)-VLOOKUP(A116,CARİDÖNEM!A:G,7,FALSE)</f>
        <v>217879.55</v>
      </c>
      <c r="D116" s="4" t="s">
        <v>349</v>
      </c>
      <c r="E116" s="75" t="s">
        <v>1039</v>
      </c>
      <c r="F116" s="91">
        <f>VLOOKUP(D116,CARİDÖNEM!A:G,7,FALSE)-VLOOKUP(D116,CARİDÖNEM!A:F,6,FALSE)</f>
        <v>0</v>
      </c>
    </row>
    <row r="117" spans="1:6">
      <c r="A117" s="4" t="s">
        <v>553</v>
      </c>
      <c r="B117" s="121" t="s">
        <v>970</v>
      </c>
      <c r="C117" s="81">
        <f>VLOOKUP(A117,CARİDÖNEM!A:F,6,FALSE)-VLOOKUP(A117,CARİDÖNEM!A:G,7,FALSE)</f>
        <v>67746.5</v>
      </c>
      <c r="D117" s="3" t="s">
        <v>430</v>
      </c>
      <c r="E117" s="103" t="s">
        <v>1040</v>
      </c>
      <c r="F117" s="90">
        <f>SUM(F118:F123)</f>
        <v>0</v>
      </c>
    </row>
    <row r="118" spans="1:6">
      <c r="A118" s="4" t="s">
        <v>258</v>
      </c>
      <c r="B118" s="121" t="s">
        <v>970</v>
      </c>
      <c r="C118" s="81">
        <f>VLOOKUP(A118,CARİDÖNEM!A:F,6,FALSE)-VLOOKUP(A118,CARİDÖNEM!A:G,7,FALSE)</f>
        <v>0</v>
      </c>
      <c r="D118" s="4" t="s">
        <v>350</v>
      </c>
      <c r="E118" s="75" t="s">
        <v>1041</v>
      </c>
      <c r="F118" s="91">
        <f>VLOOKUP(D118,CARİDÖNEM!A:G,7,FALSE)-VLOOKUP(D118,CARİDÖNEM!A:F,6,FALSE)</f>
        <v>0</v>
      </c>
    </row>
    <row r="119" spans="1:6">
      <c r="A119" s="4" t="s">
        <v>259</v>
      </c>
      <c r="B119" s="75" t="s">
        <v>1352</v>
      </c>
      <c r="C119" s="81">
        <f>VLOOKUP(A119,CARİDÖNEM!A:F,6,FALSE)-VLOOKUP(A119,CARİDÖNEM!A:G,7,FALSE)</f>
        <v>-704054.76</v>
      </c>
      <c r="D119" s="4" t="s">
        <v>351</v>
      </c>
      <c r="E119" s="75" t="s">
        <v>1042</v>
      </c>
      <c r="F119" s="91">
        <f>VLOOKUP(D119,CARİDÖNEM!A:G,7,FALSE)-VLOOKUP(D119,CARİDÖNEM!A:F,6,FALSE)</f>
        <v>0</v>
      </c>
    </row>
    <row r="120" spans="1:6">
      <c r="A120" s="4" t="s">
        <v>260</v>
      </c>
      <c r="B120" s="75" t="s">
        <v>1353</v>
      </c>
      <c r="C120" s="81">
        <f>VLOOKUP(A120,CARİDÖNEM!A:F,6,FALSE)-VLOOKUP(A120,CARİDÖNEM!A:G,7,FALSE)</f>
        <v>0</v>
      </c>
      <c r="D120" s="4" t="s">
        <v>352</v>
      </c>
      <c r="E120" s="75" t="s">
        <v>1043</v>
      </c>
      <c r="F120" s="91">
        <f>VLOOKUP(D120,CARİDÖNEM!A:G,7,FALSE)-VLOOKUP(D120,CARİDÖNEM!A:F,6,FALSE)</f>
        <v>0</v>
      </c>
    </row>
    <row r="121" spans="1:6">
      <c r="A121" s="3" t="s">
        <v>418</v>
      </c>
      <c r="B121" s="103" t="s">
        <v>971</v>
      </c>
      <c r="C121" s="82">
        <f>SUM(C122:C126)</f>
        <v>0</v>
      </c>
      <c r="D121" s="4" t="s">
        <v>353</v>
      </c>
      <c r="E121" s="75" t="s">
        <v>1044</v>
      </c>
      <c r="F121" s="91">
        <f>VLOOKUP(D121,CARİDÖNEM!A:G,7,FALSE)-VLOOKUP(D121,CARİDÖNEM!A:F,6,FALSE)</f>
        <v>0</v>
      </c>
    </row>
    <row r="122" spans="1:6">
      <c r="A122" s="4" t="s">
        <v>261</v>
      </c>
      <c r="B122" s="75" t="s">
        <v>972</v>
      </c>
      <c r="C122" s="81">
        <f>VLOOKUP(A122,CARİDÖNEM!A:F,6,FALSE)-VLOOKUP(A122,CARİDÖNEM!A:G,7,FALSE)</f>
        <v>0</v>
      </c>
      <c r="D122" s="4" t="s">
        <v>354</v>
      </c>
      <c r="E122" s="75" t="s">
        <v>1045</v>
      </c>
      <c r="F122" s="91">
        <f>VLOOKUP(D122,CARİDÖNEM!A:G,7,FALSE)-VLOOKUP(D122,CARİDÖNEM!A:F,6,FALSE)</f>
        <v>0</v>
      </c>
    </row>
    <row r="123" spans="1:6">
      <c r="A123" s="4" t="s">
        <v>262</v>
      </c>
      <c r="B123" s="75" t="s">
        <v>973</v>
      </c>
      <c r="C123" s="81">
        <f>VLOOKUP(A123,CARİDÖNEM!A:F,6,FALSE)-VLOOKUP(A123,CARİDÖNEM!A:G,7,FALSE)</f>
        <v>0</v>
      </c>
      <c r="D123" s="4" t="s">
        <v>354</v>
      </c>
      <c r="E123" s="75" t="s">
        <v>1368</v>
      </c>
      <c r="F123" s="91">
        <f>VLOOKUP(D123,CARİDÖNEM!A:G,7,FALSE)-VLOOKUP(D123,CARİDÖNEM!A:F,6,FALSE)</f>
        <v>0</v>
      </c>
    </row>
    <row r="124" spans="1:6">
      <c r="A124" s="4" t="s">
        <v>263</v>
      </c>
      <c r="B124" s="75" t="s">
        <v>974</v>
      </c>
      <c r="C124" s="81">
        <f>VLOOKUP(A124,CARİDÖNEM!A:F,6,FALSE)-VLOOKUP(A124,CARİDÖNEM!A:G,7,FALSE)</f>
        <v>0</v>
      </c>
      <c r="D124" s="4" t="s">
        <v>354</v>
      </c>
      <c r="E124" s="75" t="s">
        <v>1369</v>
      </c>
      <c r="F124" s="91">
        <f>VLOOKUP(D124,CARİDÖNEM!A:G,7,FALSE)-VLOOKUP(D124,CARİDÖNEM!A:F,6,FALSE)</f>
        <v>0</v>
      </c>
    </row>
    <row r="125" spans="1:6">
      <c r="A125" s="4" t="s">
        <v>264</v>
      </c>
      <c r="B125" s="75" t="s">
        <v>975</v>
      </c>
      <c r="C125" s="81">
        <f>VLOOKUP(A125,CARİDÖNEM!A:F,6,FALSE)-VLOOKUP(A125,CARİDÖNEM!A:G,7,FALSE)</f>
        <v>0</v>
      </c>
      <c r="D125" s="3" t="s">
        <v>431</v>
      </c>
      <c r="E125" s="73" t="s">
        <v>1046</v>
      </c>
      <c r="F125" s="90">
        <f>SUM(F126:F130)</f>
        <v>565565.84</v>
      </c>
    </row>
    <row r="126" spans="1:6">
      <c r="A126" s="4" t="s">
        <v>265</v>
      </c>
      <c r="B126" s="75" t="s">
        <v>976</v>
      </c>
      <c r="C126" s="81">
        <f>VLOOKUP(A126,CARİDÖNEM!A:F,6,FALSE)-VLOOKUP(A126,CARİDÖNEM!A:G,7,FALSE)</f>
        <v>0</v>
      </c>
      <c r="D126" s="4" t="s">
        <v>355</v>
      </c>
      <c r="E126" s="75" t="s">
        <v>1047</v>
      </c>
      <c r="F126" s="91">
        <f>VLOOKUP(D126,CARİDÖNEM!A:G,7,FALSE)-VLOOKUP(D126,CARİDÖNEM!A:F,6,FALSE)</f>
        <v>0</v>
      </c>
    </row>
    <row r="127" spans="1:6">
      <c r="A127" s="3" t="s">
        <v>419</v>
      </c>
      <c r="B127" s="103" t="s">
        <v>977</v>
      </c>
      <c r="C127" s="82">
        <f>SUM(C128:C129)</f>
        <v>106121.29</v>
      </c>
      <c r="D127" s="4" t="s">
        <v>356</v>
      </c>
      <c r="E127" s="75" t="s">
        <v>1048</v>
      </c>
      <c r="F127" s="91">
        <f>VLOOKUP(D127,CARİDÖNEM!A:G,7,FALSE)-VLOOKUP(D127,CARİDÖNEM!A:F,6,FALSE)</f>
        <v>0</v>
      </c>
    </row>
    <row r="128" spans="1:6">
      <c r="A128" s="4" t="s">
        <v>266</v>
      </c>
      <c r="B128" s="75" t="s">
        <v>978</v>
      </c>
      <c r="C128" s="81">
        <f>VLOOKUP(A128,CARİDÖNEM!A:F,6,FALSE)-VLOOKUP(A128,CARİDÖNEM!A:G,7,FALSE)</f>
        <v>106121.29</v>
      </c>
      <c r="D128" s="4" t="s">
        <v>357</v>
      </c>
      <c r="E128" s="75" t="s">
        <v>1049</v>
      </c>
      <c r="F128" s="91">
        <f>VLOOKUP(D128,CARİDÖNEM!A:G,7,FALSE)-VLOOKUP(D128,CARİDÖNEM!A:F,6,FALSE)</f>
        <v>0</v>
      </c>
    </row>
    <row r="129" spans="1:7">
      <c r="A129" s="4" t="s">
        <v>267</v>
      </c>
      <c r="B129" s="75" t="s">
        <v>936</v>
      </c>
      <c r="C129" s="81">
        <f>VLOOKUP(A129,CARİDÖNEM!A:F,6,FALSE)-VLOOKUP(A129,CARİDÖNEM!A:G,7,FALSE)</f>
        <v>0</v>
      </c>
      <c r="D129" s="4" t="s">
        <v>358</v>
      </c>
      <c r="E129" s="75" t="s">
        <v>1050</v>
      </c>
      <c r="F129" s="91">
        <f>VLOOKUP(D129,CARİDÖNEM!A:G,7,FALSE)-VLOOKUP(D129,CARİDÖNEM!A:F,6,FALSE)</f>
        <v>0</v>
      </c>
    </row>
    <row r="130" spans="1:7">
      <c r="A130" s="3" t="s">
        <v>420</v>
      </c>
      <c r="B130" s="103" t="s">
        <v>979</v>
      </c>
      <c r="C130" s="82">
        <f>SUM(C131:C139)</f>
        <v>0</v>
      </c>
      <c r="D130" s="4" t="s">
        <v>359</v>
      </c>
      <c r="E130" s="75" t="s">
        <v>1367</v>
      </c>
      <c r="F130" s="91">
        <f>VLOOKUP(D130,CARİDÖNEM!A:G,7,FALSE)-VLOOKUP(D130,CARİDÖNEM!A:F,6,FALSE)</f>
        <v>565565.84</v>
      </c>
    </row>
    <row r="131" spans="1:7">
      <c r="A131" s="4" t="s">
        <v>268</v>
      </c>
      <c r="B131" s="75" t="s">
        <v>1344</v>
      </c>
      <c r="C131" s="81">
        <f>VLOOKUP(A131,CARİDÖNEM!A:F,6,FALSE)-VLOOKUP(A131,CARİDÖNEM!A:G,7,FALSE)</f>
        <v>0</v>
      </c>
      <c r="D131" s="3" t="s">
        <v>432</v>
      </c>
      <c r="E131" s="103" t="s">
        <v>1051</v>
      </c>
      <c r="F131" s="90">
        <f>+F132</f>
        <v>14189433.189999999</v>
      </c>
    </row>
    <row r="132" spans="1:7">
      <c r="A132" s="4" t="s">
        <v>269</v>
      </c>
      <c r="B132" s="75" t="s">
        <v>1015</v>
      </c>
      <c r="C132" s="81">
        <f>VLOOKUP(A132,CARİDÖNEM!A:F,6,FALSE)-VLOOKUP(A132,CARİDÖNEM!A:G,7,FALSE)</f>
        <v>0</v>
      </c>
      <c r="D132" s="4" t="s">
        <v>360</v>
      </c>
      <c r="E132" s="8" t="s">
        <v>1370</v>
      </c>
      <c r="F132" s="91">
        <f>VLOOKUP(D132,CARİDÖNEM!A:G,7,FALSE)-VLOOKUP(D132,CARİDÖNEM!A:F,6,FALSE)</f>
        <v>14189433.189999999</v>
      </c>
    </row>
    <row r="133" spans="1:7">
      <c r="A133" s="4" t="s">
        <v>270</v>
      </c>
      <c r="B133" s="75" t="s">
        <v>1345</v>
      </c>
      <c r="C133" s="81">
        <f>VLOOKUP(A133,CARİDÖNEM!A:F,6,FALSE)-VLOOKUP(A133,CARİDÖNEM!A:G,7,FALSE)</f>
        <v>0</v>
      </c>
      <c r="D133" s="3" t="s">
        <v>433</v>
      </c>
      <c r="E133" s="103" t="s">
        <v>1052</v>
      </c>
      <c r="F133" s="90">
        <f>+F134</f>
        <v>0</v>
      </c>
    </row>
    <row r="134" spans="1:7">
      <c r="A134" s="4" t="s">
        <v>271</v>
      </c>
      <c r="B134" s="75" t="s">
        <v>1346</v>
      </c>
      <c r="C134" s="81">
        <f>VLOOKUP(A134,CARİDÖNEM!A:F,6,FALSE)-VLOOKUP(A134,CARİDÖNEM!A:G,7,FALSE)</f>
        <v>0</v>
      </c>
      <c r="D134" s="4" t="s">
        <v>361</v>
      </c>
      <c r="E134" s="8" t="s">
        <v>1371</v>
      </c>
      <c r="F134" s="91">
        <f>VLOOKUP(D134,CARİDÖNEM!A:G,7,FALSE)-VLOOKUP(D134,CARİDÖNEM!A:F,6,FALSE)</f>
        <v>0</v>
      </c>
    </row>
    <row r="135" spans="1:7">
      <c r="A135" s="4" t="s">
        <v>272</v>
      </c>
      <c r="B135" s="75" t="s">
        <v>1347</v>
      </c>
      <c r="C135" s="81">
        <f>VLOOKUP(A135,CARİDÖNEM!A:F,6,FALSE)-VLOOKUP(A135,CARİDÖNEM!A:G,7,FALSE)</f>
        <v>0</v>
      </c>
      <c r="D135" s="3" t="s">
        <v>434</v>
      </c>
      <c r="E135" s="103" t="s">
        <v>1053</v>
      </c>
      <c r="F135" s="90">
        <f>SUM(F136:F137)</f>
        <v>-1351989.8099999926</v>
      </c>
    </row>
    <row r="136" spans="1:7">
      <c r="A136" s="4" t="s">
        <v>980</v>
      </c>
      <c r="B136" s="75" t="s">
        <v>1348</v>
      </c>
      <c r="C136" s="81">
        <f>VLOOKUP(A136,CARİDÖNEM!A:F,6,FALSE)-VLOOKUP(A136,CARİDÖNEM!A:G,7,FALSE)</f>
        <v>0</v>
      </c>
      <c r="D136" s="4" t="s">
        <v>362</v>
      </c>
      <c r="E136" s="4" t="s">
        <v>1372</v>
      </c>
      <c r="F136" s="98">
        <f>IF('GELİR TABLOSU'!C59&gt;0,'GELİR TABLOSU'!C59,0)</f>
        <v>0</v>
      </c>
    </row>
    <row r="137" spans="1:7">
      <c r="A137" s="4" t="s">
        <v>273</v>
      </c>
      <c r="B137" s="75" t="s">
        <v>1349</v>
      </c>
      <c r="C137" s="81">
        <f>VLOOKUP(A137,CARİDÖNEM!A:F,6,FALSE)-VLOOKUP(A137,CARİDÖNEM!A:G,7,FALSE)</f>
        <v>0</v>
      </c>
      <c r="D137" s="4" t="s">
        <v>363</v>
      </c>
      <c r="E137" s="4" t="s">
        <v>1373</v>
      </c>
      <c r="F137" s="91">
        <f>IF('GELİR TABLOSU'!C59&lt;0,'GELİR TABLOSU'!C59,0)</f>
        <v>-1351989.8099999926</v>
      </c>
    </row>
    <row r="138" spans="1:7">
      <c r="A138" s="4" t="s">
        <v>274</v>
      </c>
      <c r="B138" s="75" t="s">
        <v>1350</v>
      </c>
      <c r="C138" s="81">
        <f>VLOOKUP(A138,CARİDÖNEM!A:F,6,FALSE)-VLOOKUP(A138,CARİDÖNEM!A:G,7,FALSE)</f>
        <v>0</v>
      </c>
      <c r="D138" s="4"/>
      <c r="E138" s="75"/>
      <c r="F138" s="91"/>
    </row>
    <row r="139" spans="1:7">
      <c r="A139" s="5" t="s">
        <v>275</v>
      </c>
      <c r="B139" s="76" t="s">
        <v>1351</v>
      </c>
      <c r="C139" s="83">
        <f>VLOOKUP(A139,CARİDÖNEM!A:F,6,FALSE)-VLOOKUP(A139,CARİDÖNEM!A:G,7,FALSE)</f>
        <v>0</v>
      </c>
      <c r="D139" s="5"/>
      <c r="E139" s="76"/>
      <c r="F139" s="92"/>
      <c r="G139" s="55"/>
    </row>
    <row r="140" spans="1:7">
      <c r="B140" s="8"/>
      <c r="C140" s="84"/>
      <c r="D140" s="8"/>
      <c r="E140" s="8"/>
      <c r="F140" s="99"/>
      <c r="G140" s="55"/>
    </row>
    <row r="141" spans="1:7">
      <c r="B141" s="71" t="s">
        <v>2</v>
      </c>
      <c r="C141" s="79">
        <f>C73</f>
        <v>10909908.34</v>
      </c>
      <c r="D141" s="7"/>
      <c r="E141" s="71" t="s">
        <v>5</v>
      </c>
      <c r="F141" s="89">
        <f>F111</f>
        <v>13796353.590000005</v>
      </c>
    </row>
    <row r="142" spans="1:7">
      <c r="B142" s="71"/>
      <c r="C142" s="88"/>
      <c r="D142" s="7"/>
      <c r="E142" s="71"/>
      <c r="F142" s="100"/>
    </row>
    <row r="143" spans="1:7" ht="11.4">
      <c r="B143" s="77" t="s">
        <v>3</v>
      </c>
      <c r="C143" s="79">
        <f>+C63+C141</f>
        <v>42798872.190000005</v>
      </c>
      <c r="D143" s="7"/>
      <c r="E143" s="77" t="s">
        <v>488</v>
      </c>
      <c r="F143" s="89">
        <f>+F63+F111+F109</f>
        <v>42798872.190000005</v>
      </c>
    </row>
    <row r="145" spans="6:6">
      <c r="F145" s="102">
        <f>+C143-F143</f>
        <v>0</v>
      </c>
    </row>
  </sheetData>
  <mergeCells count="6">
    <mergeCell ref="A69:F69"/>
    <mergeCell ref="A70:F70"/>
    <mergeCell ref="A2:F2"/>
    <mergeCell ref="A3:F3"/>
    <mergeCell ref="D63:E63"/>
    <mergeCell ref="A63:B63"/>
  </mergeCells>
  <phoneticPr fontId="4" type="noConversion"/>
  <pageMargins left="0.27" right="0.12" top="0.24" bottom="0.36" header="0.17" footer="0.28000000000000003"/>
  <pageSetup paperSize="9"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sheetPr>
    <tabColor rgb="FFFF0000"/>
  </sheetPr>
  <dimension ref="A1:J83"/>
  <sheetViews>
    <sheetView workbookViewId="0">
      <selection activeCell="E21" sqref="E21"/>
    </sheetView>
  </sheetViews>
  <sheetFormatPr defaultColWidth="9.21875" defaultRowHeight="11.4"/>
  <cols>
    <col min="1" max="1" width="5.21875" style="21" bestFit="1" customWidth="1"/>
    <col min="2" max="2" width="49.44140625" style="21" customWidth="1"/>
    <col min="3" max="3" width="19.44140625" style="23" customWidth="1"/>
    <col min="4" max="4" width="3.21875" style="21" customWidth="1"/>
    <col min="5" max="5" width="9.21875" style="21"/>
    <col min="6" max="6" width="10.21875" style="21" bestFit="1" customWidth="1"/>
    <col min="7" max="16384" width="9.21875" style="21"/>
  </cols>
  <sheetData>
    <row r="1" spans="1:3">
      <c r="B1" s="22"/>
    </row>
    <row r="2" spans="1:3" ht="13.2">
      <c r="B2" s="127" t="s">
        <v>1660</v>
      </c>
      <c r="C2" s="127"/>
    </row>
    <row r="3" spans="1:3" ht="13.2">
      <c r="B3" s="127" t="s">
        <v>1055</v>
      </c>
      <c r="C3" s="127"/>
    </row>
    <row r="4" spans="1:3" ht="12" thickBot="1">
      <c r="B4" s="24"/>
    </row>
    <row r="5" spans="1:3" ht="18" customHeight="1">
      <c r="A5" s="25"/>
      <c r="B5" s="26"/>
      <c r="C5" s="128" t="s">
        <v>435</v>
      </c>
    </row>
    <row r="6" spans="1:3" ht="13.5" customHeight="1">
      <c r="B6" s="27"/>
      <c r="C6" s="129"/>
    </row>
    <row r="7" spans="1:3" ht="18.75" customHeight="1">
      <c r="B7" s="28" t="s">
        <v>436</v>
      </c>
      <c r="C7" s="20">
        <f>SUM(C8:C10)</f>
        <v>58465507.600000001</v>
      </c>
    </row>
    <row r="8" spans="1:3">
      <c r="A8" s="21" t="s">
        <v>364</v>
      </c>
      <c r="B8" s="29" t="s">
        <v>437</v>
      </c>
      <c r="C8" s="30">
        <f>VLOOKUP(A8,CARİDÖNEM!A:G,7,FALSE)+VLOOKUP(A8,CARİDÖNEM!A:F,6,FALSE)</f>
        <v>48472645.009999998</v>
      </c>
    </row>
    <row r="9" spans="1:3">
      <c r="A9" s="21" t="s">
        <v>365</v>
      </c>
      <c r="B9" s="29" t="s">
        <v>438</v>
      </c>
      <c r="C9" s="30">
        <f>VLOOKUP(A9,CARİDÖNEM!A:G,7,FALSE)+VLOOKUP(A9,CARİDÖNEM!A:F,6,FALSE)</f>
        <v>9543065.2699999996</v>
      </c>
    </row>
    <row r="10" spans="1:3">
      <c r="A10" s="21" t="s">
        <v>366</v>
      </c>
      <c r="B10" s="29" t="s">
        <v>439</v>
      </c>
      <c r="C10" s="30">
        <f>VLOOKUP(A10,CARİDÖNEM!A:G,7,FALSE)+VLOOKUP(A10,CARİDÖNEM!A:F,6,FALSE)</f>
        <v>449797.32</v>
      </c>
    </row>
    <row r="11" spans="1:3">
      <c r="B11" s="28" t="s">
        <v>440</v>
      </c>
      <c r="C11" s="20">
        <f>SUM(C12:C14)</f>
        <v>374449.3</v>
      </c>
    </row>
    <row r="12" spans="1:3">
      <c r="A12" s="21" t="s">
        <v>367</v>
      </c>
      <c r="B12" s="29" t="s">
        <v>441</v>
      </c>
      <c r="C12" s="30">
        <f>VLOOKUP(A12,CARİDÖNEM!A:G,7,FALSE)+VLOOKUP(A12,CARİDÖNEM!A:F,6,FALSE)</f>
        <v>355451.5</v>
      </c>
    </row>
    <row r="13" spans="1:3">
      <c r="A13" s="21" t="s">
        <v>368</v>
      </c>
      <c r="B13" s="29" t="s">
        <v>442</v>
      </c>
      <c r="C13" s="30">
        <f>VLOOKUP(A13,CARİDÖNEM!A:G,7,FALSE)+VLOOKUP(A13,CARİDÖNEM!A:F,6,FALSE)</f>
        <v>0</v>
      </c>
    </row>
    <row r="14" spans="1:3">
      <c r="A14" s="21" t="s">
        <v>369</v>
      </c>
      <c r="B14" s="29" t="s">
        <v>443</v>
      </c>
      <c r="C14" s="30">
        <f>VLOOKUP(A14,CARİDÖNEM!A:G,7,FALSE)+VLOOKUP(A14,CARİDÖNEM!A:F,6,FALSE)</f>
        <v>18997.8</v>
      </c>
    </row>
    <row r="15" spans="1:3">
      <c r="B15" s="28" t="s">
        <v>444</v>
      </c>
      <c r="C15" s="20">
        <f>C7-C11</f>
        <v>58091058.300000004</v>
      </c>
    </row>
    <row r="16" spans="1:3">
      <c r="B16" s="28" t="s">
        <v>445</v>
      </c>
      <c r="C16" s="20">
        <f>SUM(C17:C20)</f>
        <v>46047327.729999997</v>
      </c>
    </row>
    <row r="17" spans="1:3">
      <c r="A17" s="21" t="s">
        <v>370</v>
      </c>
      <c r="B17" s="29" t="s">
        <v>446</v>
      </c>
      <c r="C17" s="30">
        <f>VLOOKUP(A17,CARİDÖNEM!A:G,7,FALSE)+VLOOKUP(A17,CARİDÖNEM!A:F,6,FALSE)</f>
        <v>40699685.399999999</v>
      </c>
    </row>
    <row r="18" spans="1:3">
      <c r="A18" s="21" t="s">
        <v>371</v>
      </c>
      <c r="B18" s="29" t="s">
        <v>447</v>
      </c>
      <c r="C18" s="30">
        <f>VLOOKUP(A18,CARİDÖNEM!A:G,7,FALSE)+VLOOKUP(A18,CARİDÖNEM!A:F,6,FALSE)</f>
        <v>4769332</v>
      </c>
    </row>
    <row r="19" spans="1:3">
      <c r="A19" s="21" t="s">
        <v>372</v>
      </c>
      <c r="B19" s="29" t="s">
        <v>448</v>
      </c>
      <c r="C19" s="30">
        <f>VLOOKUP(A19,CARİDÖNEM!A:G,7,FALSE)+VLOOKUP(A19,CARİDÖNEM!A:F,6,FALSE)</f>
        <v>0</v>
      </c>
    </row>
    <row r="20" spans="1:3">
      <c r="A20" s="21" t="s">
        <v>373</v>
      </c>
      <c r="B20" s="29" t="s">
        <v>449</v>
      </c>
      <c r="C20" s="30">
        <f>VLOOKUP(A20,CARİDÖNEM!A:G,7,FALSE)+VLOOKUP(A20,CARİDÖNEM!A:F,6,FALSE)</f>
        <v>578310.32999999996</v>
      </c>
    </row>
    <row r="21" spans="1:3">
      <c r="B21" s="31" t="s">
        <v>450</v>
      </c>
      <c r="C21" s="30">
        <f>(C7-C11)-C16</f>
        <v>12043730.570000008</v>
      </c>
    </row>
    <row r="22" spans="1:3">
      <c r="B22" s="28" t="s">
        <v>451</v>
      </c>
      <c r="C22" s="20">
        <f>SUM(C23:C25)</f>
        <v>12506568.57</v>
      </c>
    </row>
    <row r="23" spans="1:3">
      <c r="A23" s="21" t="s">
        <v>374</v>
      </c>
      <c r="B23" s="29" t="s">
        <v>452</v>
      </c>
      <c r="C23" s="30">
        <f>VLOOKUP(A23,CARİDÖNEM!A:G,7,FALSE)+VLOOKUP(A23,CARİDÖNEM!A:F,6,FALSE)</f>
        <v>2017980.92</v>
      </c>
    </row>
    <row r="24" spans="1:3">
      <c r="A24" s="21" t="s">
        <v>375</v>
      </c>
      <c r="B24" s="29" t="s">
        <v>453</v>
      </c>
      <c r="C24" s="30">
        <f>VLOOKUP(A24,CARİDÖNEM!A:G,7,FALSE)+VLOOKUP(A24,CARİDÖNEM!A:F,6,FALSE)</f>
        <v>4115122.91</v>
      </c>
    </row>
    <row r="25" spans="1:3">
      <c r="A25" s="21" t="s">
        <v>376</v>
      </c>
      <c r="B25" s="29" t="s">
        <v>454</v>
      </c>
      <c r="C25" s="30">
        <f>VLOOKUP(A25,CARİDÖNEM!A:G,7,FALSE)+VLOOKUP(A25,CARİDÖNEM!A:F,6,FALSE)</f>
        <v>6373464.7400000002</v>
      </c>
    </row>
    <row r="26" spans="1:3">
      <c r="B26" s="31" t="s">
        <v>455</v>
      </c>
      <c r="C26" s="30">
        <f>SUM(C21,-C22)</f>
        <v>-462837.99999999255</v>
      </c>
    </row>
    <row r="27" spans="1:3">
      <c r="B27" s="28" t="s">
        <v>456</v>
      </c>
      <c r="C27" s="20">
        <f>SUM(C28:C37)</f>
        <v>848831.63</v>
      </c>
    </row>
    <row r="28" spans="1:3" ht="13.2">
      <c r="A28" s="1" t="s">
        <v>377</v>
      </c>
      <c r="B28" s="29" t="s">
        <v>457</v>
      </c>
      <c r="C28" s="30">
        <f>VLOOKUP(A28,CARİDÖNEM!A:G,7,FALSE)+VLOOKUP(A28,CARİDÖNEM!A:F,6,FALSE)</f>
        <v>0</v>
      </c>
    </row>
    <row r="29" spans="1:3" ht="13.2">
      <c r="A29" s="1" t="s">
        <v>378</v>
      </c>
      <c r="B29" s="29" t="s">
        <v>458</v>
      </c>
      <c r="C29" s="30">
        <f>VLOOKUP(A29,CARİDÖNEM!A:G,7,FALSE)+VLOOKUP(A29,CARİDÖNEM!A:F,6,FALSE)</f>
        <v>0</v>
      </c>
    </row>
    <row r="30" spans="1:3">
      <c r="A30" s="21" t="s">
        <v>379</v>
      </c>
      <c r="B30" s="29" t="s">
        <v>459</v>
      </c>
      <c r="C30" s="30">
        <f>VLOOKUP(A30,CARİDÖNEM!A:G,7,FALSE)+VLOOKUP(A30,CARİDÖNEM!A:F,6,FALSE)</f>
        <v>0</v>
      </c>
    </row>
    <row r="31" spans="1:3" ht="13.2">
      <c r="A31" s="1" t="s">
        <v>380</v>
      </c>
      <c r="B31" s="29" t="s">
        <v>460</v>
      </c>
      <c r="C31" s="30">
        <f>VLOOKUP(A31,CARİDÖNEM!A:G,7,FALSE)+VLOOKUP(A31,CARİDÖNEM!A:F,6,FALSE)</f>
        <v>0</v>
      </c>
    </row>
    <row r="32" spans="1:3" ht="13.2">
      <c r="A32" s="1" t="s">
        <v>381</v>
      </c>
      <c r="B32" s="29" t="s">
        <v>461</v>
      </c>
      <c r="C32" s="30">
        <f>VLOOKUP(A32,CARİDÖNEM!A:G,7,FALSE)+VLOOKUP(A32,CARİDÖNEM!A:F,6,FALSE)</f>
        <v>0</v>
      </c>
    </row>
    <row r="33" spans="1:3" ht="13.2">
      <c r="A33" s="1" t="s">
        <v>382</v>
      </c>
      <c r="B33" s="29" t="s">
        <v>462</v>
      </c>
      <c r="C33" s="30">
        <f>VLOOKUP(A33,CARİDÖNEM!A:G,7,FALSE)+VLOOKUP(A33,CARİDÖNEM!A:F,6,FALSE)</f>
        <v>0</v>
      </c>
    </row>
    <row r="34" spans="1:3" ht="13.2">
      <c r="A34" s="1" t="s">
        <v>383</v>
      </c>
      <c r="B34" s="29" t="s">
        <v>463</v>
      </c>
      <c r="C34" s="30">
        <f>VLOOKUP(A34,CARİDÖNEM!A:G,7,FALSE)+VLOOKUP(A34,CARİDÖNEM!A:F,6,FALSE)</f>
        <v>337735.13</v>
      </c>
    </row>
    <row r="35" spans="1:3" ht="13.2">
      <c r="A35" s="1" t="s">
        <v>384</v>
      </c>
      <c r="B35" s="29" t="s">
        <v>464</v>
      </c>
      <c r="C35" s="30">
        <f>VLOOKUP(A35,CARİDÖNEM!A:G,7,FALSE)+VLOOKUP(A35,CARİDÖNEM!A:F,6,FALSE)</f>
        <v>0</v>
      </c>
    </row>
    <row r="36" spans="1:3" ht="13.2">
      <c r="A36" s="1" t="s">
        <v>385</v>
      </c>
      <c r="B36" s="29" t="s">
        <v>465</v>
      </c>
      <c r="C36" s="30">
        <f>VLOOKUP(A36,CARİDÖNEM!A:G,7,FALSE)+VLOOKUP(A36,CARİDÖNEM!A:F,6,FALSE)</f>
        <v>0</v>
      </c>
    </row>
    <row r="37" spans="1:3" ht="13.2">
      <c r="A37" s="1" t="s">
        <v>386</v>
      </c>
      <c r="B37" s="29" t="s">
        <v>856</v>
      </c>
      <c r="C37" s="30">
        <f>VLOOKUP(A37,CARİDÖNEM!A:G,7,FALSE)+VLOOKUP(A37,CARİDÖNEM!A:F,6,FALSE)</f>
        <v>511096.5</v>
      </c>
    </row>
    <row r="38" spans="1:3">
      <c r="B38" s="28" t="s">
        <v>466</v>
      </c>
      <c r="C38" s="20">
        <f>SUM(C39:C45)</f>
        <v>1435160.75</v>
      </c>
    </row>
    <row r="39" spans="1:3" ht="13.2">
      <c r="A39" s="1" t="s">
        <v>387</v>
      </c>
      <c r="B39" s="29" t="s">
        <v>467</v>
      </c>
      <c r="C39" s="30">
        <f>VLOOKUP(A39,CARİDÖNEM!A:G,7,FALSE)+VLOOKUP(A39,CARİDÖNEM!A:F,6,FALSE)</f>
        <v>570440.12</v>
      </c>
    </row>
    <row r="40" spans="1:3" ht="13.2">
      <c r="A40" s="1" t="s">
        <v>388</v>
      </c>
      <c r="B40" s="29" t="s">
        <v>468</v>
      </c>
      <c r="C40" s="30">
        <f>VLOOKUP(A40,CARİDÖNEM!A:G,7,FALSE)+VLOOKUP(A40,CARİDÖNEM!A:F,6,FALSE)</f>
        <v>0</v>
      </c>
    </row>
    <row r="41" spans="1:3" ht="13.2">
      <c r="A41" s="1" t="s">
        <v>389</v>
      </c>
      <c r="B41" s="29" t="s">
        <v>469</v>
      </c>
      <c r="C41" s="30">
        <f>VLOOKUP(A41,CARİDÖNEM!A:G,7,FALSE)+VLOOKUP(A41,CARİDÖNEM!A:F,6,FALSE)</f>
        <v>0</v>
      </c>
    </row>
    <row r="42" spans="1:3" ht="13.2">
      <c r="A42" s="1" t="s">
        <v>390</v>
      </c>
      <c r="B42" s="29" t="s">
        <v>470</v>
      </c>
      <c r="C42" s="30">
        <f>VLOOKUP(A42,CARİDÖNEM!A:G,7,FALSE)+VLOOKUP(A42,CARİDÖNEM!A:F,6,FALSE)</f>
        <v>797940.23</v>
      </c>
    </row>
    <row r="43" spans="1:3" ht="13.2">
      <c r="A43" s="1" t="s">
        <v>391</v>
      </c>
      <c r="B43" s="29" t="s">
        <v>471</v>
      </c>
      <c r="C43" s="30">
        <f>VLOOKUP(A43,CARİDÖNEM!A:G,7,FALSE)+VLOOKUP(A43,CARİDÖNEM!A:F,6,FALSE)</f>
        <v>0</v>
      </c>
    </row>
    <row r="44" spans="1:3" ht="13.2">
      <c r="A44" s="1" t="s">
        <v>859</v>
      </c>
      <c r="B44" s="29" t="s">
        <v>857</v>
      </c>
      <c r="C44" s="30">
        <f>VLOOKUP(A44,CARİDÖNEM!A:G,7,FALSE)+VLOOKUP(A44,CARİDÖNEM!A:F,6,FALSE)</f>
        <v>64487.22</v>
      </c>
    </row>
    <row r="45" spans="1:3" ht="13.2">
      <c r="A45" s="1" t="s">
        <v>392</v>
      </c>
      <c r="B45" s="29" t="s">
        <v>858</v>
      </c>
      <c r="C45" s="30">
        <f>VLOOKUP(A45,CARİDÖNEM!A:G,7,FALSE)+VLOOKUP(A45,CARİDÖNEM!A:F,6,FALSE)</f>
        <v>2293.1799999999998</v>
      </c>
    </row>
    <row r="46" spans="1:3" s="32" customFormat="1">
      <c r="B46" s="28" t="s">
        <v>472</v>
      </c>
      <c r="C46" s="20">
        <f>SUM(C47:C48)</f>
        <v>38849.589999999997</v>
      </c>
    </row>
    <row r="47" spans="1:3">
      <c r="A47" s="21" t="s">
        <v>393</v>
      </c>
      <c r="B47" s="29" t="s">
        <v>473</v>
      </c>
      <c r="C47" s="30">
        <f>VLOOKUP(A47,CARİDÖNEM!A:G,7,FALSE)+VLOOKUP(A47,CARİDÖNEM!A:F,6,FALSE)</f>
        <v>38849.589999999997</v>
      </c>
    </row>
    <row r="48" spans="1:3">
      <c r="A48" s="21" t="s">
        <v>394</v>
      </c>
      <c r="B48" s="29" t="s">
        <v>474</v>
      </c>
      <c r="C48" s="30">
        <f>VLOOKUP(A48,CARİDÖNEM!A:G,7,FALSE)+VLOOKUP(A48,CARİDÖNEM!A:F,6,FALSE)</f>
        <v>0</v>
      </c>
    </row>
    <row r="49" spans="1:10">
      <c r="B49" s="31" t="s">
        <v>475</v>
      </c>
      <c r="C49" s="30">
        <f>(((((C7-C11)-C16)-C22)+C27)-C38)-C46</f>
        <v>-1088016.7099999927</v>
      </c>
    </row>
    <row r="50" spans="1:10">
      <c r="B50" s="28" t="s">
        <v>476</v>
      </c>
      <c r="C50" s="30">
        <f>C51+C52</f>
        <v>25909.78</v>
      </c>
    </row>
    <row r="51" spans="1:10" ht="13.2">
      <c r="A51" s="1" t="s">
        <v>395</v>
      </c>
      <c r="B51" s="29" t="s">
        <v>477</v>
      </c>
      <c r="C51" s="30">
        <f>VLOOKUP(A51,CARİDÖNEM!A:G,7,FALSE)+VLOOKUP(A51,CARİDÖNEM!A:F,6,FALSE)</f>
        <v>0</v>
      </c>
    </row>
    <row r="52" spans="1:10" ht="13.2">
      <c r="A52" s="1" t="s">
        <v>396</v>
      </c>
      <c r="B52" s="29" t="s">
        <v>478</v>
      </c>
      <c r="C52" s="30">
        <f>VLOOKUP(A52,CARİDÖNEM!A:G,7,FALSE)+VLOOKUP(A52,CARİDÖNEM!A:F,6,FALSE)</f>
        <v>25909.78</v>
      </c>
    </row>
    <row r="53" spans="1:10">
      <c r="B53" s="28" t="s">
        <v>479</v>
      </c>
      <c r="C53" s="20">
        <f>SUM(C54:C56)</f>
        <v>289882.88</v>
      </c>
    </row>
    <row r="54" spans="1:10" ht="13.2">
      <c r="A54" s="1" t="s">
        <v>397</v>
      </c>
      <c r="B54" s="29" t="s">
        <v>480</v>
      </c>
      <c r="C54" s="30">
        <f>VLOOKUP(A54,CARİDÖNEM!A:G,7,FALSE)+VLOOKUP(A54,CARİDÖNEM!A:F,6,FALSE)</f>
        <v>0</v>
      </c>
    </row>
    <row r="55" spans="1:10" ht="13.2">
      <c r="A55" s="1" t="s">
        <v>398</v>
      </c>
      <c r="B55" s="29" t="s">
        <v>481</v>
      </c>
      <c r="C55" s="30">
        <f>VLOOKUP(A55,CARİDÖNEM!A:G,7,FALSE)+VLOOKUP(A55,CARİDÖNEM!A:F,6,FALSE)</f>
        <v>0</v>
      </c>
    </row>
    <row r="56" spans="1:10" ht="13.2">
      <c r="A56" s="1" t="s">
        <v>399</v>
      </c>
      <c r="B56" s="29" t="s">
        <v>482</v>
      </c>
      <c r="C56" s="30">
        <f>VLOOKUP(A56,CARİDÖNEM!A:G,7,FALSE)+VLOOKUP(A56,CARİDÖNEM!A:F,6,FALSE)</f>
        <v>289882.88</v>
      </c>
      <c r="I56" s="33"/>
      <c r="J56" s="33"/>
    </row>
    <row r="57" spans="1:10">
      <c r="B57" s="28" t="s">
        <v>483</v>
      </c>
      <c r="C57" s="30">
        <f>(((((((C7-C11)-C16)-C22)+C27)-C38)-C46)+C50)-C53</f>
        <v>-1351989.8099999926</v>
      </c>
      <c r="F57" s="33"/>
      <c r="G57" s="33"/>
    </row>
    <row r="58" spans="1:10" ht="15" customHeight="1">
      <c r="A58" s="21" t="s">
        <v>555</v>
      </c>
      <c r="B58" s="28" t="s">
        <v>484</v>
      </c>
      <c r="C58" s="30">
        <f>VLOOKUP(A58,CARİDÖNEM!A:G,7,FALSE)+VLOOKUP(A58,CARİDÖNEM!A:F,6,FALSE)</f>
        <v>0</v>
      </c>
    </row>
    <row r="59" spans="1:10" ht="22.5" customHeight="1" thickBot="1">
      <c r="B59" s="34" t="s">
        <v>485</v>
      </c>
      <c r="C59" s="35">
        <f>((((((((C7-C11)-C16)-C22)+C27)-C38)-C46)+C50)-C53)-C58</f>
        <v>-1351989.8099999926</v>
      </c>
      <c r="E59" s="33"/>
      <c r="F59" s="33"/>
    </row>
    <row r="60" spans="1:10">
      <c r="B60" s="25"/>
      <c r="C60" s="36"/>
    </row>
    <row r="62" spans="1:10">
      <c r="B62" s="21" t="s">
        <v>801</v>
      </c>
      <c r="C62" s="23">
        <f>+C57</f>
        <v>-1351989.8099999926</v>
      </c>
    </row>
    <row r="63" spans="1:10">
      <c r="B63" s="21" t="s">
        <v>802</v>
      </c>
      <c r="C63" s="23">
        <f>+GETPIVOTDATA("Toplam Borç Tutarı",KKEG!$D$350)</f>
        <v>289882.88000000012</v>
      </c>
    </row>
    <row r="64" spans="1:10">
      <c r="B64" s="21" t="s">
        <v>803</v>
      </c>
      <c r="C64" s="23">
        <v>0</v>
      </c>
    </row>
    <row r="65" spans="2:3">
      <c r="B65" s="21" t="s">
        <v>804</v>
      </c>
      <c r="C65" s="23">
        <f>+C63+C64</f>
        <v>289882.88000000012</v>
      </c>
    </row>
    <row r="66" spans="2:3">
      <c r="B66" s="62" t="s">
        <v>805</v>
      </c>
      <c r="C66" s="63">
        <f>+C62+C65</f>
        <v>-1062106.9299999925</v>
      </c>
    </row>
    <row r="68" spans="2:3">
      <c r="B68" s="21" t="s">
        <v>806</v>
      </c>
      <c r="C68" s="23">
        <v>0</v>
      </c>
    </row>
    <row r="69" spans="2:3">
      <c r="B69" s="21" t="s">
        <v>188</v>
      </c>
      <c r="C69" s="23">
        <v>0</v>
      </c>
    </row>
    <row r="70" spans="2:3">
      <c r="B70" s="21" t="s">
        <v>840</v>
      </c>
      <c r="C70" s="23">
        <f>+C69+C68</f>
        <v>0</v>
      </c>
    </row>
    <row r="72" spans="2:3">
      <c r="B72" s="62" t="s">
        <v>807</v>
      </c>
      <c r="C72" s="63">
        <f>+C66-C70</f>
        <v>-1062106.9299999925</v>
      </c>
    </row>
    <row r="73" spans="2:3" s="62" customFormat="1">
      <c r="B73" s="21" t="s">
        <v>841</v>
      </c>
      <c r="C73" s="23">
        <f>IF(C72&gt;0,C72*0.25,0)</f>
        <v>0</v>
      </c>
    </row>
    <row r="74" spans="2:3" s="62" customFormat="1" ht="22.8">
      <c r="B74" s="68" t="s">
        <v>842</v>
      </c>
      <c r="C74" s="23">
        <v>0</v>
      </c>
    </row>
    <row r="75" spans="2:3">
      <c r="B75" s="62" t="s">
        <v>843</v>
      </c>
      <c r="C75" s="63">
        <f>+C73-C74</f>
        <v>0</v>
      </c>
    </row>
    <row r="77" spans="2:3">
      <c r="B77" s="21" t="s">
        <v>831</v>
      </c>
      <c r="C77" s="23">
        <v>188235.29</v>
      </c>
    </row>
    <row r="78" spans="2:3">
      <c r="B78" s="21" t="s">
        <v>832</v>
      </c>
    </row>
    <row r="79" spans="2:3">
      <c r="B79" s="21" t="s">
        <v>833</v>
      </c>
    </row>
    <row r="80" spans="2:3">
      <c r="B80" s="21" t="s">
        <v>844</v>
      </c>
      <c r="C80" s="23">
        <v>0</v>
      </c>
    </row>
    <row r="81" spans="2:3">
      <c r="B81" s="21" t="s">
        <v>845</v>
      </c>
      <c r="C81" s="23">
        <f>SUM(C77:C80)</f>
        <v>188235.29</v>
      </c>
    </row>
    <row r="83" spans="2:3" ht="22.8">
      <c r="B83" s="69" t="s">
        <v>846</v>
      </c>
      <c r="C83" s="63">
        <f>+C75-C81</f>
        <v>-188235.29</v>
      </c>
    </row>
  </sheetData>
  <mergeCells count="3">
    <mergeCell ref="B3:C3"/>
    <mergeCell ref="B2:C2"/>
    <mergeCell ref="C5:C6"/>
  </mergeCells>
  <pageMargins left="0.85" right="0.75" top="0.21" bottom="0.28000000000000003" header="0.19" footer="0.28000000000000003"/>
  <pageSetup paperSize="9" scale="98" orientation="portrait" horizontalDpi="4294967293" verticalDpi="144" r:id="rId1"/>
  <headerFooter alignWithMargins="0"/>
</worksheet>
</file>

<file path=xl/worksheets/sheet3.xml><?xml version="1.0" encoding="utf-8"?>
<worksheet xmlns="http://schemas.openxmlformats.org/spreadsheetml/2006/main" xmlns:r="http://schemas.openxmlformats.org/officeDocument/2006/relationships">
  <dimension ref="A1:AU309"/>
  <sheetViews>
    <sheetView topLeftCell="A40" workbookViewId="0">
      <selection activeCell="B55" sqref="B1:L1048576"/>
    </sheetView>
  </sheetViews>
  <sheetFormatPr defaultColWidth="8.77734375" defaultRowHeight="13.8"/>
  <cols>
    <col min="1" max="1" width="9.109375" style="13" customWidth="1"/>
    <col min="2" max="14" width="8.88671875" style="37"/>
    <col min="15" max="46" width="9.21875" style="18" customWidth="1"/>
    <col min="47" max="16384" width="8.77734375" style="13"/>
  </cols>
  <sheetData>
    <row r="1" spans="1:47" s="15" customFormat="1">
      <c r="A1" s="16" t="str">
        <f t="shared" ref="A1:A64" si="0">CONCATENATE(B1,"A")</f>
        <v xml:space="preserve">                                                    G E N E L     M İ Z A NA</v>
      </c>
      <c r="B1" s="37" t="s">
        <v>808</v>
      </c>
      <c r="C1" s="37"/>
      <c r="D1" s="37"/>
      <c r="E1" s="37"/>
      <c r="F1" s="37"/>
      <c r="G1" s="37"/>
      <c r="H1" s="37"/>
      <c r="I1" s="37"/>
      <c r="J1" s="37"/>
      <c r="K1" s="37"/>
      <c r="L1" s="37"/>
      <c r="M1" s="37"/>
      <c r="N1" s="37"/>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row>
    <row r="2" spans="1:47" s="15" customFormat="1">
      <c r="A2" s="16" t="str">
        <f t="shared" si="0"/>
        <v>Duyar Pompa ve Hidrofor Sistemleri San. ve Tic.A.Ş                                                                     İşyeri Kod :A</v>
      </c>
      <c r="B2" s="37" t="s">
        <v>1374</v>
      </c>
      <c r="C2" s="37"/>
      <c r="D2" s="37"/>
      <c r="E2" s="37"/>
      <c r="F2" s="37"/>
      <c r="G2" s="37"/>
      <c r="H2" s="37"/>
      <c r="I2" s="37"/>
      <c r="J2" s="37"/>
      <c r="K2" s="37"/>
      <c r="L2" s="37"/>
      <c r="M2" s="37"/>
      <c r="N2" s="37"/>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row>
    <row r="3" spans="1:47" s="15" customFormat="1">
      <c r="A3" s="16" t="str">
        <f t="shared" si="0"/>
        <v>A</v>
      </c>
      <c r="B3" s="37"/>
      <c r="C3" s="37"/>
      <c r="D3" s="37"/>
      <c r="E3" s="37"/>
      <c r="F3" s="37"/>
      <c r="G3" s="37"/>
      <c r="H3" s="37"/>
      <c r="I3" s="37"/>
      <c r="J3" s="37"/>
      <c r="K3" s="37"/>
      <c r="L3" s="37"/>
      <c r="M3" s="37"/>
      <c r="N3" s="37"/>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row>
    <row r="4" spans="1:47">
      <c r="A4" s="16" t="str">
        <f t="shared" si="0"/>
        <v>45523,6597222222A</v>
      </c>
      <c r="B4" s="57">
        <v>45523.659722222219</v>
      </c>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row>
    <row r="5" spans="1:47">
      <c r="A5" s="16" t="str">
        <f t="shared" si="0"/>
        <v>İlgili Tarih: 01/01/2024 - 30/06/2024A</v>
      </c>
      <c r="B5" s="37" t="s">
        <v>854</v>
      </c>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row>
    <row r="6" spans="1:47">
      <c r="A6" s="16" t="str">
        <f t="shared" si="0"/>
        <v>Sayfa No    :     1A</v>
      </c>
      <c r="B6" s="37" t="s">
        <v>617</v>
      </c>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row>
    <row r="7" spans="1:47">
      <c r="A7" s="16" t="str">
        <f t="shared" si="0"/>
        <v>A</v>
      </c>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row>
    <row r="8" spans="1:47">
      <c r="A8" s="16" t="str">
        <f t="shared" si="0"/>
        <v>A</v>
      </c>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row>
    <row r="9" spans="1:47">
      <c r="A9" s="16" t="str">
        <f t="shared" si="0"/>
        <v>A</v>
      </c>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row>
    <row r="10" spans="1:47">
      <c r="A10" s="16" t="str">
        <f t="shared" si="0"/>
        <v>A</v>
      </c>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row>
    <row r="11" spans="1:47">
      <c r="A11" s="16" t="str">
        <f t="shared" si="0"/>
        <v>A</v>
      </c>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row>
    <row r="12" spans="1:47">
      <c r="A12" s="16" t="str">
        <f t="shared" si="0"/>
        <v>A</v>
      </c>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row>
    <row r="13" spans="1:47">
      <c r="A13" s="16" t="str">
        <f t="shared" si="0"/>
        <v>A</v>
      </c>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row>
    <row r="14" spans="1:47">
      <c r="A14" s="16" t="str">
        <f t="shared" si="0"/>
        <v>A</v>
      </c>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row>
    <row r="15" spans="1:47">
      <c r="A15" s="16" t="str">
        <f t="shared" si="0"/>
        <v>A</v>
      </c>
      <c r="D15" s="37" t="s">
        <v>9</v>
      </c>
      <c r="E15" s="37" t="s">
        <v>9</v>
      </c>
      <c r="F15" s="37" t="s">
        <v>10</v>
      </c>
      <c r="G15" s="37" t="s">
        <v>10</v>
      </c>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row>
    <row r="16" spans="1:47">
      <c r="A16" s="16" t="str">
        <f t="shared" si="0"/>
        <v>Hesap KoduA</v>
      </c>
      <c r="B16" s="37" t="s">
        <v>11</v>
      </c>
      <c r="C16" s="37" t="s">
        <v>12</v>
      </c>
      <c r="D16" s="37" t="s">
        <v>13</v>
      </c>
      <c r="E16" s="37" t="s">
        <v>14</v>
      </c>
      <c r="F16" s="37" t="s">
        <v>13</v>
      </c>
      <c r="G16" s="37" t="s">
        <v>14</v>
      </c>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row>
    <row r="17" spans="1:7">
      <c r="A17" s="16" t="str">
        <f t="shared" si="0"/>
        <v>-------------------------A</v>
      </c>
      <c r="B17" s="37" t="s">
        <v>549</v>
      </c>
      <c r="C17" s="37" t="s">
        <v>550</v>
      </c>
      <c r="D17" s="37" t="s">
        <v>551</v>
      </c>
      <c r="E17" s="37" t="s">
        <v>551</v>
      </c>
      <c r="F17" s="37" t="s">
        <v>552</v>
      </c>
      <c r="G17" s="37" t="s">
        <v>552</v>
      </c>
    </row>
    <row r="18" spans="1:7">
      <c r="A18" s="16" t="str">
        <f t="shared" si="0"/>
        <v>1A</v>
      </c>
      <c r="B18" s="37">
        <v>1</v>
      </c>
      <c r="C18" s="37" t="s">
        <v>0</v>
      </c>
      <c r="D18" s="37">
        <v>0</v>
      </c>
      <c r="E18" s="37">
        <v>0</v>
      </c>
      <c r="F18" s="37">
        <v>0</v>
      </c>
      <c r="G18" s="37">
        <v>0</v>
      </c>
    </row>
    <row r="19" spans="1:7">
      <c r="A19" s="16" t="str">
        <f t="shared" si="0"/>
        <v>100A</v>
      </c>
      <c r="B19" s="37">
        <v>100</v>
      </c>
      <c r="C19" s="37" t="s">
        <v>498</v>
      </c>
      <c r="D19" s="37">
        <v>0</v>
      </c>
      <c r="E19" s="37">
        <v>0</v>
      </c>
      <c r="F19" s="37">
        <v>0</v>
      </c>
      <c r="G19" s="37">
        <v>0</v>
      </c>
    </row>
    <row r="20" spans="1:7">
      <c r="A20" s="16" t="str">
        <f t="shared" si="0"/>
        <v>101A</v>
      </c>
      <c r="B20" s="37">
        <v>101</v>
      </c>
      <c r="C20" s="37" t="s">
        <v>15</v>
      </c>
      <c r="D20" s="38">
        <v>46339432.920000002</v>
      </c>
      <c r="E20" s="38">
        <v>43086404.920000002</v>
      </c>
      <c r="F20" s="38">
        <v>3253028</v>
      </c>
      <c r="G20" s="37">
        <v>0</v>
      </c>
    </row>
    <row r="21" spans="1:7">
      <c r="A21" s="16" t="str">
        <f t="shared" si="0"/>
        <v>102A</v>
      </c>
      <c r="B21" s="37">
        <v>102</v>
      </c>
      <c r="C21" s="37" t="s">
        <v>16</v>
      </c>
      <c r="D21" s="38">
        <v>50247000.25</v>
      </c>
      <c r="E21" s="38">
        <v>49242521.210000001</v>
      </c>
      <c r="F21" s="38">
        <v>1004479.04</v>
      </c>
      <c r="G21" s="37">
        <v>0</v>
      </c>
    </row>
    <row r="22" spans="1:7">
      <c r="A22" s="16" t="str">
        <f t="shared" si="0"/>
        <v>103A</v>
      </c>
      <c r="B22" s="37">
        <v>103</v>
      </c>
      <c r="C22" s="37" t="s">
        <v>499</v>
      </c>
      <c r="D22" s="37">
        <v>0</v>
      </c>
      <c r="E22" s="37">
        <v>0</v>
      </c>
      <c r="F22" s="37">
        <v>0</v>
      </c>
      <c r="G22" s="37">
        <v>0</v>
      </c>
    </row>
    <row r="23" spans="1:7">
      <c r="A23" s="16" t="str">
        <f t="shared" si="0"/>
        <v>108A</v>
      </c>
      <c r="B23" s="37">
        <v>108</v>
      </c>
      <c r="C23" s="37" t="s">
        <v>97</v>
      </c>
      <c r="D23" s="37">
        <v>0</v>
      </c>
      <c r="E23" s="37">
        <v>0</v>
      </c>
      <c r="F23" s="37">
        <v>0</v>
      </c>
      <c r="G23" s="37">
        <v>0</v>
      </c>
    </row>
    <row r="24" spans="1:7">
      <c r="A24" s="16" t="str">
        <f t="shared" si="0"/>
        <v>110A</v>
      </c>
      <c r="B24" s="37">
        <v>110</v>
      </c>
      <c r="C24" s="37" t="s">
        <v>98</v>
      </c>
      <c r="D24" s="37">
        <v>0</v>
      </c>
      <c r="E24" s="37">
        <v>0</v>
      </c>
      <c r="F24" s="37">
        <v>0</v>
      </c>
      <c r="G24" s="37">
        <v>0</v>
      </c>
    </row>
    <row r="25" spans="1:7">
      <c r="A25" s="16" t="str">
        <f t="shared" si="0"/>
        <v>111A</v>
      </c>
      <c r="B25" s="37">
        <v>111</v>
      </c>
      <c r="C25" s="37" t="s">
        <v>500</v>
      </c>
      <c r="D25" s="37">
        <v>0</v>
      </c>
      <c r="E25" s="37">
        <v>0</v>
      </c>
      <c r="F25" s="37">
        <v>0</v>
      </c>
      <c r="G25" s="37">
        <v>0</v>
      </c>
    </row>
    <row r="26" spans="1:7">
      <c r="A26" s="16" t="str">
        <f t="shared" si="0"/>
        <v>112A</v>
      </c>
      <c r="B26" s="37">
        <v>112</v>
      </c>
      <c r="C26" s="37" t="s">
        <v>501</v>
      </c>
      <c r="D26" s="37">
        <v>0</v>
      </c>
      <c r="E26" s="37">
        <v>0</v>
      </c>
      <c r="F26" s="37">
        <v>0</v>
      </c>
      <c r="G26" s="37">
        <v>0</v>
      </c>
    </row>
    <row r="27" spans="1:7">
      <c r="A27" s="16" t="str">
        <f t="shared" si="0"/>
        <v>120A</v>
      </c>
      <c r="B27" s="37">
        <v>120</v>
      </c>
      <c r="C27" s="37" t="s">
        <v>99</v>
      </c>
      <c r="D27" s="38">
        <v>79069143.5</v>
      </c>
      <c r="E27" s="38">
        <v>70698491.060000002</v>
      </c>
      <c r="F27" s="38">
        <v>8370652.4400000004</v>
      </c>
      <c r="G27" s="37">
        <v>0</v>
      </c>
    </row>
    <row r="28" spans="1:7">
      <c r="A28" s="16" t="str">
        <f t="shared" si="0"/>
        <v>121A</v>
      </c>
      <c r="B28" s="37">
        <v>121</v>
      </c>
      <c r="C28" s="37" t="s">
        <v>17</v>
      </c>
      <c r="D28" s="38">
        <v>5140258.16</v>
      </c>
      <c r="E28" s="38">
        <v>5140258.16</v>
      </c>
      <c r="F28" s="37">
        <v>0</v>
      </c>
      <c r="G28" s="37">
        <v>0</v>
      </c>
    </row>
    <row r="29" spans="1:7">
      <c r="A29" s="16" t="str">
        <f t="shared" si="0"/>
        <v>122A</v>
      </c>
      <c r="B29" s="37">
        <v>122</v>
      </c>
      <c r="C29" s="37" t="s">
        <v>100</v>
      </c>
      <c r="D29" s="37">
        <v>0</v>
      </c>
      <c r="E29" s="37">
        <v>0</v>
      </c>
      <c r="F29" s="37">
        <v>0</v>
      </c>
      <c r="G29" s="37">
        <v>0</v>
      </c>
    </row>
    <row r="30" spans="1:7">
      <c r="A30" s="16" t="str">
        <f t="shared" si="0"/>
        <v>124A</v>
      </c>
      <c r="B30" s="37">
        <v>124</v>
      </c>
      <c r="C30" s="37" t="s">
        <v>101</v>
      </c>
      <c r="D30" s="37">
        <v>0</v>
      </c>
      <c r="E30" s="37">
        <v>0</v>
      </c>
      <c r="F30" s="37">
        <v>0</v>
      </c>
      <c r="G30" s="37">
        <v>0</v>
      </c>
    </row>
    <row r="31" spans="1:7">
      <c r="A31" s="16" t="str">
        <f t="shared" si="0"/>
        <v>126A</v>
      </c>
      <c r="B31" s="37">
        <v>126</v>
      </c>
      <c r="C31" s="37" t="s">
        <v>102</v>
      </c>
      <c r="D31" s="38">
        <v>36139.1</v>
      </c>
      <c r="E31" s="37">
        <v>0</v>
      </c>
      <c r="F31" s="38">
        <v>36139.1</v>
      </c>
      <c r="G31" s="37">
        <v>0</v>
      </c>
    </row>
    <row r="32" spans="1:7">
      <c r="A32" s="16" t="str">
        <f t="shared" si="0"/>
        <v>127A</v>
      </c>
      <c r="B32" s="37">
        <v>127</v>
      </c>
      <c r="C32" s="37" t="s">
        <v>502</v>
      </c>
      <c r="D32" s="37">
        <v>0</v>
      </c>
      <c r="E32" s="37">
        <v>0</v>
      </c>
      <c r="F32" s="37">
        <v>0</v>
      </c>
      <c r="G32" s="37">
        <v>0</v>
      </c>
    </row>
    <row r="33" spans="1:7">
      <c r="A33" s="16" t="str">
        <f t="shared" si="0"/>
        <v>128A</v>
      </c>
      <c r="B33" s="37">
        <v>128</v>
      </c>
      <c r="C33" s="37" t="s">
        <v>103</v>
      </c>
      <c r="D33" s="37">
        <v>0</v>
      </c>
      <c r="E33" s="37">
        <v>0</v>
      </c>
      <c r="F33" s="37">
        <v>0</v>
      </c>
      <c r="G33" s="37">
        <v>0</v>
      </c>
    </row>
    <row r="34" spans="1:7">
      <c r="A34" s="16" t="str">
        <f t="shared" si="0"/>
        <v>129A</v>
      </c>
      <c r="B34" s="37">
        <v>129</v>
      </c>
      <c r="C34" s="37" t="s">
        <v>104</v>
      </c>
      <c r="D34" s="37">
        <v>0</v>
      </c>
      <c r="E34" s="37">
        <v>0</v>
      </c>
      <c r="F34" s="37">
        <v>0</v>
      </c>
      <c r="G34" s="37">
        <v>0</v>
      </c>
    </row>
    <row r="35" spans="1:7">
      <c r="A35" s="16" t="str">
        <f t="shared" si="0"/>
        <v>131A</v>
      </c>
      <c r="B35" s="37">
        <v>131</v>
      </c>
      <c r="C35" s="37" t="s">
        <v>106</v>
      </c>
      <c r="D35" s="37">
        <v>0</v>
      </c>
      <c r="E35" s="37">
        <v>0</v>
      </c>
      <c r="F35" s="37">
        <v>0</v>
      </c>
      <c r="G35" s="37">
        <v>0</v>
      </c>
    </row>
    <row r="36" spans="1:7">
      <c r="A36" s="16" t="str">
        <f t="shared" si="0"/>
        <v>132A</v>
      </c>
      <c r="B36" s="37">
        <v>132</v>
      </c>
      <c r="C36" s="37" t="s">
        <v>107</v>
      </c>
      <c r="D36" s="37">
        <v>0</v>
      </c>
      <c r="E36" s="37">
        <v>0</v>
      </c>
      <c r="F36" s="37">
        <v>0</v>
      </c>
      <c r="G36" s="37">
        <v>0</v>
      </c>
    </row>
    <row r="37" spans="1:7">
      <c r="A37" s="16" t="str">
        <f t="shared" si="0"/>
        <v>133A</v>
      </c>
      <c r="B37" s="37">
        <v>133</v>
      </c>
      <c r="C37" s="37" t="s">
        <v>108</v>
      </c>
      <c r="D37" s="37">
        <v>0</v>
      </c>
      <c r="E37" s="37">
        <v>0</v>
      </c>
      <c r="F37" s="37">
        <v>0</v>
      </c>
      <c r="G37" s="37">
        <v>0</v>
      </c>
    </row>
    <row r="38" spans="1:7">
      <c r="A38" s="16" t="str">
        <f t="shared" si="0"/>
        <v>135A</v>
      </c>
      <c r="B38" s="37">
        <v>135</v>
      </c>
      <c r="C38" s="37" t="s">
        <v>109</v>
      </c>
      <c r="D38" s="37">
        <v>0</v>
      </c>
      <c r="E38" s="37">
        <v>0</v>
      </c>
      <c r="F38" s="37">
        <v>0</v>
      </c>
      <c r="G38" s="37">
        <v>0</v>
      </c>
    </row>
    <row r="39" spans="1:7">
      <c r="A39" s="16" t="str">
        <f t="shared" si="0"/>
        <v>136A</v>
      </c>
      <c r="B39" s="37">
        <v>136</v>
      </c>
      <c r="C39" s="37" t="s">
        <v>18</v>
      </c>
      <c r="D39" s="38">
        <v>12663.37</v>
      </c>
      <c r="E39" s="37">
        <v>0</v>
      </c>
      <c r="F39" s="38">
        <v>12663.37</v>
      </c>
      <c r="G39" s="37">
        <v>0</v>
      </c>
    </row>
    <row r="40" spans="1:7">
      <c r="A40" s="16" t="str">
        <f t="shared" si="0"/>
        <v>137A</v>
      </c>
      <c r="B40" s="37">
        <v>137</v>
      </c>
      <c r="C40" s="37" t="s">
        <v>110</v>
      </c>
      <c r="D40" s="37">
        <v>0</v>
      </c>
      <c r="E40" s="37">
        <v>0</v>
      </c>
      <c r="F40" s="37">
        <v>0</v>
      </c>
      <c r="G40" s="37">
        <v>0</v>
      </c>
    </row>
    <row r="41" spans="1:7">
      <c r="A41" s="16" t="str">
        <f t="shared" si="0"/>
        <v>138A</v>
      </c>
      <c r="B41" s="37">
        <v>138</v>
      </c>
      <c r="C41" s="37" t="s">
        <v>111</v>
      </c>
      <c r="D41" s="37">
        <v>0</v>
      </c>
      <c r="E41" s="37">
        <v>0</v>
      </c>
      <c r="F41" s="37">
        <v>0</v>
      </c>
      <c r="G41" s="37">
        <v>0</v>
      </c>
    </row>
    <row r="42" spans="1:7">
      <c r="A42" s="16" t="str">
        <f t="shared" si="0"/>
        <v>139A</v>
      </c>
      <c r="B42" s="37">
        <v>139</v>
      </c>
      <c r="C42" s="37" t="s">
        <v>112</v>
      </c>
      <c r="D42" s="37">
        <v>0</v>
      </c>
      <c r="E42" s="37">
        <v>0</v>
      </c>
      <c r="F42" s="37">
        <v>0</v>
      </c>
      <c r="G42" s="37">
        <v>0</v>
      </c>
    </row>
    <row r="43" spans="1:7">
      <c r="A43" s="16" t="str">
        <f t="shared" si="0"/>
        <v>15A</v>
      </c>
      <c r="B43" s="37">
        <v>15</v>
      </c>
      <c r="C43" s="37" t="s">
        <v>113</v>
      </c>
      <c r="D43" s="37">
        <v>0</v>
      </c>
      <c r="E43" s="37">
        <v>0</v>
      </c>
      <c r="F43" s="37">
        <v>0</v>
      </c>
      <c r="G43" s="37">
        <v>0</v>
      </c>
    </row>
    <row r="44" spans="1:7">
      <c r="A44" s="16" t="str">
        <f t="shared" si="0"/>
        <v>150A</v>
      </c>
      <c r="B44" s="37">
        <v>150</v>
      </c>
      <c r="C44" s="37" t="s">
        <v>114</v>
      </c>
      <c r="D44" s="38">
        <v>43428077.32</v>
      </c>
      <c r="E44" s="38">
        <v>34843311.630000003</v>
      </c>
      <c r="F44" s="38">
        <v>8584765.6899999995</v>
      </c>
      <c r="G44" s="37">
        <v>0</v>
      </c>
    </row>
    <row r="45" spans="1:7">
      <c r="A45" s="16" t="str">
        <f t="shared" si="0"/>
        <v>151A</v>
      </c>
      <c r="B45" s="37">
        <v>151</v>
      </c>
      <c r="C45" s="37" t="s">
        <v>489</v>
      </c>
      <c r="D45" s="38">
        <v>39688715.140000001</v>
      </c>
      <c r="E45" s="38">
        <v>33426695.690000001</v>
      </c>
      <c r="F45" s="38">
        <v>6262019.4500000002</v>
      </c>
      <c r="G45" s="37">
        <v>0</v>
      </c>
    </row>
    <row r="46" spans="1:7">
      <c r="A46" s="16" t="str">
        <f t="shared" si="0"/>
        <v>152A</v>
      </c>
      <c r="B46" s="37">
        <v>152</v>
      </c>
      <c r="C46" s="37" t="s">
        <v>503</v>
      </c>
      <c r="D46" s="38">
        <v>42860873.829999998</v>
      </c>
      <c r="E46" s="38">
        <v>41766055.880000003</v>
      </c>
      <c r="F46" s="38">
        <v>1094817.95</v>
      </c>
      <c r="G46" s="37">
        <v>0</v>
      </c>
    </row>
    <row r="47" spans="1:7">
      <c r="A47" s="16" t="str">
        <f t="shared" si="0"/>
        <v>153A</v>
      </c>
      <c r="B47" s="37">
        <v>153</v>
      </c>
      <c r="C47" s="37" t="s">
        <v>115</v>
      </c>
      <c r="D47" s="38">
        <v>5897871.2699999996</v>
      </c>
      <c r="E47" s="38">
        <v>5066757.3</v>
      </c>
      <c r="F47" s="38">
        <v>831113.97</v>
      </c>
      <c r="G47" s="37">
        <v>0</v>
      </c>
    </row>
    <row r="48" spans="1:7">
      <c r="A48" s="16" t="str">
        <f t="shared" si="0"/>
        <v>155A</v>
      </c>
      <c r="B48" s="37">
        <v>155</v>
      </c>
      <c r="C48" s="37" t="s">
        <v>504</v>
      </c>
      <c r="D48" s="37">
        <v>0</v>
      </c>
      <c r="E48" s="37">
        <v>0</v>
      </c>
      <c r="F48" s="37">
        <v>0</v>
      </c>
      <c r="G48" s="37">
        <v>0</v>
      </c>
    </row>
    <row r="49" spans="1:7">
      <c r="A49" s="16" t="str">
        <f t="shared" si="0"/>
        <v>157A</v>
      </c>
      <c r="B49" s="37">
        <v>157</v>
      </c>
      <c r="C49" s="37" t="s">
        <v>116</v>
      </c>
      <c r="D49" s="37">
        <v>0</v>
      </c>
      <c r="E49" s="37">
        <v>0</v>
      </c>
      <c r="F49" s="37">
        <v>0</v>
      </c>
      <c r="G49" s="37">
        <v>0</v>
      </c>
    </row>
    <row r="50" spans="1:7">
      <c r="A50" s="16" t="str">
        <f t="shared" si="0"/>
        <v>158A</v>
      </c>
      <c r="B50" s="37">
        <v>158</v>
      </c>
      <c r="C50" s="37" t="s">
        <v>505</v>
      </c>
      <c r="D50" s="37">
        <v>0</v>
      </c>
      <c r="E50" s="37">
        <v>0</v>
      </c>
      <c r="F50" s="37">
        <v>0</v>
      </c>
      <c r="G50" s="37">
        <v>0</v>
      </c>
    </row>
    <row r="51" spans="1:7">
      <c r="A51" s="16" t="str">
        <f t="shared" si="0"/>
        <v>159A</v>
      </c>
      <c r="B51" s="37">
        <v>159</v>
      </c>
      <c r="C51" s="37" t="s">
        <v>117</v>
      </c>
      <c r="D51" s="38">
        <v>3492435.35</v>
      </c>
      <c r="E51" s="38">
        <v>3016155.35</v>
      </c>
      <c r="F51" s="38">
        <v>476280</v>
      </c>
      <c r="G51" s="37">
        <v>0</v>
      </c>
    </row>
    <row r="52" spans="1:7">
      <c r="A52" s="16" t="str">
        <f t="shared" si="0"/>
        <v>170A</v>
      </c>
      <c r="B52" s="37">
        <v>170</v>
      </c>
      <c r="C52" s="37" t="s">
        <v>118</v>
      </c>
      <c r="D52" s="37">
        <v>0</v>
      </c>
      <c r="E52" s="37">
        <v>0</v>
      </c>
      <c r="F52" s="37">
        <v>0</v>
      </c>
      <c r="G52" s="37">
        <v>0</v>
      </c>
    </row>
    <row r="53" spans="1:7">
      <c r="A53" s="16" t="str">
        <f t="shared" si="0"/>
        <v>178A</v>
      </c>
      <c r="B53" s="37">
        <v>178</v>
      </c>
      <c r="C53" s="37" t="s">
        <v>119</v>
      </c>
      <c r="D53" s="37">
        <v>0</v>
      </c>
      <c r="E53" s="37">
        <v>0</v>
      </c>
      <c r="F53" s="37">
        <v>0</v>
      </c>
      <c r="G53" s="37">
        <v>0</v>
      </c>
    </row>
    <row r="54" spans="1:7">
      <c r="A54" s="16" t="str">
        <f t="shared" si="0"/>
        <v>179A</v>
      </c>
      <c r="B54" s="37">
        <v>179</v>
      </c>
      <c r="C54" s="37" t="s">
        <v>120</v>
      </c>
      <c r="D54" s="37">
        <v>0</v>
      </c>
      <c r="E54" s="37">
        <v>0</v>
      </c>
      <c r="F54" s="37">
        <v>0</v>
      </c>
      <c r="G54" s="37">
        <v>0</v>
      </c>
    </row>
    <row r="55" spans="1:7">
      <c r="A55" s="16" t="str">
        <f t="shared" si="0"/>
        <v>180A</v>
      </c>
      <c r="B55" s="37">
        <v>180</v>
      </c>
      <c r="C55" s="37" t="s">
        <v>19</v>
      </c>
      <c r="D55" s="38">
        <v>1310292.82</v>
      </c>
      <c r="E55" s="38">
        <v>944980.11</v>
      </c>
      <c r="F55" s="38">
        <v>365312.71</v>
      </c>
      <c r="G55" s="37">
        <v>0</v>
      </c>
    </row>
    <row r="56" spans="1:7">
      <c r="A56" s="16" t="str">
        <f t="shared" si="0"/>
        <v>181A</v>
      </c>
      <c r="B56" s="37">
        <v>181</v>
      </c>
      <c r="C56" s="37" t="s">
        <v>506</v>
      </c>
      <c r="D56" s="37">
        <v>0</v>
      </c>
      <c r="E56" s="37">
        <v>0</v>
      </c>
      <c r="F56" s="37">
        <v>0</v>
      </c>
      <c r="G56" s="37">
        <v>0</v>
      </c>
    </row>
    <row r="57" spans="1:7">
      <c r="A57" s="16" t="str">
        <f t="shared" si="0"/>
        <v>190A</v>
      </c>
      <c r="B57" s="37">
        <v>190</v>
      </c>
      <c r="C57" s="37" t="s">
        <v>490</v>
      </c>
      <c r="D57" s="38">
        <v>954925.14</v>
      </c>
      <c r="E57" s="38">
        <v>954925.14</v>
      </c>
      <c r="F57" s="37">
        <v>0</v>
      </c>
      <c r="G57" s="37">
        <v>0</v>
      </c>
    </row>
    <row r="58" spans="1:7">
      <c r="A58" s="16" t="str">
        <f t="shared" si="0"/>
        <v>191A</v>
      </c>
      <c r="B58" s="37">
        <v>191</v>
      </c>
      <c r="C58" s="37" t="s">
        <v>491</v>
      </c>
      <c r="D58" s="38">
        <v>8944619.4000000004</v>
      </c>
      <c r="E58" s="38">
        <v>8944619.4000000004</v>
      </c>
      <c r="F58" s="37">
        <v>0</v>
      </c>
      <c r="G58" s="37">
        <v>0</v>
      </c>
    </row>
    <row r="59" spans="1:7">
      <c r="A59" s="16" t="str">
        <f t="shared" si="0"/>
        <v>192A</v>
      </c>
      <c r="B59" s="37">
        <v>192</v>
      </c>
      <c r="C59" s="37" t="s">
        <v>507</v>
      </c>
      <c r="D59" s="38">
        <v>1182888.97</v>
      </c>
      <c r="E59" s="37">
        <v>0</v>
      </c>
      <c r="F59" s="38">
        <v>1182888.97</v>
      </c>
      <c r="G59" s="37">
        <v>0</v>
      </c>
    </row>
    <row r="60" spans="1:7">
      <c r="A60" s="16" t="str">
        <f t="shared" si="0"/>
        <v>193A</v>
      </c>
      <c r="B60" s="37">
        <v>193</v>
      </c>
      <c r="C60" s="37" t="s">
        <v>121</v>
      </c>
      <c r="D60" s="38">
        <v>188235.29</v>
      </c>
      <c r="E60" s="37">
        <v>0</v>
      </c>
      <c r="F60" s="38">
        <v>188235.29</v>
      </c>
      <c r="G60" s="37">
        <v>0</v>
      </c>
    </row>
    <row r="61" spans="1:7">
      <c r="A61" s="16" t="str">
        <f t="shared" si="0"/>
        <v>195A</v>
      </c>
      <c r="B61" s="37">
        <v>195</v>
      </c>
      <c r="C61" s="37" t="s">
        <v>20</v>
      </c>
      <c r="D61" s="38">
        <v>342978.15</v>
      </c>
      <c r="E61" s="38">
        <v>284410.28000000003</v>
      </c>
      <c r="F61" s="38">
        <v>58567.87</v>
      </c>
      <c r="G61" s="37">
        <v>0</v>
      </c>
    </row>
    <row r="62" spans="1:7">
      <c r="A62" s="16" t="str">
        <f t="shared" si="0"/>
        <v>196A</v>
      </c>
      <c r="B62" s="37">
        <v>196</v>
      </c>
      <c r="C62" s="37" t="s">
        <v>122</v>
      </c>
      <c r="D62" s="38">
        <v>300000</v>
      </c>
      <c r="E62" s="38">
        <v>132000</v>
      </c>
      <c r="F62" s="38">
        <v>168000</v>
      </c>
      <c r="G62" s="37">
        <v>0</v>
      </c>
    </row>
    <row r="63" spans="1:7">
      <c r="A63" s="16" t="str">
        <f t="shared" si="0"/>
        <v>197A</v>
      </c>
      <c r="B63" s="37">
        <v>197</v>
      </c>
      <c r="C63" s="37" t="s">
        <v>508</v>
      </c>
      <c r="D63" s="38">
        <v>327605.8</v>
      </c>
      <c r="E63" s="38">
        <v>327605.8</v>
      </c>
      <c r="F63" s="37">
        <v>0</v>
      </c>
      <c r="G63" s="37">
        <v>0</v>
      </c>
    </row>
    <row r="64" spans="1:7">
      <c r="A64" s="16" t="str">
        <f t="shared" si="0"/>
        <v>198A</v>
      </c>
      <c r="B64" s="37">
        <v>198</v>
      </c>
      <c r="C64" s="37" t="s">
        <v>123</v>
      </c>
      <c r="D64" s="37">
        <v>0</v>
      </c>
      <c r="E64" s="37">
        <v>0</v>
      </c>
      <c r="F64" s="37">
        <v>0</v>
      </c>
      <c r="G64" s="37">
        <v>0</v>
      </c>
    </row>
    <row r="65" spans="1:7">
      <c r="A65" s="16" t="str">
        <f t="shared" ref="A65:A128" si="1">CONCATENATE(B65,"A")</f>
        <v>199A</v>
      </c>
      <c r="B65" s="37">
        <v>199</v>
      </c>
      <c r="C65" s="37" t="s">
        <v>509</v>
      </c>
      <c r="D65" s="37">
        <v>0</v>
      </c>
      <c r="E65" s="37">
        <v>0</v>
      </c>
      <c r="F65" s="37">
        <v>0</v>
      </c>
      <c r="G65" s="37">
        <v>0</v>
      </c>
    </row>
    <row r="66" spans="1:7">
      <c r="A66" s="16" t="str">
        <f t="shared" si="1"/>
        <v>2A</v>
      </c>
      <c r="B66" s="37">
        <v>2</v>
      </c>
      <c r="C66" s="37" t="s">
        <v>1</v>
      </c>
      <c r="D66" s="37">
        <v>0</v>
      </c>
      <c r="E66" s="37">
        <v>0</v>
      </c>
      <c r="F66" s="37">
        <v>0</v>
      </c>
      <c r="G66" s="37">
        <v>0</v>
      </c>
    </row>
    <row r="67" spans="1:7">
      <c r="A67" s="16" t="str">
        <f t="shared" si="1"/>
        <v>220A</v>
      </c>
      <c r="B67" s="37">
        <v>220</v>
      </c>
      <c r="C67" s="37" t="s">
        <v>99</v>
      </c>
      <c r="D67" s="37">
        <v>0</v>
      </c>
      <c r="E67" s="37">
        <v>0</v>
      </c>
      <c r="F67" s="37">
        <v>0</v>
      </c>
      <c r="G67" s="37">
        <v>0</v>
      </c>
    </row>
    <row r="68" spans="1:7">
      <c r="A68" s="16" t="str">
        <f t="shared" si="1"/>
        <v>221A</v>
      </c>
      <c r="B68" s="37">
        <v>221</v>
      </c>
      <c r="C68" s="37" t="s">
        <v>17</v>
      </c>
      <c r="D68" s="37">
        <v>0</v>
      </c>
      <c r="E68" s="37">
        <v>0</v>
      </c>
      <c r="F68" s="37">
        <v>0</v>
      </c>
      <c r="G68" s="37">
        <v>0</v>
      </c>
    </row>
    <row r="69" spans="1:7">
      <c r="A69" s="16" t="str">
        <f t="shared" si="1"/>
        <v>222A</v>
      </c>
      <c r="B69" s="37">
        <v>222</v>
      </c>
      <c r="C69" s="37" t="s">
        <v>100</v>
      </c>
      <c r="D69" s="37">
        <v>0</v>
      </c>
      <c r="E69" s="37">
        <v>0</v>
      </c>
      <c r="F69" s="37">
        <v>0</v>
      </c>
      <c r="G69" s="37">
        <v>0</v>
      </c>
    </row>
    <row r="70" spans="1:7">
      <c r="A70" s="16" t="str">
        <f t="shared" si="1"/>
        <v>224A</v>
      </c>
      <c r="B70" s="37">
        <v>224</v>
      </c>
      <c r="C70" s="37" t="s">
        <v>101</v>
      </c>
      <c r="D70" s="37">
        <v>0</v>
      </c>
      <c r="E70" s="37">
        <v>0</v>
      </c>
      <c r="F70" s="37">
        <v>0</v>
      </c>
      <c r="G70" s="37">
        <v>0</v>
      </c>
    </row>
    <row r="71" spans="1:7">
      <c r="A71" s="16" t="str">
        <f t="shared" si="1"/>
        <v>226A</v>
      </c>
      <c r="B71" s="37">
        <v>226</v>
      </c>
      <c r="C71" s="37" t="s">
        <v>102</v>
      </c>
      <c r="D71" s="38">
        <v>380625.76</v>
      </c>
      <c r="E71" s="37">
        <v>0</v>
      </c>
      <c r="F71" s="38">
        <v>380625.76</v>
      </c>
      <c r="G71" s="37">
        <v>0</v>
      </c>
    </row>
    <row r="72" spans="1:7">
      <c r="A72" s="16" t="str">
        <f t="shared" si="1"/>
        <v>229A</v>
      </c>
      <c r="B72" s="37">
        <v>229</v>
      </c>
      <c r="C72" s="37" t="s">
        <v>105</v>
      </c>
      <c r="D72" s="37">
        <v>0</v>
      </c>
      <c r="E72" s="37">
        <v>0</v>
      </c>
      <c r="F72" s="37">
        <v>0</v>
      </c>
      <c r="G72" s="37">
        <v>0</v>
      </c>
    </row>
    <row r="73" spans="1:7">
      <c r="A73" s="16" t="str">
        <f t="shared" si="1"/>
        <v>231A</v>
      </c>
      <c r="B73" s="37">
        <v>231</v>
      </c>
      <c r="C73" s="37" t="s">
        <v>106</v>
      </c>
      <c r="D73" s="37">
        <v>0</v>
      </c>
      <c r="E73" s="37">
        <v>0</v>
      </c>
      <c r="F73" s="37">
        <v>0</v>
      </c>
      <c r="G73" s="37">
        <v>0</v>
      </c>
    </row>
    <row r="74" spans="1:7">
      <c r="A74" s="16" t="str">
        <f t="shared" si="1"/>
        <v>232A</v>
      </c>
      <c r="B74" s="37">
        <v>232</v>
      </c>
      <c r="C74" s="37" t="s">
        <v>107</v>
      </c>
      <c r="D74" s="37">
        <v>0</v>
      </c>
      <c r="E74" s="37">
        <v>0</v>
      </c>
      <c r="F74" s="37">
        <v>0</v>
      </c>
      <c r="G74" s="37">
        <v>0</v>
      </c>
    </row>
    <row r="75" spans="1:7">
      <c r="A75" s="16" t="str">
        <f t="shared" si="1"/>
        <v>233A</v>
      </c>
      <c r="B75" s="37">
        <v>233</v>
      </c>
      <c r="C75" s="37" t="s">
        <v>108</v>
      </c>
      <c r="D75" s="37">
        <v>0</v>
      </c>
      <c r="E75" s="37">
        <v>0</v>
      </c>
      <c r="F75" s="37">
        <v>0</v>
      </c>
      <c r="G75" s="37">
        <v>0</v>
      </c>
    </row>
    <row r="76" spans="1:7">
      <c r="A76" s="16" t="str">
        <f t="shared" si="1"/>
        <v>235A</v>
      </c>
      <c r="B76" s="37">
        <v>235</v>
      </c>
      <c r="C76" s="37" t="s">
        <v>109</v>
      </c>
      <c r="D76" s="37">
        <v>0</v>
      </c>
      <c r="E76" s="37">
        <v>0</v>
      </c>
      <c r="F76" s="37">
        <v>0</v>
      </c>
      <c r="G76" s="37">
        <v>0</v>
      </c>
    </row>
    <row r="77" spans="1:7">
      <c r="A77" s="16" t="str">
        <f t="shared" si="1"/>
        <v>236A</v>
      </c>
      <c r="B77" s="37">
        <v>236</v>
      </c>
      <c r="C77" s="37" t="s">
        <v>18</v>
      </c>
      <c r="D77" s="37">
        <v>0</v>
      </c>
      <c r="E77" s="37">
        <v>0</v>
      </c>
      <c r="F77" s="37">
        <v>0</v>
      </c>
      <c r="G77" s="37">
        <v>0</v>
      </c>
    </row>
    <row r="78" spans="1:7">
      <c r="A78" s="16" t="str">
        <f t="shared" si="1"/>
        <v>237A</v>
      </c>
      <c r="B78" s="37">
        <v>237</v>
      </c>
      <c r="C78" s="37" t="s">
        <v>110</v>
      </c>
      <c r="D78" s="37">
        <v>0</v>
      </c>
      <c r="E78" s="37">
        <v>0</v>
      </c>
      <c r="F78" s="37">
        <v>0</v>
      </c>
      <c r="G78" s="37">
        <v>0</v>
      </c>
    </row>
    <row r="79" spans="1:7">
      <c r="A79" s="16" t="str">
        <f t="shared" si="1"/>
        <v>239A</v>
      </c>
      <c r="B79" s="37">
        <v>239</v>
      </c>
      <c r="C79" s="37" t="s">
        <v>112</v>
      </c>
      <c r="D79" s="37">
        <v>0</v>
      </c>
      <c r="E79" s="37">
        <v>0</v>
      </c>
      <c r="F79" s="37">
        <v>0</v>
      </c>
      <c r="G79" s="37">
        <v>0</v>
      </c>
    </row>
    <row r="80" spans="1:7">
      <c r="A80" s="16" t="str">
        <f t="shared" si="1"/>
        <v>240A</v>
      </c>
      <c r="B80" s="37">
        <v>240</v>
      </c>
      <c r="C80" s="37" t="s">
        <v>124</v>
      </c>
      <c r="D80" s="37">
        <v>0</v>
      </c>
      <c r="E80" s="37">
        <v>0</v>
      </c>
      <c r="F80" s="37">
        <v>0</v>
      </c>
      <c r="G80" s="37">
        <v>0</v>
      </c>
    </row>
    <row r="81" spans="1:7">
      <c r="A81" s="16" t="str">
        <f t="shared" si="1"/>
        <v>241A</v>
      </c>
      <c r="B81" s="37">
        <v>241</v>
      </c>
      <c r="C81" s="37" t="s">
        <v>510</v>
      </c>
      <c r="D81" s="37">
        <v>0</v>
      </c>
      <c r="E81" s="37">
        <v>0</v>
      </c>
      <c r="F81" s="37">
        <v>0</v>
      </c>
      <c r="G81" s="37">
        <v>0</v>
      </c>
    </row>
    <row r="82" spans="1:7">
      <c r="A82" s="16" t="str">
        <f t="shared" si="1"/>
        <v>242A</v>
      </c>
      <c r="B82" s="37">
        <v>242</v>
      </c>
      <c r="C82" s="37" t="s">
        <v>125</v>
      </c>
      <c r="D82" s="37">
        <v>0</v>
      </c>
      <c r="E82" s="37">
        <v>0</v>
      </c>
      <c r="F82" s="37">
        <v>0</v>
      </c>
      <c r="G82" s="37">
        <v>0</v>
      </c>
    </row>
    <row r="83" spans="1:7">
      <c r="A83" s="16" t="str">
        <f t="shared" si="1"/>
        <v>243A</v>
      </c>
      <c r="B83" s="37">
        <v>243</v>
      </c>
      <c r="C83" s="37" t="s">
        <v>126</v>
      </c>
      <c r="D83" s="37">
        <v>0</v>
      </c>
      <c r="E83" s="37">
        <v>0</v>
      </c>
      <c r="F83" s="37">
        <v>0</v>
      </c>
      <c r="G83" s="37">
        <v>0</v>
      </c>
    </row>
    <row r="84" spans="1:7">
      <c r="A84" s="16" t="str">
        <f t="shared" si="1"/>
        <v>244A</v>
      </c>
      <c r="B84" s="37">
        <v>244</v>
      </c>
      <c r="C84" s="37" t="s">
        <v>511</v>
      </c>
      <c r="D84" s="37">
        <v>0</v>
      </c>
      <c r="E84" s="37">
        <v>0</v>
      </c>
      <c r="F84" s="37">
        <v>0</v>
      </c>
      <c r="G84" s="37">
        <v>0</v>
      </c>
    </row>
    <row r="85" spans="1:7">
      <c r="A85" s="16" t="str">
        <f t="shared" si="1"/>
        <v>245A</v>
      </c>
      <c r="B85" s="37">
        <v>245</v>
      </c>
      <c r="C85" s="37" t="s">
        <v>127</v>
      </c>
      <c r="D85" s="37">
        <v>0</v>
      </c>
      <c r="E85" s="37">
        <v>0</v>
      </c>
      <c r="F85" s="37">
        <v>0</v>
      </c>
      <c r="G85" s="37">
        <v>0</v>
      </c>
    </row>
    <row r="86" spans="1:7">
      <c r="A86" s="16" t="str">
        <f t="shared" si="1"/>
        <v>246A</v>
      </c>
      <c r="B86" s="37">
        <v>246</v>
      </c>
      <c r="C86" s="37" t="s">
        <v>128</v>
      </c>
      <c r="D86" s="37">
        <v>0</v>
      </c>
      <c r="E86" s="37">
        <v>0</v>
      </c>
      <c r="F86" s="37">
        <v>0</v>
      </c>
      <c r="G86" s="37">
        <v>0</v>
      </c>
    </row>
    <row r="87" spans="1:7">
      <c r="A87" s="16" t="str">
        <f t="shared" si="1"/>
        <v>247A</v>
      </c>
      <c r="B87" s="37">
        <v>247</v>
      </c>
      <c r="C87" s="37" t="s">
        <v>512</v>
      </c>
      <c r="D87" s="37">
        <v>0</v>
      </c>
      <c r="E87" s="37">
        <v>0</v>
      </c>
      <c r="F87" s="37">
        <v>0</v>
      </c>
      <c r="G87" s="37">
        <v>0</v>
      </c>
    </row>
    <row r="88" spans="1:7">
      <c r="A88" s="16" t="str">
        <f t="shared" si="1"/>
        <v>248A</v>
      </c>
      <c r="B88" s="37">
        <v>248</v>
      </c>
      <c r="C88" s="37" t="s">
        <v>129</v>
      </c>
      <c r="D88" s="37">
        <v>0</v>
      </c>
      <c r="E88" s="37">
        <v>0</v>
      </c>
      <c r="F88" s="37">
        <v>0</v>
      </c>
      <c r="G88" s="37">
        <v>0</v>
      </c>
    </row>
    <row r="89" spans="1:7">
      <c r="A89" s="16" t="str">
        <f t="shared" si="1"/>
        <v>249A</v>
      </c>
      <c r="B89" s="37">
        <v>249</v>
      </c>
      <c r="C89" s="37" t="s">
        <v>130</v>
      </c>
      <c r="D89" s="37">
        <v>0</v>
      </c>
      <c r="E89" s="37">
        <v>0</v>
      </c>
      <c r="F89" s="37">
        <v>0</v>
      </c>
      <c r="G89" s="37">
        <v>0</v>
      </c>
    </row>
    <row r="90" spans="1:7">
      <c r="A90" s="16" t="str">
        <f t="shared" si="1"/>
        <v>250A</v>
      </c>
      <c r="B90" s="37">
        <v>250</v>
      </c>
      <c r="C90" s="37" t="s">
        <v>131</v>
      </c>
      <c r="D90" s="37">
        <v>0</v>
      </c>
      <c r="E90" s="37">
        <v>0</v>
      </c>
      <c r="F90" s="37">
        <v>0</v>
      </c>
      <c r="G90" s="37">
        <v>0</v>
      </c>
    </row>
    <row r="91" spans="1:7">
      <c r="A91" s="16" t="str">
        <f t="shared" si="1"/>
        <v>251A</v>
      </c>
      <c r="B91" s="37">
        <v>251</v>
      </c>
      <c r="C91" s="37" t="s">
        <v>513</v>
      </c>
      <c r="D91" s="37">
        <v>0</v>
      </c>
      <c r="E91" s="37">
        <v>0</v>
      </c>
      <c r="F91" s="37">
        <v>0</v>
      </c>
      <c r="G91" s="37">
        <v>0</v>
      </c>
    </row>
    <row r="92" spans="1:7">
      <c r="A92" s="16" t="str">
        <f t="shared" si="1"/>
        <v>252A</v>
      </c>
      <c r="B92" s="37">
        <v>252</v>
      </c>
      <c r="C92" s="37" t="s">
        <v>132</v>
      </c>
      <c r="D92" s="37">
        <v>0</v>
      </c>
      <c r="E92" s="37">
        <v>0</v>
      </c>
      <c r="F92" s="37">
        <v>0</v>
      </c>
      <c r="G92" s="37">
        <v>0</v>
      </c>
    </row>
    <row r="93" spans="1:7">
      <c r="A93" s="16" t="str">
        <f t="shared" si="1"/>
        <v>253A</v>
      </c>
      <c r="B93" s="37">
        <v>253</v>
      </c>
      <c r="C93" s="37" t="s">
        <v>133</v>
      </c>
      <c r="D93" s="38">
        <v>3878904.28</v>
      </c>
      <c r="E93" s="37">
        <v>0</v>
      </c>
      <c r="F93" s="38">
        <v>3878904.28</v>
      </c>
      <c r="G93" s="37">
        <v>0</v>
      </c>
    </row>
    <row r="94" spans="1:7">
      <c r="A94" s="16" t="str">
        <f t="shared" si="1"/>
        <v>254A</v>
      </c>
      <c r="B94" s="37">
        <v>254</v>
      </c>
      <c r="C94" s="37" t="s">
        <v>21</v>
      </c>
      <c r="D94" s="38">
        <v>6966194.9100000001</v>
      </c>
      <c r="E94" s="37">
        <v>0</v>
      </c>
      <c r="F94" s="38">
        <v>6966194.9100000001</v>
      </c>
      <c r="G94" s="37">
        <v>0</v>
      </c>
    </row>
    <row r="95" spans="1:7">
      <c r="A95" s="16" t="str">
        <f t="shared" si="1"/>
        <v>255A</v>
      </c>
      <c r="B95" s="37">
        <v>255</v>
      </c>
      <c r="C95" s="37" t="s">
        <v>22</v>
      </c>
      <c r="D95" s="38">
        <v>1773761.62</v>
      </c>
      <c r="E95" s="37">
        <v>0</v>
      </c>
      <c r="F95" s="38">
        <v>1773761.62</v>
      </c>
      <c r="G95" s="37">
        <v>0</v>
      </c>
    </row>
    <row r="96" spans="1:7">
      <c r="A96" s="16" t="str">
        <f t="shared" si="1"/>
        <v>256A</v>
      </c>
      <c r="B96" s="37">
        <v>256</v>
      </c>
      <c r="C96" s="37" t="s">
        <v>134</v>
      </c>
      <c r="D96" s="38">
        <v>6730866.1500000004</v>
      </c>
      <c r="E96" s="37">
        <v>0</v>
      </c>
      <c r="F96" s="38">
        <v>6730866.1500000004</v>
      </c>
      <c r="G96" s="37">
        <v>0</v>
      </c>
    </row>
    <row r="97" spans="1:7">
      <c r="A97" s="16" t="str">
        <f t="shared" si="1"/>
        <v>257A</v>
      </c>
      <c r="B97" s="37">
        <v>257</v>
      </c>
      <c r="C97" s="37" t="s">
        <v>23</v>
      </c>
      <c r="D97" s="37">
        <v>0</v>
      </c>
      <c r="E97" s="38">
        <v>9203509.3300000001</v>
      </c>
      <c r="F97" s="37">
        <v>0</v>
      </c>
      <c r="G97" s="38">
        <v>9203509.3300000001</v>
      </c>
    </row>
    <row r="98" spans="1:7">
      <c r="A98" s="16" t="str">
        <f t="shared" si="1"/>
        <v>258A</v>
      </c>
      <c r="B98" s="37">
        <v>258</v>
      </c>
      <c r="C98" s="37" t="s">
        <v>135</v>
      </c>
      <c r="D98" s="37">
        <v>0</v>
      </c>
      <c r="E98" s="37">
        <v>0</v>
      </c>
      <c r="F98" s="37">
        <v>0</v>
      </c>
      <c r="G98" s="37">
        <v>0</v>
      </c>
    </row>
    <row r="99" spans="1:7">
      <c r="A99" s="16" t="str">
        <f t="shared" si="1"/>
        <v>259A</v>
      </c>
      <c r="B99" s="37">
        <v>259</v>
      </c>
      <c r="C99" s="37" t="s">
        <v>136</v>
      </c>
      <c r="D99" s="37">
        <v>0</v>
      </c>
      <c r="E99" s="37">
        <v>0</v>
      </c>
      <c r="F99" s="37">
        <v>0</v>
      </c>
      <c r="G99" s="37">
        <v>0</v>
      </c>
    </row>
    <row r="100" spans="1:7">
      <c r="A100" s="16" t="str">
        <f t="shared" si="1"/>
        <v>260A</v>
      </c>
      <c r="B100" s="37">
        <v>260</v>
      </c>
      <c r="C100" s="37" t="s">
        <v>24</v>
      </c>
      <c r="D100" s="38">
        <v>695372.37</v>
      </c>
      <c r="E100" s="37">
        <v>0</v>
      </c>
      <c r="F100" s="38">
        <v>695372.37</v>
      </c>
      <c r="G100" s="37">
        <v>0</v>
      </c>
    </row>
    <row r="101" spans="1:7">
      <c r="A101" s="16" t="str">
        <f t="shared" si="1"/>
        <v>264A</v>
      </c>
      <c r="B101" s="37">
        <v>264</v>
      </c>
      <c r="C101" s="37" t="s">
        <v>137</v>
      </c>
      <c r="D101" s="38">
        <v>217879.55</v>
      </c>
      <c r="E101" s="37">
        <v>0</v>
      </c>
      <c r="F101" s="38">
        <v>217879.55</v>
      </c>
      <c r="G101" s="37">
        <v>0</v>
      </c>
    </row>
    <row r="102" spans="1:7">
      <c r="A102" s="16" t="str">
        <f t="shared" si="1"/>
        <v>265A</v>
      </c>
      <c r="B102" s="37">
        <v>265</v>
      </c>
      <c r="C102" s="37" t="s">
        <v>138</v>
      </c>
      <c r="D102" s="38">
        <v>67746.5</v>
      </c>
      <c r="E102" s="37">
        <v>0</v>
      </c>
      <c r="F102" s="38">
        <v>67746.5</v>
      </c>
      <c r="G102" s="37">
        <v>0</v>
      </c>
    </row>
    <row r="103" spans="1:7">
      <c r="A103" s="16" t="str">
        <f t="shared" si="1"/>
        <v>267A</v>
      </c>
      <c r="B103" s="37">
        <v>267</v>
      </c>
      <c r="C103" s="37" t="s">
        <v>139</v>
      </c>
      <c r="D103" s="37">
        <v>0</v>
      </c>
      <c r="E103" s="37">
        <v>0</v>
      </c>
      <c r="F103" s="37">
        <v>0</v>
      </c>
      <c r="G103" s="37">
        <v>0</v>
      </c>
    </row>
    <row r="104" spans="1:7">
      <c r="A104" s="16" t="str">
        <f t="shared" si="1"/>
        <v>268A</v>
      </c>
      <c r="B104" s="37">
        <v>268</v>
      </c>
      <c r="C104" s="37" t="s">
        <v>23</v>
      </c>
      <c r="D104" s="37">
        <v>0</v>
      </c>
      <c r="E104" s="38">
        <v>704054.76</v>
      </c>
      <c r="F104" s="37">
        <v>0</v>
      </c>
      <c r="G104" s="38">
        <v>704054.76</v>
      </c>
    </row>
    <row r="105" spans="1:7">
      <c r="A105" s="16" t="str">
        <f t="shared" si="1"/>
        <v>269A</v>
      </c>
      <c r="B105" s="37">
        <v>269</v>
      </c>
      <c r="C105" s="37" t="s">
        <v>136</v>
      </c>
      <c r="D105" s="37">
        <v>0</v>
      </c>
      <c r="E105" s="37">
        <v>0</v>
      </c>
      <c r="F105" s="37">
        <v>0</v>
      </c>
      <c r="G105" s="37">
        <v>0</v>
      </c>
    </row>
    <row r="106" spans="1:7">
      <c r="A106" s="16" t="str">
        <f t="shared" si="1"/>
        <v>271A</v>
      </c>
      <c r="B106" s="37">
        <v>271</v>
      </c>
      <c r="C106" s="37" t="s">
        <v>140</v>
      </c>
      <c r="D106" s="37">
        <v>0</v>
      </c>
      <c r="E106" s="37">
        <v>0</v>
      </c>
      <c r="F106" s="37">
        <v>0</v>
      </c>
      <c r="G106" s="37">
        <v>0</v>
      </c>
    </row>
    <row r="107" spans="1:7">
      <c r="A107" s="16" t="str">
        <f t="shared" si="1"/>
        <v>272A</v>
      </c>
      <c r="B107" s="37">
        <v>272</v>
      </c>
      <c r="C107" s="37" t="s">
        <v>141</v>
      </c>
      <c r="D107" s="37">
        <v>0</v>
      </c>
      <c r="E107" s="37">
        <v>0</v>
      </c>
      <c r="F107" s="37">
        <v>0</v>
      </c>
      <c r="G107" s="37">
        <v>0</v>
      </c>
    </row>
    <row r="108" spans="1:7">
      <c r="A108" s="16" t="str">
        <f t="shared" si="1"/>
        <v>277A</v>
      </c>
      <c r="B108" s="37">
        <v>277</v>
      </c>
      <c r="C108" s="37" t="s">
        <v>142</v>
      </c>
      <c r="D108" s="37">
        <v>0</v>
      </c>
      <c r="E108" s="37">
        <v>0</v>
      </c>
      <c r="F108" s="37">
        <v>0</v>
      </c>
      <c r="G108" s="37">
        <v>0</v>
      </c>
    </row>
    <row r="109" spans="1:7">
      <c r="A109" s="16" t="str">
        <f t="shared" si="1"/>
        <v>278A</v>
      </c>
      <c r="B109" s="37">
        <v>278</v>
      </c>
      <c r="C109" s="37" t="s">
        <v>143</v>
      </c>
      <c r="D109" s="37">
        <v>0</v>
      </c>
      <c r="E109" s="37">
        <v>0</v>
      </c>
      <c r="F109" s="37">
        <v>0</v>
      </c>
      <c r="G109" s="37">
        <v>0</v>
      </c>
    </row>
    <row r="110" spans="1:7">
      <c r="A110" s="16" t="str">
        <f t="shared" si="1"/>
        <v>279A</v>
      </c>
      <c r="B110" s="37">
        <v>279</v>
      </c>
      <c r="C110" s="37" t="s">
        <v>136</v>
      </c>
      <c r="D110" s="37">
        <v>0</v>
      </c>
      <c r="E110" s="37">
        <v>0</v>
      </c>
      <c r="F110" s="37">
        <v>0</v>
      </c>
      <c r="G110" s="37">
        <v>0</v>
      </c>
    </row>
    <row r="111" spans="1:7">
      <c r="A111" s="16" t="str">
        <f t="shared" si="1"/>
        <v>280A</v>
      </c>
      <c r="B111" s="37">
        <v>280</v>
      </c>
      <c r="C111" s="37" t="s">
        <v>25</v>
      </c>
      <c r="D111" s="38">
        <v>321645.23</v>
      </c>
      <c r="E111" s="38">
        <v>215523.94</v>
      </c>
      <c r="F111" s="38">
        <v>106121.29</v>
      </c>
      <c r="G111" s="37">
        <v>0</v>
      </c>
    </row>
    <row r="112" spans="1:7">
      <c r="A112" s="16" t="str">
        <f t="shared" si="1"/>
        <v>281A</v>
      </c>
      <c r="B112" s="37">
        <v>281</v>
      </c>
      <c r="C112" s="37" t="s">
        <v>514</v>
      </c>
      <c r="D112" s="37">
        <v>0</v>
      </c>
      <c r="E112" s="37">
        <v>0</v>
      </c>
      <c r="F112" s="37">
        <v>0</v>
      </c>
      <c r="G112" s="37">
        <v>0</v>
      </c>
    </row>
    <row r="113" spans="1:7">
      <c r="A113" s="16" t="str">
        <f t="shared" si="1"/>
        <v>286A</v>
      </c>
      <c r="B113" s="37">
        <v>286</v>
      </c>
      <c r="C113" s="37" t="s">
        <v>515</v>
      </c>
      <c r="D113" s="37">
        <v>0</v>
      </c>
      <c r="E113" s="37">
        <v>0</v>
      </c>
      <c r="F113" s="37">
        <v>0</v>
      </c>
      <c r="G113" s="37">
        <v>0</v>
      </c>
    </row>
    <row r="114" spans="1:7">
      <c r="A114" s="16" t="str">
        <f t="shared" si="1"/>
        <v>291A</v>
      </c>
      <c r="B114" s="37">
        <v>291</v>
      </c>
      <c r="C114" s="37" t="s">
        <v>516</v>
      </c>
      <c r="D114" s="37">
        <v>0</v>
      </c>
      <c r="E114" s="37">
        <v>0</v>
      </c>
      <c r="F114" s="37">
        <v>0</v>
      </c>
      <c r="G114" s="37">
        <v>0</v>
      </c>
    </row>
    <row r="115" spans="1:7">
      <c r="A115" s="16" t="str">
        <f t="shared" si="1"/>
        <v>292A</v>
      </c>
      <c r="B115" s="37">
        <v>292</v>
      </c>
      <c r="C115" s="37" t="s">
        <v>507</v>
      </c>
      <c r="D115" s="37">
        <v>0</v>
      </c>
      <c r="E115" s="37">
        <v>0</v>
      </c>
      <c r="F115" s="37">
        <v>0</v>
      </c>
      <c r="G115" s="37">
        <v>0</v>
      </c>
    </row>
    <row r="116" spans="1:7">
      <c r="A116" s="16" t="str">
        <f t="shared" si="1"/>
        <v>293A</v>
      </c>
      <c r="B116" s="37">
        <v>293</v>
      </c>
      <c r="C116" s="37" t="s">
        <v>144</v>
      </c>
      <c r="D116" s="37">
        <v>0</v>
      </c>
      <c r="E116" s="37">
        <v>0</v>
      </c>
      <c r="F116" s="37">
        <v>0</v>
      </c>
      <c r="G116" s="37">
        <v>0</v>
      </c>
    </row>
    <row r="117" spans="1:7">
      <c r="A117" s="16" t="str">
        <f t="shared" si="1"/>
        <v>294A</v>
      </c>
      <c r="B117" s="37">
        <v>294</v>
      </c>
      <c r="C117" s="37" t="s">
        <v>145</v>
      </c>
      <c r="D117" s="37">
        <v>0</v>
      </c>
      <c r="E117" s="37">
        <v>0</v>
      </c>
      <c r="F117" s="37">
        <v>0</v>
      </c>
      <c r="G117" s="37">
        <v>0</v>
      </c>
    </row>
    <row r="118" spans="1:7">
      <c r="A118" s="16" t="str">
        <f t="shared" si="1"/>
        <v>295A</v>
      </c>
      <c r="B118" s="37">
        <v>295</v>
      </c>
      <c r="C118" s="37" t="s">
        <v>121</v>
      </c>
      <c r="D118" s="37">
        <v>0</v>
      </c>
      <c r="E118" s="37">
        <v>0</v>
      </c>
      <c r="F118" s="37">
        <v>0</v>
      </c>
      <c r="G118" s="37">
        <v>0</v>
      </c>
    </row>
    <row r="119" spans="1:7">
      <c r="A119" s="16" t="str">
        <f t="shared" si="1"/>
        <v>297A</v>
      </c>
      <c r="B119" s="37">
        <v>297</v>
      </c>
      <c r="C119" s="37" t="s">
        <v>146</v>
      </c>
      <c r="D119" s="37">
        <v>0</v>
      </c>
      <c r="E119" s="37">
        <v>0</v>
      </c>
      <c r="F119" s="37">
        <v>0</v>
      </c>
      <c r="G119" s="37">
        <v>0</v>
      </c>
    </row>
    <row r="120" spans="1:7">
      <c r="A120" s="16" t="str">
        <f t="shared" si="1"/>
        <v>298A</v>
      </c>
      <c r="B120" s="37">
        <v>298</v>
      </c>
      <c r="C120" s="37" t="s">
        <v>505</v>
      </c>
      <c r="D120" s="37">
        <v>0</v>
      </c>
      <c r="E120" s="37">
        <v>0</v>
      </c>
      <c r="F120" s="37">
        <v>0</v>
      </c>
      <c r="G120" s="37">
        <v>0</v>
      </c>
    </row>
    <row r="121" spans="1:7">
      <c r="A121" s="16" t="str">
        <f t="shared" si="1"/>
        <v>299A</v>
      </c>
      <c r="B121" s="37">
        <v>299</v>
      </c>
      <c r="C121" s="37" t="s">
        <v>23</v>
      </c>
      <c r="D121" s="37">
        <v>0</v>
      </c>
      <c r="E121" s="37">
        <v>0</v>
      </c>
      <c r="F121" s="37">
        <v>0</v>
      </c>
      <c r="G121" s="37">
        <v>0</v>
      </c>
    </row>
    <row r="122" spans="1:7">
      <c r="A122" s="16" t="str">
        <f t="shared" si="1"/>
        <v>3A</v>
      </c>
      <c r="B122" s="37">
        <v>3</v>
      </c>
      <c r="C122" s="37" t="s">
        <v>6</v>
      </c>
      <c r="D122" s="37">
        <v>0</v>
      </c>
      <c r="E122" s="37">
        <v>0</v>
      </c>
      <c r="F122" s="37">
        <v>0</v>
      </c>
      <c r="G122" s="37">
        <v>0</v>
      </c>
    </row>
    <row r="123" spans="1:7">
      <c r="A123" s="16" t="str">
        <f t="shared" si="1"/>
        <v>300A</v>
      </c>
      <c r="B123" s="37">
        <v>300</v>
      </c>
      <c r="C123" s="37" t="s">
        <v>147</v>
      </c>
      <c r="D123" s="37">
        <v>0</v>
      </c>
      <c r="E123" s="37">
        <v>0</v>
      </c>
      <c r="F123" s="37">
        <v>0</v>
      </c>
      <c r="G123" s="37">
        <v>0</v>
      </c>
    </row>
    <row r="124" spans="1:7">
      <c r="A124" s="16" t="str">
        <f t="shared" si="1"/>
        <v>301A</v>
      </c>
      <c r="B124" s="37">
        <v>301</v>
      </c>
      <c r="C124" s="37" t="s">
        <v>148</v>
      </c>
      <c r="D124" s="37">
        <v>0</v>
      </c>
      <c r="E124" s="37">
        <v>0</v>
      </c>
      <c r="F124" s="37">
        <v>0</v>
      </c>
      <c r="G124" s="37">
        <v>0</v>
      </c>
    </row>
    <row r="125" spans="1:7">
      <c r="A125" s="16" t="str">
        <f t="shared" si="1"/>
        <v>302A</v>
      </c>
      <c r="B125" s="37">
        <v>302</v>
      </c>
      <c r="C125" s="37" t="s">
        <v>517</v>
      </c>
      <c r="D125" s="37">
        <v>0</v>
      </c>
      <c r="E125" s="37">
        <v>0</v>
      </c>
      <c r="F125" s="37">
        <v>0</v>
      </c>
      <c r="G125" s="37">
        <v>0</v>
      </c>
    </row>
    <row r="126" spans="1:7">
      <c r="A126" s="16" t="str">
        <f t="shared" si="1"/>
        <v>303A</v>
      </c>
      <c r="B126" s="37">
        <v>303</v>
      </c>
      <c r="C126" s="37" t="s">
        <v>149</v>
      </c>
      <c r="D126" s="37">
        <v>0</v>
      </c>
      <c r="E126" s="37">
        <v>0</v>
      </c>
      <c r="F126" s="37">
        <v>0</v>
      </c>
      <c r="G126" s="37">
        <v>0</v>
      </c>
    </row>
    <row r="127" spans="1:7">
      <c r="A127" s="16" t="str">
        <f t="shared" si="1"/>
        <v>304A</v>
      </c>
      <c r="B127" s="37">
        <v>304</v>
      </c>
      <c r="C127" s="37" t="s">
        <v>518</v>
      </c>
      <c r="D127" s="37">
        <v>0</v>
      </c>
      <c r="E127" s="37">
        <v>0</v>
      </c>
      <c r="F127" s="37">
        <v>0</v>
      </c>
      <c r="G127" s="37">
        <v>0</v>
      </c>
    </row>
    <row r="128" spans="1:7">
      <c r="A128" s="16" t="str">
        <f t="shared" si="1"/>
        <v>305A</v>
      </c>
      <c r="B128" s="37">
        <v>305</v>
      </c>
      <c r="C128" s="37" t="s">
        <v>150</v>
      </c>
      <c r="D128" s="37">
        <v>0</v>
      </c>
      <c r="E128" s="37">
        <v>0</v>
      </c>
      <c r="F128" s="37">
        <v>0</v>
      </c>
      <c r="G128" s="37">
        <v>0</v>
      </c>
    </row>
    <row r="129" spans="1:7">
      <c r="A129" s="16" t="str">
        <f t="shared" ref="A129:A192" si="2">CONCATENATE(B129,"A")</f>
        <v>306A</v>
      </c>
      <c r="B129" s="37">
        <v>306</v>
      </c>
      <c r="C129" s="37" t="s">
        <v>151</v>
      </c>
      <c r="D129" s="37">
        <v>0</v>
      </c>
      <c r="E129" s="37">
        <v>0</v>
      </c>
      <c r="F129" s="37">
        <v>0</v>
      </c>
      <c r="G129" s="37">
        <v>0</v>
      </c>
    </row>
    <row r="130" spans="1:7">
      <c r="A130" s="16" t="str">
        <f t="shared" si="2"/>
        <v>308A</v>
      </c>
      <c r="B130" s="37">
        <v>308</v>
      </c>
      <c r="C130" s="37" t="s">
        <v>152</v>
      </c>
      <c r="D130" s="37">
        <v>0</v>
      </c>
      <c r="E130" s="37">
        <v>0</v>
      </c>
      <c r="F130" s="37">
        <v>0</v>
      </c>
      <c r="G130" s="37">
        <v>0</v>
      </c>
    </row>
    <row r="131" spans="1:7">
      <c r="A131" s="16" t="str">
        <f t="shared" si="2"/>
        <v>309A</v>
      </c>
      <c r="B131" s="37">
        <v>309</v>
      </c>
      <c r="C131" s="37" t="s">
        <v>153</v>
      </c>
      <c r="D131" s="37">
        <v>0</v>
      </c>
      <c r="E131" s="37">
        <v>0</v>
      </c>
      <c r="F131" s="37">
        <v>0</v>
      </c>
      <c r="G131" s="37">
        <v>0</v>
      </c>
    </row>
    <row r="132" spans="1:7">
      <c r="A132" s="16" t="str">
        <f t="shared" si="2"/>
        <v>320A</v>
      </c>
      <c r="B132" s="37">
        <v>320</v>
      </c>
      <c r="C132" s="37" t="s">
        <v>26</v>
      </c>
      <c r="D132" s="38">
        <v>57027297.119999997</v>
      </c>
      <c r="E132" s="38">
        <v>73410327.450000003</v>
      </c>
      <c r="F132" s="37">
        <v>0</v>
      </c>
      <c r="G132" s="38">
        <v>16383030.33</v>
      </c>
    </row>
    <row r="133" spans="1:7">
      <c r="A133" s="16" t="str">
        <f t="shared" si="2"/>
        <v>321A</v>
      </c>
      <c r="B133" s="37">
        <v>321</v>
      </c>
      <c r="C133" s="37" t="s">
        <v>154</v>
      </c>
      <c r="D133" s="37">
        <v>0</v>
      </c>
      <c r="E133" s="37">
        <v>0</v>
      </c>
      <c r="F133" s="37">
        <v>0</v>
      </c>
      <c r="G133" s="37">
        <v>0</v>
      </c>
    </row>
    <row r="134" spans="1:7">
      <c r="A134" s="16" t="str">
        <f t="shared" si="2"/>
        <v>322A</v>
      </c>
      <c r="B134" s="37">
        <v>322</v>
      </c>
      <c r="C134" s="37" t="s">
        <v>155</v>
      </c>
      <c r="D134" s="37">
        <v>0</v>
      </c>
      <c r="E134" s="37">
        <v>0</v>
      </c>
      <c r="F134" s="37">
        <v>0</v>
      </c>
      <c r="G134" s="37">
        <v>0</v>
      </c>
    </row>
    <row r="135" spans="1:7">
      <c r="A135" s="16" t="str">
        <f t="shared" si="2"/>
        <v>326A</v>
      </c>
      <c r="B135" s="37">
        <v>326</v>
      </c>
      <c r="C135" s="37" t="s">
        <v>156</v>
      </c>
      <c r="D135" s="37">
        <v>0</v>
      </c>
      <c r="E135" s="37">
        <v>0</v>
      </c>
      <c r="F135" s="37">
        <v>0</v>
      </c>
      <c r="G135" s="37">
        <v>0</v>
      </c>
    </row>
    <row r="136" spans="1:7">
      <c r="A136" s="16" t="str">
        <f t="shared" si="2"/>
        <v>329A</v>
      </c>
      <c r="B136" s="37">
        <v>329</v>
      </c>
      <c r="C136" s="37" t="s">
        <v>27</v>
      </c>
      <c r="D136" s="37">
        <v>0</v>
      </c>
      <c r="E136" s="37">
        <v>0</v>
      </c>
      <c r="F136" s="37">
        <v>0</v>
      </c>
      <c r="G136" s="37">
        <v>0</v>
      </c>
    </row>
    <row r="137" spans="1:7">
      <c r="A137" s="16" t="str">
        <f t="shared" si="2"/>
        <v>331A</v>
      </c>
      <c r="B137" s="37">
        <v>331</v>
      </c>
      <c r="C137" s="37" t="s">
        <v>28</v>
      </c>
      <c r="D137" s="37">
        <v>0</v>
      </c>
      <c r="E137" s="37">
        <v>0</v>
      </c>
      <c r="F137" s="37">
        <v>0</v>
      </c>
      <c r="G137" s="37">
        <v>0</v>
      </c>
    </row>
    <row r="138" spans="1:7">
      <c r="A138" s="16" t="str">
        <f t="shared" si="2"/>
        <v>332A</v>
      </c>
      <c r="B138" s="37">
        <v>332</v>
      </c>
      <c r="C138" s="37" t="s">
        <v>519</v>
      </c>
      <c r="D138" s="37">
        <v>0</v>
      </c>
      <c r="E138" s="37">
        <v>0</v>
      </c>
      <c r="F138" s="37">
        <v>0</v>
      </c>
      <c r="G138" s="37">
        <v>0</v>
      </c>
    </row>
    <row r="139" spans="1:7">
      <c r="A139" s="16" t="str">
        <f t="shared" si="2"/>
        <v>333A</v>
      </c>
      <c r="B139" s="37">
        <v>333</v>
      </c>
      <c r="C139" s="37" t="s">
        <v>157</v>
      </c>
      <c r="D139" s="37">
        <v>0</v>
      </c>
      <c r="E139" s="37">
        <v>0</v>
      </c>
      <c r="F139" s="37">
        <v>0</v>
      </c>
      <c r="G139" s="37">
        <v>0</v>
      </c>
    </row>
    <row r="140" spans="1:7">
      <c r="A140" s="16" t="str">
        <f t="shared" si="2"/>
        <v>335A</v>
      </c>
      <c r="B140" s="37">
        <v>335</v>
      </c>
      <c r="C140" s="37" t="s">
        <v>492</v>
      </c>
      <c r="D140" s="38">
        <v>7447319.2699999996</v>
      </c>
      <c r="E140" s="38">
        <v>8657428.9499999993</v>
      </c>
      <c r="F140" s="37">
        <v>0</v>
      </c>
      <c r="G140" s="38">
        <v>1210109.68</v>
      </c>
    </row>
    <row r="141" spans="1:7">
      <c r="A141" s="16" t="str">
        <f t="shared" si="2"/>
        <v>336A</v>
      </c>
      <c r="B141" s="37">
        <v>336</v>
      </c>
      <c r="C141" s="37" t="s">
        <v>29</v>
      </c>
      <c r="D141" s="38">
        <v>400000</v>
      </c>
      <c r="E141" s="38">
        <v>5400000</v>
      </c>
      <c r="F141" s="37">
        <v>0</v>
      </c>
      <c r="G141" s="38">
        <v>5000000</v>
      </c>
    </row>
    <row r="142" spans="1:7">
      <c r="A142" s="16" t="str">
        <f t="shared" si="2"/>
        <v>337A</v>
      </c>
      <c r="B142" s="37">
        <v>337</v>
      </c>
      <c r="C142" s="37" t="s">
        <v>158</v>
      </c>
      <c r="D142" s="37">
        <v>0</v>
      </c>
      <c r="E142" s="37">
        <v>0</v>
      </c>
      <c r="F142" s="37">
        <v>0</v>
      </c>
      <c r="G142" s="37">
        <v>0</v>
      </c>
    </row>
    <row r="143" spans="1:7">
      <c r="A143" s="16" t="str">
        <f t="shared" si="2"/>
        <v>340A</v>
      </c>
      <c r="B143" s="37">
        <v>340</v>
      </c>
      <c r="C143" s="37" t="s">
        <v>159</v>
      </c>
      <c r="D143" s="38">
        <v>30267328.059999999</v>
      </c>
      <c r="E143" s="38">
        <v>33863671.509999998</v>
      </c>
      <c r="F143" s="37">
        <v>0</v>
      </c>
      <c r="G143" s="38">
        <v>3596343.45</v>
      </c>
    </row>
    <row r="144" spans="1:7">
      <c r="A144" s="16" t="str">
        <f t="shared" si="2"/>
        <v>349A</v>
      </c>
      <c r="B144" s="37">
        <v>349</v>
      </c>
      <c r="C144" s="37" t="s">
        <v>160</v>
      </c>
      <c r="D144" s="37">
        <v>0</v>
      </c>
      <c r="E144" s="37">
        <v>0</v>
      </c>
      <c r="F144" s="37">
        <v>0</v>
      </c>
      <c r="G144" s="37">
        <v>0</v>
      </c>
    </row>
    <row r="145" spans="1:7">
      <c r="A145" s="16" t="str">
        <f t="shared" si="2"/>
        <v>350A</v>
      </c>
      <c r="B145" s="37">
        <v>350</v>
      </c>
      <c r="C145" s="37" t="s">
        <v>161</v>
      </c>
      <c r="D145" s="37">
        <v>0</v>
      </c>
      <c r="E145" s="37">
        <v>0</v>
      </c>
      <c r="F145" s="37">
        <v>0</v>
      </c>
      <c r="G145" s="37">
        <v>0</v>
      </c>
    </row>
    <row r="146" spans="1:7">
      <c r="A146" s="16" t="str">
        <f t="shared" si="2"/>
        <v>358A</v>
      </c>
      <c r="B146" s="37">
        <v>358</v>
      </c>
      <c r="C146" s="37" t="s">
        <v>119</v>
      </c>
      <c r="D146" s="37">
        <v>0</v>
      </c>
      <c r="E146" s="37">
        <v>0</v>
      </c>
      <c r="F146" s="37">
        <v>0</v>
      </c>
      <c r="G146" s="37">
        <v>0</v>
      </c>
    </row>
    <row r="147" spans="1:7">
      <c r="A147" s="16" t="str">
        <f t="shared" si="2"/>
        <v>360A</v>
      </c>
      <c r="B147" s="37">
        <v>360</v>
      </c>
      <c r="C147" s="37" t="s">
        <v>30</v>
      </c>
      <c r="D147" s="38">
        <v>2593982.66</v>
      </c>
      <c r="E147" s="38">
        <v>3411345.62</v>
      </c>
      <c r="F147" s="37">
        <v>0</v>
      </c>
      <c r="G147" s="38">
        <v>817362.96</v>
      </c>
    </row>
    <row r="148" spans="1:7">
      <c r="A148" s="16" t="str">
        <f t="shared" si="2"/>
        <v>361A</v>
      </c>
      <c r="B148" s="37">
        <v>361</v>
      </c>
      <c r="C148" s="37" t="s">
        <v>31</v>
      </c>
      <c r="D148" s="38">
        <v>2799053.01</v>
      </c>
      <c r="E148" s="38">
        <v>3863278.35</v>
      </c>
      <c r="F148" s="37">
        <v>0</v>
      </c>
      <c r="G148" s="38">
        <v>1064225.3400000001</v>
      </c>
    </row>
    <row r="149" spans="1:7">
      <c r="A149" s="16" t="str">
        <f t="shared" si="2"/>
        <v>368A</v>
      </c>
      <c r="B149" s="37">
        <v>368</v>
      </c>
      <c r="C149" s="37" t="s">
        <v>520</v>
      </c>
      <c r="D149" s="37">
        <v>0</v>
      </c>
      <c r="E149" s="37">
        <v>0</v>
      </c>
      <c r="F149" s="37">
        <v>0</v>
      </c>
      <c r="G149" s="37">
        <v>0</v>
      </c>
    </row>
    <row r="150" spans="1:7">
      <c r="A150" s="16" t="str">
        <f t="shared" si="2"/>
        <v>369A</v>
      </c>
      <c r="B150" s="37">
        <v>369</v>
      </c>
      <c r="C150" s="37" t="s">
        <v>162</v>
      </c>
      <c r="D150" s="38">
        <v>30650</v>
      </c>
      <c r="E150" s="38">
        <v>38398</v>
      </c>
      <c r="F150" s="37">
        <v>0</v>
      </c>
      <c r="G150" s="38">
        <v>7748</v>
      </c>
    </row>
    <row r="151" spans="1:7">
      <c r="A151" s="16" t="str">
        <f t="shared" si="2"/>
        <v>370A</v>
      </c>
      <c r="B151" s="37">
        <v>370</v>
      </c>
      <c r="C151" s="37" t="s">
        <v>163</v>
      </c>
      <c r="D151" s="38">
        <v>1158600.07</v>
      </c>
      <c r="E151" s="38">
        <v>1158600.07</v>
      </c>
      <c r="F151" s="37">
        <v>0</v>
      </c>
      <c r="G151" s="37">
        <v>0</v>
      </c>
    </row>
    <row r="152" spans="1:7">
      <c r="A152" s="16" t="str">
        <f t="shared" si="2"/>
        <v>371A</v>
      </c>
      <c r="B152" s="37">
        <v>371</v>
      </c>
      <c r="C152" s="37" t="s">
        <v>521</v>
      </c>
      <c r="D152" s="38">
        <v>1158600.07</v>
      </c>
      <c r="E152" s="38">
        <v>1158600.07</v>
      </c>
      <c r="F152" s="37">
        <v>0</v>
      </c>
      <c r="G152" s="37">
        <v>0</v>
      </c>
    </row>
    <row r="153" spans="1:7">
      <c r="A153" s="16" t="str">
        <f t="shared" si="2"/>
        <v>372A</v>
      </c>
      <c r="B153" s="37">
        <v>372</v>
      </c>
      <c r="C153" s="37" t="s">
        <v>164</v>
      </c>
      <c r="D153" s="37">
        <v>0</v>
      </c>
      <c r="E153" s="37">
        <v>0</v>
      </c>
      <c r="F153" s="37">
        <v>0</v>
      </c>
      <c r="G153" s="37">
        <v>0</v>
      </c>
    </row>
    <row r="154" spans="1:7">
      <c r="A154" s="16" t="str">
        <f t="shared" si="2"/>
        <v>373A</v>
      </c>
      <c r="B154" s="37">
        <v>373</v>
      </c>
      <c r="C154" s="37" t="s">
        <v>165</v>
      </c>
      <c r="D154" s="37">
        <v>0</v>
      </c>
      <c r="E154" s="37">
        <v>0</v>
      </c>
      <c r="F154" s="37">
        <v>0</v>
      </c>
      <c r="G154" s="37">
        <v>0</v>
      </c>
    </row>
    <row r="155" spans="1:7">
      <c r="A155" s="16" t="str">
        <f t="shared" si="2"/>
        <v>379A</v>
      </c>
      <c r="B155" s="37">
        <v>379</v>
      </c>
      <c r="C155" s="37" t="s">
        <v>166</v>
      </c>
      <c r="D155" s="37">
        <v>0</v>
      </c>
      <c r="E155" s="37">
        <v>0</v>
      </c>
      <c r="F155" s="37">
        <v>0</v>
      </c>
      <c r="G155" s="37">
        <v>0</v>
      </c>
    </row>
    <row r="156" spans="1:7">
      <c r="A156" s="16" t="str">
        <f t="shared" si="2"/>
        <v>380A</v>
      </c>
      <c r="B156" s="37">
        <v>380</v>
      </c>
      <c r="C156" s="37" t="s">
        <v>167</v>
      </c>
      <c r="D156" s="38">
        <v>9609761.8399999999</v>
      </c>
      <c r="E156" s="38">
        <v>10533460.68</v>
      </c>
      <c r="F156" s="37">
        <v>0</v>
      </c>
      <c r="G156" s="38">
        <v>923698.84</v>
      </c>
    </row>
    <row r="157" spans="1:7">
      <c r="A157" s="16" t="str">
        <f t="shared" si="2"/>
        <v>381A</v>
      </c>
      <c r="B157" s="37">
        <v>381</v>
      </c>
      <c r="C157" s="37" t="s">
        <v>168</v>
      </c>
      <c r="D157" s="37">
        <v>0</v>
      </c>
      <c r="E157" s="37">
        <v>0</v>
      </c>
      <c r="F157" s="37">
        <v>0</v>
      </c>
      <c r="G157" s="37">
        <v>0</v>
      </c>
    </row>
    <row r="158" spans="1:7">
      <c r="A158" s="16" t="str">
        <f t="shared" si="2"/>
        <v>382A</v>
      </c>
      <c r="B158" s="37">
        <v>382</v>
      </c>
      <c r="C158" s="37" t="s">
        <v>522</v>
      </c>
      <c r="D158" s="37">
        <v>0</v>
      </c>
      <c r="E158" s="37">
        <v>0</v>
      </c>
      <c r="F158" s="37">
        <v>0</v>
      </c>
      <c r="G158" s="37">
        <v>0</v>
      </c>
    </row>
    <row r="159" spans="1:7">
      <c r="A159" s="16" t="str">
        <f t="shared" si="2"/>
        <v>391A</v>
      </c>
      <c r="B159" s="37">
        <v>391</v>
      </c>
      <c r="C159" s="37" t="s">
        <v>169</v>
      </c>
      <c r="D159" s="38">
        <v>9403444.9299999997</v>
      </c>
      <c r="E159" s="38">
        <v>9403444.9299999997</v>
      </c>
      <c r="F159" s="37">
        <v>0</v>
      </c>
      <c r="G159" s="37">
        <v>0</v>
      </c>
    </row>
    <row r="160" spans="1:7">
      <c r="A160" s="16" t="str">
        <f t="shared" si="2"/>
        <v>392A</v>
      </c>
      <c r="B160" s="37">
        <v>392</v>
      </c>
      <c r="C160" s="37" t="s">
        <v>170</v>
      </c>
      <c r="D160" s="37">
        <v>0</v>
      </c>
      <c r="E160" s="37">
        <v>0</v>
      </c>
      <c r="F160" s="37">
        <v>0</v>
      </c>
      <c r="G160" s="37">
        <v>0</v>
      </c>
    </row>
    <row r="161" spans="1:7">
      <c r="A161" s="16" t="str">
        <f t="shared" si="2"/>
        <v>393A</v>
      </c>
      <c r="B161" s="37">
        <v>393</v>
      </c>
      <c r="C161" s="37" t="s">
        <v>171</v>
      </c>
      <c r="D161" s="37">
        <v>0</v>
      </c>
      <c r="E161" s="37">
        <v>0</v>
      </c>
      <c r="F161" s="37">
        <v>0</v>
      </c>
      <c r="G161" s="37">
        <v>0</v>
      </c>
    </row>
    <row r="162" spans="1:7">
      <c r="A162" s="16" t="str">
        <f t="shared" si="2"/>
        <v>397A</v>
      </c>
      <c r="B162" s="37">
        <v>397</v>
      </c>
      <c r="C162" s="37" t="s">
        <v>172</v>
      </c>
      <c r="D162" s="38">
        <v>592226.78</v>
      </c>
      <c r="E162" s="38">
        <v>592226.78</v>
      </c>
      <c r="F162" s="37">
        <v>0</v>
      </c>
      <c r="G162" s="37">
        <v>0</v>
      </c>
    </row>
    <row r="163" spans="1:7">
      <c r="A163" s="16" t="str">
        <f t="shared" si="2"/>
        <v>399A</v>
      </c>
      <c r="B163" s="37">
        <v>399</v>
      </c>
      <c r="C163" s="37" t="s">
        <v>173</v>
      </c>
      <c r="D163" s="37">
        <v>0</v>
      </c>
      <c r="E163" s="37">
        <v>0</v>
      </c>
      <c r="F163" s="37">
        <v>0</v>
      </c>
      <c r="G163" s="37">
        <v>0</v>
      </c>
    </row>
    <row r="164" spans="1:7">
      <c r="A164" s="16" t="str">
        <f t="shared" si="2"/>
        <v>4A</v>
      </c>
      <c r="B164" s="37">
        <v>4</v>
      </c>
      <c r="C164" s="37" t="s">
        <v>7</v>
      </c>
      <c r="D164" s="37">
        <v>0</v>
      </c>
      <c r="E164" s="37">
        <v>0</v>
      </c>
      <c r="F164" s="37">
        <v>0</v>
      </c>
      <c r="G164" s="37">
        <v>0</v>
      </c>
    </row>
    <row r="165" spans="1:7">
      <c r="A165" s="16" t="str">
        <f t="shared" si="2"/>
        <v>400A</v>
      </c>
      <c r="B165" s="37">
        <v>400</v>
      </c>
      <c r="C165" s="37" t="s">
        <v>523</v>
      </c>
      <c r="D165" s="37">
        <v>0</v>
      </c>
      <c r="E165" s="37">
        <v>0</v>
      </c>
      <c r="F165" s="37">
        <v>0</v>
      </c>
      <c r="G165" s="37">
        <v>0</v>
      </c>
    </row>
    <row r="166" spans="1:7">
      <c r="A166" s="16" t="str">
        <f t="shared" si="2"/>
        <v>401A</v>
      </c>
      <c r="B166" s="37">
        <v>401</v>
      </c>
      <c r="C166" s="37" t="s">
        <v>148</v>
      </c>
      <c r="D166" s="37">
        <v>0</v>
      </c>
      <c r="E166" s="37">
        <v>0</v>
      </c>
      <c r="F166" s="37">
        <v>0</v>
      </c>
      <c r="G166" s="37">
        <v>0</v>
      </c>
    </row>
    <row r="167" spans="1:7">
      <c r="A167" s="16" t="str">
        <f t="shared" si="2"/>
        <v>402A</v>
      </c>
      <c r="B167" s="37">
        <v>402</v>
      </c>
      <c r="C167" s="37" t="s">
        <v>517</v>
      </c>
      <c r="D167" s="37">
        <v>0</v>
      </c>
      <c r="E167" s="37">
        <v>0</v>
      </c>
      <c r="F167" s="37">
        <v>0</v>
      </c>
      <c r="G167" s="37">
        <v>0</v>
      </c>
    </row>
    <row r="168" spans="1:7">
      <c r="A168" s="16" t="str">
        <f t="shared" si="2"/>
        <v>403A</v>
      </c>
      <c r="B168" s="37">
        <v>403</v>
      </c>
      <c r="C168" s="37" t="s">
        <v>149</v>
      </c>
      <c r="D168" s="37">
        <v>0</v>
      </c>
      <c r="E168" s="37">
        <v>0</v>
      </c>
      <c r="F168" s="37">
        <v>0</v>
      </c>
      <c r="G168" s="37">
        <v>0</v>
      </c>
    </row>
    <row r="169" spans="1:7">
      <c r="A169" s="16" t="str">
        <f t="shared" si="2"/>
        <v>405A</v>
      </c>
      <c r="B169" s="37">
        <v>405</v>
      </c>
      <c r="C169" s="37" t="s">
        <v>174</v>
      </c>
      <c r="D169" s="37">
        <v>0</v>
      </c>
      <c r="E169" s="37">
        <v>0</v>
      </c>
      <c r="F169" s="37">
        <v>0</v>
      </c>
      <c r="G169" s="37">
        <v>0</v>
      </c>
    </row>
    <row r="170" spans="1:7">
      <c r="A170" s="16" t="str">
        <f t="shared" si="2"/>
        <v>407A</v>
      </c>
      <c r="B170" s="37">
        <v>407</v>
      </c>
      <c r="C170" s="37" t="s">
        <v>151</v>
      </c>
      <c r="D170" s="37">
        <v>0</v>
      </c>
      <c r="E170" s="37">
        <v>0</v>
      </c>
      <c r="F170" s="37">
        <v>0</v>
      </c>
      <c r="G170" s="37">
        <v>0</v>
      </c>
    </row>
    <row r="171" spans="1:7">
      <c r="A171" s="16" t="str">
        <f t="shared" si="2"/>
        <v>408A</v>
      </c>
      <c r="B171" s="37">
        <v>408</v>
      </c>
      <c r="C171" s="37" t="s">
        <v>152</v>
      </c>
      <c r="D171" s="37">
        <v>0</v>
      </c>
      <c r="E171" s="37">
        <v>0</v>
      </c>
      <c r="F171" s="37">
        <v>0</v>
      </c>
      <c r="G171" s="37">
        <v>0</v>
      </c>
    </row>
    <row r="172" spans="1:7">
      <c r="A172" s="16" t="str">
        <f t="shared" si="2"/>
        <v>409A</v>
      </c>
      <c r="B172" s="37">
        <v>409</v>
      </c>
      <c r="C172" s="37" t="s">
        <v>153</v>
      </c>
      <c r="D172" s="37">
        <v>0</v>
      </c>
      <c r="E172" s="37">
        <v>0</v>
      </c>
      <c r="F172" s="37">
        <v>0</v>
      </c>
      <c r="G172" s="37">
        <v>0</v>
      </c>
    </row>
    <row r="173" spans="1:7">
      <c r="A173" s="16" t="str">
        <f t="shared" si="2"/>
        <v>420A</v>
      </c>
      <c r="B173" s="37">
        <v>420</v>
      </c>
      <c r="C173" s="37" t="s">
        <v>26</v>
      </c>
      <c r="D173" s="37">
        <v>0</v>
      </c>
      <c r="E173" s="37">
        <v>0</v>
      </c>
      <c r="F173" s="37">
        <v>0</v>
      </c>
      <c r="G173" s="37">
        <v>0</v>
      </c>
    </row>
    <row r="174" spans="1:7">
      <c r="A174" s="16" t="str">
        <f t="shared" si="2"/>
        <v>421A</v>
      </c>
      <c r="B174" s="37">
        <v>421</v>
      </c>
      <c r="C174" s="37" t="s">
        <v>154</v>
      </c>
      <c r="D174" s="37">
        <v>0</v>
      </c>
      <c r="E174" s="37">
        <v>0</v>
      </c>
      <c r="F174" s="37">
        <v>0</v>
      </c>
      <c r="G174" s="37">
        <v>0</v>
      </c>
    </row>
    <row r="175" spans="1:7">
      <c r="A175" s="16" t="str">
        <f t="shared" si="2"/>
        <v>422A</v>
      </c>
      <c r="B175" s="37">
        <v>422</v>
      </c>
      <c r="C175" s="37" t="s">
        <v>155</v>
      </c>
      <c r="D175" s="37">
        <v>0</v>
      </c>
      <c r="E175" s="37">
        <v>0</v>
      </c>
      <c r="F175" s="37">
        <v>0</v>
      </c>
      <c r="G175" s="37">
        <v>0</v>
      </c>
    </row>
    <row r="176" spans="1:7">
      <c r="A176" s="16" t="str">
        <f t="shared" si="2"/>
        <v>426A</v>
      </c>
      <c r="B176" s="37">
        <v>426</v>
      </c>
      <c r="C176" s="37" t="s">
        <v>156</v>
      </c>
      <c r="D176" s="37">
        <v>0</v>
      </c>
      <c r="E176" s="37">
        <v>0</v>
      </c>
      <c r="F176" s="37">
        <v>0</v>
      </c>
      <c r="G176" s="37">
        <v>0</v>
      </c>
    </row>
    <row r="177" spans="1:7">
      <c r="A177" s="16" t="str">
        <f t="shared" si="2"/>
        <v>429A</v>
      </c>
      <c r="B177" s="37">
        <v>429</v>
      </c>
      <c r="C177" s="37" t="s">
        <v>27</v>
      </c>
      <c r="D177" s="37">
        <v>0</v>
      </c>
      <c r="E177" s="37">
        <v>0</v>
      </c>
      <c r="F177" s="37">
        <v>0</v>
      </c>
      <c r="G177" s="37">
        <v>0</v>
      </c>
    </row>
    <row r="178" spans="1:7">
      <c r="A178" s="16" t="str">
        <f t="shared" si="2"/>
        <v>431A</v>
      </c>
      <c r="B178" s="37">
        <v>431</v>
      </c>
      <c r="C178" s="37" t="s">
        <v>28</v>
      </c>
      <c r="D178" s="37">
        <v>0</v>
      </c>
      <c r="E178" s="37">
        <v>0</v>
      </c>
      <c r="F178" s="37">
        <v>0</v>
      </c>
      <c r="G178" s="37">
        <v>0</v>
      </c>
    </row>
    <row r="179" spans="1:7">
      <c r="A179" s="16" t="str">
        <f t="shared" si="2"/>
        <v>432A</v>
      </c>
      <c r="B179" s="37">
        <v>432</v>
      </c>
      <c r="C179" s="37" t="s">
        <v>519</v>
      </c>
      <c r="D179" s="37">
        <v>0</v>
      </c>
      <c r="E179" s="37">
        <v>0</v>
      </c>
      <c r="F179" s="37">
        <v>0</v>
      </c>
      <c r="G179" s="37">
        <v>0</v>
      </c>
    </row>
    <row r="180" spans="1:7">
      <c r="A180" s="16" t="str">
        <f t="shared" si="2"/>
        <v>433A</v>
      </c>
      <c r="B180" s="37">
        <v>433</v>
      </c>
      <c r="C180" s="37" t="s">
        <v>157</v>
      </c>
      <c r="D180" s="37">
        <v>0</v>
      </c>
      <c r="E180" s="37">
        <v>0</v>
      </c>
      <c r="F180" s="37">
        <v>0</v>
      </c>
      <c r="G180" s="37">
        <v>0</v>
      </c>
    </row>
    <row r="181" spans="1:7">
      <c r="A181" s="16" t="str">
        <f t="shared" si="2"/>
        <v>436A</v>
      </c>
      <c r="B181" s="37">
        <v>436</v>
      </c>
      <c r="C181" s="37" t="s">
        <v>29</v>
      </c>
      <c r="D181" s="37">
        <v>0</v>
      </c>
      <c r="E181" s="37">
        <v>0</v>
      </c>
      <c r="F181" s="37">
        <v>0</v>
      </c>
      <c r="G181" s="37">
        <v>0</v>
      </c>
    </row>
    <row r="182" spans="1:7">
      <c r="A182" s="16" t="str">
        <f t="shared" si="2"/>
        <v>437A</v>
      </c>
      <c r="B182" s="37">
        <v>437</v>
      </c>
      <c r="C182" s="37" t="s">
        <v>158</v>
      </c>
      <c r="D182" s="37">
        <v>0</v>
      </c>
      <c r="E182" s="37">
        <v>0</v>
      </c>
      <c r="F182" s="37">
        <v>0</v>
      </c>
      <c r="G182" s="37">
        <v>0</v>
      </c>
    </row>
    <row r="183" spans="1:7">
      <c r="A183" s="16" t="str">
        <f t="shared" si="2"/>
        <v>438A</v>
      </c>
      <c r="B183" s="37">
        <v>438</v>
      </c>
      <c r="C183" s="37" t="s">
        <v>524</v>
      </c>
      <c r="D183" s="37">
        <v>0</v>
      </c>
      <c r="E183" s="37">
        <v>0</v>
      </c>
      <c r="F183" s="37">
        <v>0</v>
      </c>
      <c r="G183" s="37">
        <v>0</v>
      </c>
    </row>
    <row r="184" spans="1:7">
      <c r="A184" s="16" t="str">
        <f t="shared" si="2"/>
        <v>440A</v>
      </c>
      <c r="B184" s="37">
        <v>440</v>
      </c>
      <c r="C184" s="37" t="s">
        <v>159</v>
      </c>
      <c r="D184" s="37">
        <v>0</v>
      </c>
      <c r="E184" s="37">
        <v>0</v>
      </c>
      <c r="F184" s="37">
        <v>0</v>
      </c>
      <c r="G184" s="37">
        <v>0</v>
      </c>
    </row>
    <row r="185" spans="1:7">
      <c r="A185" s="16" t="str">
        <f t="shared" si="2"/>
        <v>449A</v>
      </c>
      <c r="B185" s="37">
        <v>449</v>
      </c>
      <c r="C185" s="37" t="s">
        <v>160</v>
      </c>
      <c r="D185" s="37">
        <v>0</v>
      </c>
      <c r="E185" s="37">
        <v>0</v>
      </c>
      <c r="F185" s="37">
        <v>0</v>
      </c>
      <c r="G185" s="37">
        <v>0</v>
      </c>
    </row>
    <row r="186" spans="1:7">
      <c r="A186" s="16" t="str">
        <f t="shared" si="2"/>
        <v>472A</v>
      </c>
      <c r="B186" s="37">
        <v>472</v>
      </c>
      <c r="C186" s="37" t="s">
        <v>164</v>
      </c>
      <c r="D186" s="37">
        <v>0</v>
      </c>
      <c r="E186" s="37">
        <v>0</v>
      </c>
      <c r="F186" s="37">
        <v>0</v>
      </c>
      <c r="G186" s="37">
        <v>0</v>
      </c>
    </row>
    <row r="187" spans="1:7">
      <c r="A187" s="16" t="str">
        <f t="shared" si="2"/>
        <v>479A</v>
      </c>
      <c r="B187" s="37">
        <v>479</v>
      </c>
      <c r="C187" s="37" t="s">
        <v>166</v>
      </c>
      <c r="D187" s="37">
        <v>0</v>
      </c>
      <c r="E187" s="37">
        <v>0</v>
      </c>
      <c r="F187" s="37">
        <v>0</v>
      </c>
      <c r="G187" s="37">
        <v>0</v>
      </c>
    </row>
    <row r="188" spans="1:7">
      <c r="A188" s="16" t="str">
        <f t="shared" si="2"/>
        <v>480A</v>
      </c>
      <c r="B188" s="37">
        <v>480</v>
      </c>
      <c r="C188" s="37" t="s">
        <v>175</v>
      </c>
      <c r="D188" s="37">
        <v>0</v>
      </c>
      <c r="E188" s="37">
        <v>0</v>
      </c>
      <c r="F188" s="37">
        <v>0</v>
      </c>
      <c r="G188" s="37">
        <v>0</v>
      </c>
    </row>
    <row r="189" spans="1:7">
      <c r="A189" s="16" t="str">
        <f t="shared" si="2"/>
        <v>481A</v>
      </c>
      <c r="B189" s="37">
        <v>481</v>
      </c>
      <c r="C189" s="37" t="s">
        <v>168</v>
      </c>
      <c r="D189" s="37">
        <v>0</v>
      </c>
      <c r="E189" s="37">
        <v>0</v>
      </c>
      <c r="F189" s="37">
        <v>0</v>
      </c>
      <c r="G189" s="37">
        <v>0</v>
      </c>
    </row>
    <row r="190" spans="1:7">
      <c r="A190" s="16" t="str">
        <f t="shared" si="2"/>
        <v>486A</v>
      </c>
      <c r="B190" s="37">
        <v>486</v>
      </c>
      <c r="C190" s="37" t="s">
        <v>525</v>
      </c>
      <c r="D190" s="37">
        <v>0</v>
      </c>
      <c r="E190" s="37">
        <v>0</v>
      </c>
      <c r="F190" s="37">
        <v>0</v>
      </c>
      <c r="G190" s="37">
        <v>0</v>
      </c>
    </row>
    <row r="191" spans="1:7">
      <c r="A191" s="16" t="str">
        <f t="shared" si="2"/>
        <v>492A</v>
      </c>
      <c r="B191" s="37">
        <v>492</v>
      </c>
      <c r="C191" s="37" t="s">
        <v>176</v>
      </c>
      <c r="D191" s="37">
        <v>0</v>
      </c>
      <c r="E191" s="37">
        <v>0</v>
      </c>
      <c r="F191" s="37">
        <v>0</v>
      </c>
      <c r="G191" s="37">
        <v>0</v>
      </c>
    </row>
    <row r="192" spans="1:7">
      <c r="A192" s="16" t="str">
        <f t="shared" si="2"/>
        <v>493A</v>
      </c>
      <c r="B192" s="37">
        <v>493</v>
      </c>
      <c r="C192" s="37" t="s">
        <v>177</v>
      </c>
      <c r="D192" s="37">
        <v>0</v>
      </c>
      <c r="E192" s="37">
        <v>0</v>
      </c>
      <c r="F192" s="37">
        <v>0</v>
      </c>
      <c r="G192" s="37">
        <v>0</v>
      </c>
    </row>
    <row r="193" spans="1:7">
      <c r="A193" s="16" t="str">
        <f t="shared" ref="A193:A256" si="3">CONCATENATE(B193,"A")</f>
        <v>499A</v>
      </c>
      <c r="B193" s="37">
        <v>499</v>
      </c>
      <c r="C193" s="37" t="s">
        <v>178</v>
      </c>
      <c r="D193" s="37">
        <v>0</v>
      </c>
      <c r="E193" s="37">
        <v>0</v>
      </c>
      <c r="F193" s="37">
        <v>0</v>
      </c>
      <c r="G193" s="37">
        <v>0</v>
      </c>
    </row>
    <row r="194" spans="1:7">
      <c r="A194" s="16" t="str">
        <f t="shared" si="3"/>
        <v>5A</v>
      </c>
      <c r="B194" s="37">
        <v>5</v>
      </c>
      <c r="C194" s="37" t="s">
        <v>4</v>
      </c>
      <c r="D194" s="37">
        <v>0</v>
      </c>
      <c r="E194" s="37">
        <v>0</v>
      </c>
      <c r="F194" s="37">
        <v>0</v>
      </c>
      <c r="G194" s="37">
        <v>0</v>
      </c>
    </row>
    <row r="195" spans="1:7">
      <c r="A195" s="16" t="str">
        <f t="shared" si="3"/>
        <v>500A</v>
      </c>
      <c r="B195" s="37">
        <v>500</v>
      </c>
      <c r="C195" s="37" t="s">
        <v>32</v>
      </c>
      <c r="D195" s="37">
        <v>0</v>
      </c>
      <c r="E195" s="38">
        <v>50000</v>
      </c>
      <c r="F195" s="37">
        <v>0</v>
      </c>
      <c r="G195" s="38">
        <v>50000</v>
      </c>
    </row>
    <row r="196" spans="1:7">
      <c r="A196" s="16" t="str">
        <f t="shared" si="3"/>
        <v>501A</v>
      </c>
      <c r="B196" s="37">
        <v>501</v>
      </c>
      <c r="C196" s="37" t="s">
        <v>33</v>
      </c>
      <c r="D196" s="37">
        <v>0</v>
      </c>
      <c r="E196" s="37">
        <v>0</v>
      </c>
      <c r="F196" s="37">
        <v>0</v>
      </c>
      <c r="G196" s="37">
        <v>0</v>
      </c>
    </row>
    <row r="197" spans="1:7">
      <c r="A197" s="16" t="str">
        <f t="shared" si="3"/>
        <v>502A</v>
      </c>
      <c r="B197" s="37">
        <v>502</v>
      </c>
      <c r="C197" s="37" t="s">
        <v>526</v>
      </c>
      <c r="D197" s="37">
        <v>0</v>
      </c>
      <c r="E197" s="38">
        <v>343344.37</v>
      </c>
      <c r="F197" s="37">
        <v>0</v>
      </c>
      <c r="G197" s="38">
        <v>343344.37</v>
      </c>
    </row>
    <row r="198" spans="1:7">
      <c r="A198" s="16" t="str">
        <f t="shared" si="3"/>
        <v>503A</v>
      </c>
      <c r="B198" s="37">
        <v>503</v>
      </c>
      <c r="C198" s="37" t="s">
        <v>527</v>
      </c>
      <c r="D198" s="37">
        <v>0</v>
      </c>
      <c r="E198" s="37">
        <v>0</v>
      </c>
      <c r="F198" s="37">
        <v>0</v>
      </c>
      <c r="G198" s="37">
        <v>0</v>
      </c>
    </row>
    <row r="199" spans="1:7">
      <c r="A199" s="16" t="str">
        <f t="shared" si="3"/>
        <v>520A</v>
      </c>
      <c r="B199" s="37">
        <v>520</v>
      </c>
      <c r="C199" s="37" t="s">
        <v>528</v>
      </c>
      <c r="D199" s="37">
        <v>0</v>
      </c>
      <c r="E199" s="37">
        <v>0</v>
      </c>
      <c r="F199" s="37">
        <v>0</v>
      </c>
      <c r="G199" s="37">
        <v>0</v>
      </c>
    </row>
    <row r="200" spans="1:7">
      <c r="A200" s="16" t="str">
        <f t="shared" si="3"/>
        <v>521A</v>
      </c>
      <c r="B200" s="37">
        <v>521</v>
      </c>
      <c r="C200" s="37" t="s">
        <v>179</v>
      </c>
      <c r="D200" s="37">
        <v>0</v>
      </c>
      <c r="E200" s="37">
        <v>0</v>
      </c>
      <c r="F200" s="37">
        <v>0</v>
      </c>
      <c r="G200" s="37">
        <v>0</v>
      </c>
    </row>
    <row r="201" spans="1:7">
      <c r="A201" s="16" t="str">
        <f t="shared" si="3"/>
        <v>522A</v>
      </c>
      <c r="B201" s="37">
        <v>522</v>
      </c>
      <c r="C201" s="37" t="s">
        <v>529</v>
      </c>
      <c r="D201" s="37">
        <v>0</v>
      </c>
      <c r="E201" s="37">
        <v>0</v>
      </c>
      <c r="F201" s="37">
        <v>0</v>
      </c>
      <c r="G201" s="37">
        <v>0</v>
      </c>
    </row>
    <row r="202" spans="1:7">
      <c r="A202" s="16" t="str">
        <f t="shared" si="3"/>
        <v>523A</v>
      </c>
      <c r="B202" s="37">
        <v>523</v>
      </c>
      <c r="C202" s="37" t="s">
        <v>180</v>
      </c>
      <c r="D202" s="37">
        <v>0</v>
      </c>
      <c r="E202" s="37">
        <v>0</v>
      </c>
      <c r="F202" s="37">
        <v>0</v>
      </c>
      <c r="G202" s="37">
        <v>0</v>
      </c>
    </row>
    <row r="203" spans="1:7">
      <c r="A203" s="16" t="str">
        <f t="shared" si="3"/>
        <v>524A</v>
      </c>
      <c r="B203" s="37">
        <v>524</v>
      </c>
      <c r="C203" s="37" t="s">
        <v>530</v>
      </c>
      <c r="D203" s="37">
        <v>0</v>
      </c>
      <c r="E203" s="37">
        <v>0</v>
      </c>
      <c r="F203" s="37">
        <v>0</v>
      </c>
      <c r="G203" s="37">
        <v>0</v>
      </c>
    </row>
    <row r="204" spans="1:7">
      <c r="A204" s="16" t="str">
        <f t="shared" si="3"/>
        <v>529A</v>
      </c>
      <c r="B204" s="37">
        <v>529</v>
      </c>
      <c r="C204" s="37" t="s">
        <v>181</v>
      </c>
      <c r="D204" s="37">
        <v>0</v>
      </c>
      <c r="E204" s="37">
        <v>0</v>
      </c>
      <c r="F204" s="37">
        <v>0</v>
      </c>
      <c r="G204" s="37">
        <v>0</v>
      </c>
    </row>
    <row r="205" spans="1:7">
      <c r="A205" s="16" t="str">
        <f t="shared" si="3"/>
        <v>540A</v>
      </c>
      <c r="B205" s="37">
        <v>540</v>
      </c>
      <c r="C205" s="37" t="s">
        <v>182</v>
      </c>
      <c r="D205" s="37">
        <v>0</v>
      </c>
      <c r="E205" s="37">
        <v>0</v>
      </c>
      <c r="F205" s="37">
        <v>0</v>
      </c>
      <c r="G205" s="37">
        <v>0</v>
      </c>
    </row>
    <row r="206" spans="1:7">
      <c r="A206" s="16" t="str">
        <f t="shared" si="3"/>
        <v>541A</v>
      </c>
      <c r="B206" s="37">
        <v>541</v>
      </c>
      <c r="C206" s="37" t="s">
        <v>183</v>
      </c>
      <c r="D206" s="37">
        <v>0</v>
      </c>
      <c r="E206" s="37">
        <v>0</v>
      </c>
      <c r="F206" s="37">
        <v>0</v>
      </c>
      <c r="G206" s="37">
        <v>0</v>
      </c>
    </row>
    <row r="207" spans="1:7">
      <c r="A207" s="16" t="str">
        <f t="shared" si="3"/>
        <v>542A</v>
      </c>
      <c r="B207" s="37">
        <v>542</v>
      </c>
      <c r="C207" s="37" t="s">
        <v>184</v>
      </c>
      <c r="D207" s="37">
        <v>0</v>
      </c>
      <c r="E207" s="37">
        <v>0</v>
      </c>
      <c r="F207" s="37">
        <v>0</v>
      </c>
      <c r="G207" s="37">
        <v>0</v>
      </c>
    </row>
    <row r="208" spans="1:7">
      <c r="A208" s="16" t="str">
        <f t="shared" si="3"/>
        <v>548A</v>
      </c>
      <c r="B208" s="37">
        <v>548</v>
      </c>
      <c r="C208" s="37" t="s">
        <v>185</v>
      </c>
      <c r="D208" s="37">
        <v>0</v>
      </c>
      <c r="E208" s="37">
        <v>0</v>
      </c>
      <c r="F208" s="37">
        <v>0</v>
      </c>
      <c r="G208" s="37">
        <v>0</v>
      </c>
    </row>
    <row r="209" spans="1:7">
      <c r="A209" s="16" t="str">
        <f t="shared" si="3"/>
        <v>549A</v>
      </c>
      <c r="B209" s="37">
        <v>549</v>
      </c>
      <c r="C209" s="37" t="s">
        <v>186</v>
      </c>
      <c r="D209" s="37">
        <v>0</v>
      </c>
      <c r="E209" s="38">
        <v>565565.84</v>
      </c>
      <c r="F209" s="37">
        <v>0</v>
      </c>
      <c r="G209" s="38">
        <v>565565.84</v>
      </c>
    </row>
    <row r="210" spans="1:7">
      <c r="A210" s="16" t="str">
        <f t="shared" si="3"/>
        <v>570A</v>
      </c>
      <c r="B210" s="37">
        <v>570</v>
      </c>
      <c r="C210" s="37" t="s">
        <v>187</v>
      </c>
      <c r="D210" s="37">
        <v>0</v>
      </c>
      <c r="E210" s="38">
        <v>14189433.189999999</v>
      </c>
      <c r="F210" s="37">
        <v>0</v>
      </c>
      <c r="G210" s="38">
        <v>14189433.189999999</v>
      </c>
    </row>
    <row r="211" spans="1:7">
      <c r="A211" s="16" t="str">
        <f t="shared" si="3"/>
        <v>572A</v>
      </c>
      <c r="B211" s="37">
        <v>572</v>
      </c>
      <c r="C211" s="37" t="s">
        <v>531</v>
      </c>
      <c r="D211" s="37">
        <v>0</v>
      </c>
      <c r="E211" s="37">
        <v>0</v>
      </c>
      <c r="F211" s="37">
        <v>0</v>
      </c>
      <c r="G211" s="37">
        <v>0</v>
      </c>
    </row>
    <row r="212" spans="1:7">
      <c r="A212" s="16" t="str">
        <f t="shared" si="3"/>
        <v>580A</v>
      </c>
      <c r="B212" s="37">
        <v>580</v>
      </c>
      <c r="C212" s="37" t="s">
        <v>188</v>
      </c>
      <c r="D212" s="37">
        <v>0</v>
      </c>
      <c r="E212" s="37">
        <v>0</v>
      </c>
      <c r="F212" s="37">
        <v>0</v>
      </c>
      <c r="G212" s="37">
        <v>0</v>
      </c>
    </row>
    <row r="213" spans="1:7">
      <c r="A213" s="16" t="str">
        <f t="shared" si="3"/>
        <v>582A</v>
      </c>
      <c r="B213" s="37">
        <v>582</v>
      </c>
      <c r="C213" s="37" t="s">
        <v>532</v>
      </c>
      <c r="D213" s="37">
        <v>0</v>
      </c>
      <c r="E213" s="37">
        <v>0</v>
      </c>
      <c r="F213" s="37">
        <v>0</v>
      </c>
      <c r="G213" s="37">
        <v>0</v>
      </c>
    </row>
    <row r="214" spans="1:7">
      <c r="A214" s="16" t="str">
        <f t="shared" si="3"/>
        <v>590A</v>
      </c>
      <c r="B214" s="37">
        <v>590</v>
      </c>
      <c r="C214" s="37" t="s">
        <v>189</v>
      </c>
      <c r="D214" s="37">
        <v>0</v>
      </c>
      <c r="E214" s="37">
        <v>0</v>
      </c>
      <c r="F214" s="37">
        <v>0</v>
      </c>
      <c r="G214" s="37">
        <v>0</v>
      </c>
    </row>
    <row r="215" spans="1:7">
      <c r="A215" s="16" t="str">
        <f t="shared" si="3"/>
        <v>591A</v>
      </c>
      <c r="B215" s="37">
        <v>591</v>
      </c>
      <c r="C215" s="37" t="s">
        <v>34</v>
      </c>
      <c r="D215" s="37">
        <v>0</v>
      </c>
      <c r="E215" s="37">
        <v>0</v>
      </c>
      <c r="F215" s="37">
        <v>0</v>
      </c>
      <c r="G215" s="37">
        <v>0</v>
      </c>
    </row>
    <row r="216" spans="1:7">
      <c r="A216" s="16" t="str">
        <f t="shared" si="3"/>
        <v>6A</v>
      </c>
      <c r="B216" s="37">
        <v>6</v>
      </c>
      <c r="C216" s="37" t="s">
        <v>533</v>
      </c>
      <c r="D216" s="37">
        <v>0</v>
      </c>
      <c r="E216" s="37">
        <v>0</v>
      </c>
      <c r="F216" s="37">
        <v>0</v>
      </c>
      <c r="G216" s="37">
        <v>0</v>
      </c>
    </row>
    <row r="217" spans="1:7">
      <c r="A217" s="16" t="str">
        <f t="shared" si="3"/>
        <v>600A</v>
      </c>
      <c r="B217" s="37">
        <v>600</v>
      </c>
      <c r="C217" s="37" t="s">
        <v>534</v>
      </c>
      <c r="D217" s="37">
        <v>0</v>
      </c>
      <c r="E217" s="38">
        <v>48472645.009999998</v>
      </c>
      <c r="F217" s="37">
        <v>0</v>
      </c>
      <c r="G217" s="38">
        <v>48472645.009999998</v>
      </c>
    </row>
    <row r="218" spans="1:7">
      <c r="A218" s="16" t="str">
        <f t="shared" si="3"/>
        <v>601A</v>
      </c>
      <c r="B218" s="37">
        <v>601</v>
      </c>
      <c r="C218" s="37" t="s">
        <v>190</v>
      </c>
      <c r="D218" s="37">
        <v>0</v>
      </c>
      <c r="E218" s="38">
        <v>9543065.2699999996</v>
      </c>
      <c r="F218" s="37">
        <v>0</v>
      </c>
      <c r="G218" s="38">
        <v>9543065.2699999996</v>
      </c>
    </row>
    <row r="219" spans="1:7">
      <c r="A219" s="16" t="str">
        <f t="shared" si="3"/>
        <v>602A</v>
      </c>
      <c r="B219" s="37">
        <v>602</v>
      </c>
      <c r="C219" s="37" t="s">
        <v>191</v>
      </c>
      <c r="D219" s="37">
        <v>0</v>
      </c>
      <c r="E219" s="38">
        <v>449797.32</v>
      </c>
      <c r="F219" s="37">
        <v>0</v>
      </c>
      <c r="G219" s="38">
        <v>449797.32</v>
      </c>
    </row>
    <row r="220" spans="1:7">
      <c r="A220" s="16" t="str">
        <f t="shared" si="3"/>
        <v>610A</v>
      </c>
      <c r="B220" s="37">
        <v>610</v>
      </c>
      <c r="C220" s="37" t="s">
        <v>535</v>
      </c>
      <c r="D220" s="38">
        <v>355451.5</v>
      </c>
      <c r="E220" s="37">
        <v>0</v>
      </c>
      <c r="F220" s="38">
        <v>355451.5</v>
      </c>
      <c r="G220" s="37">
        <v>0</v>
      </c>
    </row>
    <row r="221" spans="1:7">
      <c r="A221" s="16" t="str">
        <f t="shared" si="3"/>
        <v>611A</v>
      </c>
      <c r="B221" s="37">
        <v>611</v>
      </c>
      <c r="C221" s="37" t="s">
        <v>192</v>
      </c>
      <c r="D221" s="37">
        <v>0</v>
      </c>
      <c r="E221" s="37">
        <v>0</v>
      </c>
      <c r="F221" s="37">
        <v>0</v>
      </c>
      <c r="G221" s="37">
        <v>0</v>
      </c>
    </row>
    <row r="222" spans="1:7">
      <c r="A222" s="16" t="str">
        <f t="shared" si="3"/>
        <v>612A</v>
      </c>
      <c r="B222" s="37">
        <v>612</v>
      </c>
      <c r="C222" s="37" t="s">
        <v>193</v>
      </c>
      <c r="D222" s="38">
        <v>18997.8</v>
      </c>
      <c r="E222" s="37">
        <v>0</v>
      </c>
      <c r="F222" s="38">
        <v>18997.8</v>
      </c>
      <c r="G222" s="37">
        <v>0</v>
      </c>
    </row>
    <row r="223" spans="1:7">
      <c r="A223" s="16" t="str">
        <f t="shared" si="3"/>
        <v>62A</v>
      </c>
      <c r="B223" s="37">
        <v>62</v>
      </c>
      <c r="C223" s="37" t="s">
        <v>536</v>
      </c>
      <c r="D223" s="37">
        <v>0</v>
      </c>
      <c r="E223" s="37">
        <v>0</v>
      </c>
      <c r="F223" s="37">
        <v>0</v>
      </c>
      <c r="G223" s="37">
        <v>0</v>
      </c>
    </row>
    <row r="224" spans="1:7">
      <c r="A224" s="16" t="str">
        <f t="shared" si="3"/>
        <v>620A</v>
      </c>
      <c r="B224" s="37">
        <v>620</v>
      </c>
      <c r="C224" s="37" t="s">
        <v>194</v>
      </c>
      <c r="D224" s="38">
        <v>41030693.420000002</v>
      </c>
      <c r="E224" s="38">
        <v>331008.02</v>
      </c>
      <c r="F224" s="38">
        <v>40699685.399999999</v>
      </c>
      <c r="G224" s="37">
        <v>0</v>
      </c>
    </row>
    <row r="225" spans="1:7">
      <c r="A225" s="16" t="str">
        <f t="shared" si="3"/>
        <v>621A</v>
      </c>
      <c r="B225" s="37">
        <v>621</v>
      </c>
      <c r="C225" s="37" t="s">
        <v>537</v>
      </c>
      <c r="D225" s="38">
        <v>4769332</v>
      </c>
      <c r="E225" s="37">
        <v>0</v>
      </c>
      <c r="F225" s="38">
        <v>4769332</v>
      </c>
      <c r="G225" s="37">
        <v>0</v>
      </c>
    </row>
    <row r="226" spans="1:7">
      <c r="A226" s="16" t="str">
        <f t="shared" si="3"/>
        <v>622A</v>
      </c>
      <c r="B226" s="37">
        <v>622</v>
      </c>
      <c r="C226" s="37" t="s">
        <v>195</v>
      </c>
      <c r="D226" s="37">
        <v>0</v>
      </c>
      <c r="E226" s="37">
        <v>0</v>
      </c>
      <c r="F226" s="37">
        <v>0</v>
      </c>
      <c r="G226" s="37">
        <v>0</v>
      </c>
    </row>
    <row r="227" spans="1:7">
      <c r="A227" s="16" t="str">
        <f t="shared" si="3"/>
        <v>623A</v>
      </c>
      <c r="B227" s="37">
        <v>623</v>
      </c>
      <c r="C227" s="37" t="s">
        <v>196</v>
      </c>
      <c r="D227" s="38">
        <v>580412.66</v>
      </c>
      <c r="E227" s="38">
        <v>2102.33</v>
      </c>
      <c r="F227" s="38">
        <v>578310.32999999996</v>
      </c>
      <c r="G227" s="37">
        <v>0</v>
      </c>
    </row>
    <row r="228" spans="1:7">
      <c r="A228" s="16" t="str">
        <f t="shared" si="3"/>
        <v>630A</v>
      </c>
      <c r="B228" s="37">
        <v>630</v>
      </c>
      <c r="C228" s="37" t="s">
        <v>493</v>
      </c>
      <c r="D228" s="38">
        <v>2017980.92</v>
      </c>
      <c r="E228" s="37">
        <v>0</v>
      </c>
      <c r="F228" s="38">
        <v>2017980.92</v>
      </c>
      <c r="G228" s="37">
        <v>0</v>
      </c>
    </row>
    <row r="229" spans="1:7">
      <c r="A229" s="16" t="str">
        <f t="shared" si="3"/>
        <v>631A</v>
      </c>
      <c r="B229" s="37">
        <v>631</v>
      </c>
      <c r="C229" s="37" t="s">
        <v>197</v>
      </c>
      <c r="D229" s="38">
        <v>4115122.91</v>
      </c>
      <c r="E229" s="37">
        <v>0</v>
      </c>
      <c r="F229" s="38">
        <v>4115122.91</v>
      </c>
      <c r="G229" s="37">
        <v>0</v>
      </c>
    </row>
    <row r="230" spans="1:7">
      <c r="A230" s="16" t="str">
        <f t="shared" si="3"/>
        <v>632A</v>
      </c>
      <c r="B230" s="37">
        <v>632</v>
      </c>
      <c r="C230" s="37" t="s">
        <v>494</v>
      </c>
      <c r="D230" s="38">
        <v>6373464.7400000002</v>
      </c>
      <c r="E230" s="37">
        <v>0</v>
      </c>
      <c r="F230" s="38">
        <v>6373464.7400000002</v>
      </c>
      <c r="G230" s="37">
        <v>0</v>
      </c>
    </row>
    <row r="231" spans="1:7">
      <c r="A231" s="16" t="str">
        <f t="shared" si="3"/>
        <v>640A</v>
      </c>
      <c r="B231" s="37">
        <v>640</v>
      </c>
      <c r="C231" s="37" t="s">
        <v>198</v>
      </c>
      <c r="D231" s="37">
        <v>0</v>
      </c>
      <c r="E231" s="37">
        <v>0</v>
      </c>
      <c r="F231" s="37">
        <v>0</v>
      </c>
      <c r="G231" s="37">
        <v>0</v>
      </c>
    </row>
    <row r="232" spans="1:7">
      <c r="A232" s="16" t="str">
        <f t="shared" si="3"/>
        <v>641A</v>
      </c>
      <c r="B232" s="37">
        <v>641</v>
      </c>
      <c r="C232" s="37" t="s">
        <v>199</v>
      </c>
      <c r="D232" s="37">
        <v>0</v>
      </c>
      <c r="E232" s="37">
        <v>0</v>
      </c>
      <c r="F232" s="37">
        <v>0</v>
      </c>
      <c r="G232" s="37">
        <v>0</v>
      </c>
    </row>
    <row r="233" spans="1:7">
      <c r="A233" s="16" t="str">
        <f t="shared" si="3"/>
        <v>642A</v>
      </c>
      <c r="B233" s="37">
        <v>642</v>
      </c>
      <c r="C233" s="37" t="s">
        <v>200</v>
      </c>
      <c r="D233" s="37">
        <v>0</v>
      </c>
      <c r="E233" s="37">
        <v>0</v>
      </c>
      <c r="F233" s="37">
        <v>0</v>
      </c>
      <c r="G233" s="37">
        <v>0</v>
      </c>
    </row>
    <row r="234" spans="1:7">
      <c r="A234" s="16" t="str">
        <f t="shared" si="3"/>
        <v>643A</v>
      </c>
      <c r="B234" s="37">
        <v>643</v>
      </c>
      <c r="C234" s="37" t="s">
        <v>201</v>
      </c>
      <c r="D234" s="37">
        <v>0</v>
      </c>
      <c r="E234" s="37">
        <v>0</v>
      </c>
      <c r="F234" s="37">
        <v>0</v>
      </c>
      <c r="G234" s="37">
        <v>0</v>
      </c>
    </row>
    <row r="235" spans="1:7">
      <c r="A235" s="16" t="str">
        <f t="shared" si="3"/>
        <v>644A</v>
      </c>
      <c r="B235" s="37">
        <v>644</v>
      </c>
      <c r="C235" s="37" t="s">
        <v>202</v>
      </c>
      <c r="D235" s="37">
        <v>0</v>
      </c>
      <c r="E235" s="37">
        <v>0</v>
      </c>
      <c r="F235" s="37">
        <v>0</v>
      </c>
      <c r="G235" s="37">
        <v>0</v>
      </c>
    </row>
    <row r="236" spans="1:7">
      <c r="A236" s="16" t="str">
        <f t="shared" si="3"/>
        <v>645A</v>
      </c>
      <c r="B236" s="37">
        <v>645</v>
      </c>
      <c r="C236" s="37" t="s">
        <v>203</v>
      </c>
      <c r="D236" s="37">
        <v>0</v>
      </c>
      <c r="E236" s="37">
        <v>0</v>
      </c>
      <c r="F236" s="37">
        <v>0</v>
      </c>
      <c r="G236" s="37">
        <v>0</v>
      </c>
    </row>
    <row r="237" spans="1:7">
      <c r="A237" s="16" t="str">
        <f t="shared" si="3"/>
        <v>646A</v>
      </c>
      <c r="B237" s="37">
        <v>646</v>
      </c>
      <c r="C237" s="37" t="s">
        <v>204</v>
      </c>
      <c r="D237" s="37">
        <v>0</v>
      </c>
      <c r="E237" s="38">
        <v>337735.13</v>
      </c>
      <c r="F237" s="37">
        <v>0</v>
      </c>
      <c r="G237" s="38">
        <v>337735.13</v>
      </c>
    </row>
    <row r="238" spans="1:7">
      <c r="A238" s="16" t="str">
        <f t="shared" si="3"/>
        <v>647A</v>
      </c>
      <c r="B238" s="37">
        <v>647</v>
      </c>
      <c r="C238" s="37" t="s">
        <v>205</v>
      </c>
      <c r="D238" s="37">
        <v>0</v>
      </c>
      <c r="E238" s="37">
        <v>0</v>
      </c>
      <c r="F238" s="37">
        <v>0</v>
      </c>
      <c r="G238" s="37">
        <v>0</v>
      </c>
    </row>
    <row r="239" spans="1:7">
      <c r="A239" s="16" t="str">
        <f t="shared" si="3"/>
        <v>648A</v>
      </c>
      <c r="B239" s="37">
        <v>648</v>
      </c>
      <c r="C239" s="37" t="s">
        <v>538</v>
      </c>
      <c r="D239" s="37">
        <v>0</v>
      </c>
      <c r="E239" s="37">
        <v>0</v>
      </c>
      <c r="F239" s="37">
        <v>0</v>
      </c>
      <c r="G239" s="37">
        <v>0</v>
      </c>
    </row>
    <row r="240" spans="1:7">
      <c r="A240" s="16" t="str">
        <f t="shared" si="3"/>
        <v>649A</v>
      </c>
      <c r="B240" s="37">
        <v>649</v>
      </c>
      <c r="C240" s="37" t="s">
        <v>495</v>
      </c>
      <c r="D240" s="37">
        <v>0</v>
      </c>
      <c r="E240" s="38">
        <v>511096.5</v>
      </c>
      <c r="F240" s="37">
        <v>0</v>
      </c>
      <c r="G240" s="38">
        <v>511096.5</v>
      </c>
    </row>
    <row r="241" spans="1:7">
      <c r="A241" s="16" t="str">
        <f t="shared" si="3"/>
        <v>652A</v>
      </c>
      <c r="B241" s="37">
        <v>652</v>
      </c>
      <c r="C241" s="37" t="s">
        <v>539</v>
      </c>
      <c r="D241" s="37">
        <v>0</v>
      </c>
      <c r="E241" s="37">
        <v>0</v>
      </c>
      <c r="F241" s="37">
        <v>0</v>
      </c>
      <c r="G241" s="37">
        <v>0</v>
      </c>
    </row>
    <row r="242" spans="1:7">
      <c r="A242" s="16" t="str">
        <f t="shared" si="3"/>
        <v>653A</v>
      </c>
      <c r="B242" s="37">
        <v>653</v>
      </c>
      <c r="C242" s="37" t="s">
        <v>206</v>
      </c>
      <c r="D242" s="38">
        <v>1167849.3700000001</v>
      </c>
      <c r="E242" s="38">
        <v>597409.25</v>
      </c>
      <c r="F242" s="38">
        <v>570440.12</v>
      </c>
      <c r="G242" s="37">
        <v>0</v>
      </c>
    </row>
    <row r="243" spans="1:7">
      <c r="A243" s="16" t="str">
        <f t="shared" si="3"/>
        <v>654A</v>
      </c>
      <c r="B243" s="37">
        <v>654</v>
      </c>
      <c r="C243" s="37" t="s">
        <v>207</v>
      </c>
      <c r="D243" s="37">
        <v>0</v>
      </c>
      <c r="E243" s="37">
        <v>0</v>
      </c>
      <c r="F243" s="37">
        <v>0</v>
      </c>
      <c r="G243" s="37">
        <v>0</v>
      </c>
    </row>
    <row r="244" spans="1:7">
      <c r="A244" s="16" t="str">
        <f t="shared" si="3"/>
        <v>655A</v>
      </c>
      <c r="B244" s="37">
        <v>655</v>
      </c>
      <c r="C244" s="37" t="s">
        <v>208</v>
      </c>
      <c r="D244" s="37">
        <v>0</v>
      </c>
      <c r="E244" s="37">
        <v>0</v>
      </c>
      <c r="F244" s="37">
        <v>0</v>
      </c>
      <c r="G244" s="37">
        <v>0</v>
      </c>
    </row>
    <row r="245" spans="1:7">
      <c r="A245" s="16" t="str">
        <f t="shared" si="3"/>
        <v>656A</v>
      </c>
      <c r="B245" s="37">
        <v>656</v>
      </c>
      <c r="C245" s="37" t="s">
        <v>209</v>
      </c>
      <c r="D245" s="38">
        <v>797940.23</v>
      </c>
      <c r="E245" s="37">
        <v>0</v>
      </c>
      <c r="F245" s="38">
        <v>797940.23</v>
      </c>
      <c r="G245" s="37">
        <v>0</v>
      </c>
    </row>
    <row r="246" spans="1:7">
      <c r="A246" s="16" t="str">
        <f t="shared" si="3"/>
        <v>657A</v>
      </c>
      <c r="B246" s="37">
        <v>657</v>
      </c>
      <c r="C246" s="37" t="s">
        <v>210</v>
      </c>
      <c r="D246" s="37">
        <v>0</v>
      </c>
      <c r="E246" s="37">
        <v>0</v>
      </c>
      <c r="F246" s="37">
        <v>0</v>
      </c>
      <c r="G246" s="37">
        <v>0</v>
      </c>
    </row>
    <row r="247" spans="1:7">
      <c r="A247" s="16" t="str">
        <f t="shared" si="3"/>
        <v>658A</v>
      </c>
      <c r="B247" s="37">
        <v>658</v>
      </c>
      <c r="C247" s="37" t="s">
        <v>540</v>
      </c>
      <c r="D247" s="38">
        <v>64487.22</v>
      </c>
      <c r="E247" s="37">
        <v>0</v>
      </c>
      <c r="F247" s="38">
        <v>64487.22</v>
      </c>
      <c r="G247" s="37">
        <v>0</v>
      </c>
    </row>
    <row r="248" spans="1:7">
      <c r="A248" s="16" t="str">
        <f t="shared" si="3"/>
        <v>659A</v>
      </c>
      <c r="B248" s="37">
        <v>659</v>
      </c>
      <c r="C248" s="37" t="s">
        <v>541</v>
      </c>
      <c r="D248" s="38">
        <v>2293.1799999999998</v>
      </c>
      <c r="E248" s="37">
        <v>0</v>
      </c>
      <c r="F248" s="38">
        <v>2293.1799999999998</v>
      </c>
      <c r="G248" s="37">
        <v>0</v>
      </c>
    </row>
    <row r="249" spans="1:7">
      <c r="A249" s="16" t="str">
        <f t="shared" si="3"/>
        <v>660A</v>
      </c>
      <c r="B249" s="37">
        <v>660</v>
      </c>
      <c r="C249" s="37" t="s">
        <v>35</v>
      </c>
      <c r="D249" s="38">
        <v>38849.589999999997</v>
      </c>
      <c r="E249" s="37">
        <v>0</v>
      </c>
      <c r="F249" s="38">
        <v>38849.589999999997</v>
      </c>
      <c r="G249" s="37">
        <v>0</v>
      </c>
    </row>
    <row r="250" spans="1:7">
      <c r="A250" s="16" t="str">
        <f t="shared" si="3"/>
        <v>661A</v>
      </c>
      <c r="B250" s="37">
        <v>661</v>
      </c>
      <c r="C250" s="37" t="s">
        <v>211</v>
      </c>
      <c r="D250" s="37">
        <v>0</v>
      </c>
      <c r="E250" s="37">
        <v>0</v>
      </c>
      <c r="F250" s="37">
        <v>0</v>
      </c>
      <c r="G250" s="37">
        <v>0</v>
      </c>
    </row>
    <row r="251" spans="1:7">
      <c r="A251" s="16" t="str">
        <f t="shared" si="3"/>
        <v>671A</v>
      </c>
      <c r="B251" s="37">
        <v>671</v>
      </c>
      <c r="C251" s="37" t="s">
        <v>212</v>
      </c>
      <c r="D251" s="37">
        <v>0</v>
      </c>
      <c r="E251" s="37">
        <v>0</v>
      </c>
      <c r="F251" s="37">
        <v>0</v>
      </c>
      <c r="G251" s="37">
        <v>0</v>
      </c>
    </row>
    <row r="252" spans="1:7">
      <c r="A252" s="16" t="str">
        <f t="shared" si="3"/>
        <v>679A</v>
      </c>
      <c r="B252" s="37">
        <v>679</v>
      </c>
      <c r="C252" s="37" t="s">
        <v>496</v>
      </c>
      <c r="D252" s="37">
        <v>0</v>
      </c>
      <c r="E252" s="38">
        <v>25909.78</v>
      </c>
      <c r="F252" s="37">
        <v>0</v>
      </c>
      <c r="G252" s="38">
        <v>25909.78</v>
      </c>
    </row>
    <row r="253" spans="1:7">
      <c r="A253" s="16" t="str">
        <f t="shared" si="3"/>
        <v>680A</v>
      </c>
      <c r="B253" s="37">
        <v>680</v>
      </c>
      <c r="C253" s="37" t="s">
        <v>213</v>
      </c>
      <c r="D253" s="37">
        <v>0</v>
      </c>
      <c r="E253" s="37">
        <v>0</v>
      </c>
      <c r="F253" s="37">
        <v>0</v>
      </c>
      <c r="G253" s="37">
        <v>0</v>
      </c>
    </row>
    <row r="254" spans="1:7">
      <c r="A254" s="16" t="str">
        <f t="shared" si="3"/>
        <v>681A</v>
      </c>
      <c r="B254" s="37">
        <v>681</v>
      </c>
      <c r="C254" s="37" t="s">
        <v>542</v>
      </c>
      <c r="D254" s="37">
        <v>0</v>
      </c>
      <c r="E254" s="37">
        <v>0</v>
      </c>
      <c r="F254" s="37">
        <v>0</v>
      </c>
      <c r="G254" s="37">
        <v>0</v>
      </c>
    </row>
    <row r="255" spans="1:7">
      <c r="A255" s="16" t="str">
        <f t="shared" si="3"/>
        <v>689A</v>
      </c>
      <c r="B255" s="37">
        <v>689</v>
      </c>
      <c r="C255" s="37" t="s">
        <v>497</v>
      </c>
      <c r="D255" s="38">
        <v>289882.88</v>
      </c>
      <c r="E255" s="37">
        <v>0</v>
      </c>
      <c r="F255" s="38">
        <v>289882.88</v>
      </c>
      <c r="G255" s="37">
        <v>0</v>
      </c>
    </row>
    <row r="256" spans="1:7">
      <c r="A256" s="16" t="str">
        <f t="shared" si="3"/>
        <v>690A</v>
      </c>
      <c r="B256" s="37">
        <v>690</v>
      </c>
      <c r="C256" s="37" t="s">
        <v>36</v>
      </c>
      <c r="D256" s="37">
        <v>0</v>
      </c>
      <c r="E256" s="37">
        <v>0</v>
      </c>
      <c r="F256" s="37">
        <v>0</v>
      </c>
      <c r="G256" s="37">
        <v>0</v>
      </c>
    </row>
    <row r="257" spans="1:7">
      <c r="A257" s="16" t="str">
        <f t="shared" ref="A257:A302" si="4">CONCATENATE(B257,"A")</f>
        <v>691A</v>
      </c>
      <c r="B257" s="37">
        <v>691</v>
      </c>
      <c r="C257" s="37" t="s">
        <v>543</v>
      </c>
      <c r="D257" s="37">
        <v>0</v>
      </c>
      <c r="E257" s="37">
        <v>0</v>
      </c>
      <c r="F257" s="37">
        <v>0</v>
      </c>
      <c r="G257" s="37">
        <v>0</v>
      </c>
    </row>
    <row r="258" spans="1:7">
      <c r="A258" s="16" t="str">
        <f t="shared" si="4"/>
        <v>692A</v>
      </c>
      <c r="B258" s="37">
        <v>692</v>
      </c>
      <c r="C258" s="37" t="s">
        <v>37</v>
      </c>
      <c r="D258" s="37">
        <v>0</v>
      </c>
      <c r="E258" s="37">
        <v>0</v>
      </c>
      <c r="F258" s="37">
        <v>0</v>
      </c>
      <c r="G258" s="37">
        <v>0</v>
      </c>
    </row>
    <row r="259" spans="1:7">
      <c r="A259" s="16" t="str">
        <f t="shared" si="4"/>
        <v>697A</v>
      </c>
      <c r="B259" s="37">
        <v>697</v>
      </c>
      <c r="C259" s="37" t="s">
        <v>119</v>
      </c>
      <c r="D259" s="37">
        <v>0</v>
      </c>
      <c r="E259" s="37">
        <v>0</v>
      </c>
      <c r="F259" s="37">
        <v>0</v>
      </c>
      <c r="G259" s="37">
        <v>0</v>
      </c>
    </row>
    <row r="260" spans="1:7">
      <c r="A260" s="16" t="str">
        <f t="shared" si="4"/>
        <v>698A</v>
      </c>
      <c r="B260" s="37">
        <v>698</v>
      </c>
      <c r="C260" s="37" t="s">
        <v>544</v>
      </c>
      <c r="D260" s="38">
        <v>6127020.3099999996</v>
      </c>
      <c r="E260" s="38">
        <v>6127020.3099999996</v>
      </c>
      <c r="F260" s="37">
        <v>0</v>
      </c>
      <c r="G260" s="37">
        <v>0</v>
      </c>
    </row>
    <row r="261" spans="1:7">
      <c r="A261" s="16" t="str">
        <f t="shared" si="4"/>
        <v>700A</v>
      </c>
      <c r="B261" s="37">
        <v>700</v>
      </c>
      <c r="C261" s="37" t="s">
        <v>545</v>
      </c>
      <c r="D261" s="38">
        <v>1276235</v>
      </c>
      <c r="E261" s="37">
        <v>0</v>
      </c>
      <c r="F261" s="38">
        <v>1276235</v>
      </c>
      <c r="G261" s="37">
        <v>0</v>
      </c>
    </row>
    <row r="262" spans="1:7">
      <c r="A262" s="16" t="str">
        <f t="shared" si="4"/>
        <v>701A</v>
      </c>
      <c r="B262" s="37">
        <v>701</v>
      </c>
      <c r="C262" s="37" t="s">
        <v>214</v>
      </c>
      <c r="D262" s="37">
        <v>0</v>
      </c>
      <c r="E262" s="38">
        <v>1276235</v>
      </c>
      <c r="F262" s="37">
        <v>0</v>
      </c>
      <c r="G262" s="38">
        <v>1276235</v>
      </c>
    </row>
    <row r="263" spans="1:7">
      <c r="A263" s="16" t="str">
        <f t="shared" si="4"/>
        <v>710A</v>
      </c>
      <c r="B263" s="37">
        <v>710</v>
      </c>
      <c r="C263" s="37" t="s">
        <v>215</v>
      </c>
      <c r="D263" s="38">
        <v>32567653.84</v>
      </c>
      <c r="E263" s="37">
        <v>0</v>
      </c>
      <c r="F263" s="38">
        <v>32567653.84</v>
      </c>
      <c r="G263" s="37">
        <v>0</v>
      </c>
    </row>
    <row r="264" spans="1:7">
      <c r="A264" s="16" t="str">
        <f t="shared" si="4"/>
        <v>711A</v>
      </c>
      <c r="B264" s="37">
        <v>711</v>
      </c>
      <c r="C264" s="37" t="s">
        <v>216</v>
      </c>
      <c r="D264" s="37">
        <v>0</v>
      </c>
      <c r="E264" s="38">
        <v>32567653.84</v>
      </c>
      <c r="F264" s="37">
        <v>0</v>
      </c>
      <c r="G264" s="38">
        <v>32567653.84</v>
      </c>
    </row>
    <row r="265" spans="1:7">
      <c r="A265" s="16" t="str">
        <f t="shared" si="4"/>
        <v>712A</v>
      </c>
      <c r="B265" s="37">
        <v>712</v>
      </c>
      <c r="C265" s="37" t="s">
        <v>217</v>
      </c>
      <c r="D265" s="37">
        <v>0</v>
      </c>
      <c r="E265" s="37">
        <v>0</v>
      </c>
      <c r="F265" s="37">
        <v>0</v>
      </c>
      <c r="G265" s="37">
        <v>0</v>
      </c>
    </row>
    <row r="266" spans="1:7">
      <c r="A266" s="16" t="str">
        <f t="shared" si="4"/>
        <v>713A</v>
      </c>
      <c r="B266" s="37">
        <v>713</v>
      </c>
      <c r="C266" s="37" t="s">
        <v>218</v>
      </c>
      <c r="D266" s="37">
        <v>0</v>
      </c>
      <c r="E266" s="37">
        <v>0</v>
      </c>
      <c r="F266" s="37">
        <v>0</v>
      </c>
      <c r="G266" s="37">
        <v>0</v>
      </c>
    </row>
    <row r="267" spans="1:7">
      <c r="A267" s="16" t="str">
        <f t="shared" si="4"/>
        <v>720A</v>
      </c>
      <c r="B267" s="37">
        <v>720</v>
      </c>
      <c r="C267" s="37" t="s">
        <v>219</v>
      </c>
      <c r="D267" s="38">
        <v>5147009.5199999996</v>
      </c>
      <c r="E267" s="37">
        <v>0</v>
      </c>
      <c r="F267" s="38">
        <v>5147009.5199999996</v>
      </c>
      <c r="G267" s="37">
        <v>0</v>
      </c>
    </row>
    <row r="268" spans="1:7">
      <c r="A268" s="16" t="str">
        <f t="shared" si="4"/>
        <v>721A</v>
      </c>
      <c r="B268" s="37">
        <v>721</v>
      </c>
      <c r="C268" s="37" t="s">
        <v>220</v>
      </c>
      <c r="D268" s="37">
        <v>0</v>
      </c>
      <c r="E268" s="38">
        <v>5147009.5199999996</v>
      </c>
      <c r="F268" s="37">
        <v>0</v>
      </c>
      <c r="G268" s="38">
        <v>5147009.5199999996</v>
      </c>
    </row>
    <row r="269" spans="1:7">
      <c r="A269" s="16" t="str">
        <f t="shared" si="4"/>
        <v>730A</v>
      </c>
      <c r="B269" s="37">
        <v>730</v>
      </c>
      <c r="C269" s="37" t="s">
        <v>221</v>
      </c>
      <c r="D269" s="38">
        <v>4491486.47</v>
      </c>
      <c r="E269" s="38">
        <v>10030.75</v>
      </c>
      <c r="F269" s="38">
        <v>4481455.72</v>
      </c>
      <c r="G269" s="37">
        <v>0</v>
      </c>
    </row>
    <row r="270" spans="1:7">
      <c r="A270" s="16" t="str">
        <f t="shared" si="4"/>
        <v>731A</v>
      </c>
      <c r="B270" s="37">
        <v>731</v>
      </c>
      <c r="C270" s="37" t="s">
        <v>556</v>
      </c>
      <c r="D270" s="37">
        <v>0</v>
      </c>
      <c r="E270" s="38">
        <v>4481455.72</v>
      </c>
      <c r="F270" s="37">
        <v>0</v>
      </c>
      <c r="G270" s="38">
        <v>4481455.72</v>
      </c>
    </row>
    <row r="271" spans="1:7">
      <c r="A271" s="16" t="str">
        <f t="shared" si="4"/>
        <v>750A</v>
      </c>
      <c r="B271" s="37">
        <v>750</v>
      </c>
      <c r="C271" s="37" t="s">
        <v>557</v>
      </c>
      <c r="D271" s="38">
        <v>2017980.92</v>
      </c>
      <c r="E271" s="37">
        <v>0</v>
      </c>
      <c r="F271" s="38">
        <v>2017980.92</v>
      </c>
      <c r="G271" s="37">
        <v>0</v>
      </c>
    </row>
    <row r="272" spans="1:7">
      <c r="A272" s="16" t="str">
        <f t="shared" si="4"/>
        <v>751A</v>
      </c>
      <c r="B272" s="37">
        <v>751</v>
      </c>
      <c r="C272" s="37" t="s">
        <v>558</v>
      </c>
      <c r="D272" s="37">
        <v>0</v>
      </c>
      <c r="E272" s="38">
        <v>2017980.92</v>
      </c>
      <c r="F272" s="37">
        <v>0</v>
      </c>
      <c r="G272" s="38">
        <v>2017980.92</v>
      </c>
    </row>
    <row r="273" spans="1:7">
      <c r="A273" s="16" t="str">
        <f t="shared" si="4"/>
        <v>760A</v>
      </c>
      <c r="B273" s="37">
        <v>760</v>
      </c>
      <c r="C273" s="37" t="s">
        <v>559</v>
      </c>
      <c r="D273" s="38">
        <v>4115122.91</v>
      </c>
      <c r="E273" s="37">
        <v>0</v>
      </c>
      <c r="F273" s="38">
        <v>4115122.91</v>
      </c>
      <c r="G273" s="37">
        <v>0</v>
      </c>
    </row>
    <row r="274" spans="1:7">
      <c r="A274" s="16" t="str">
        <f t="shared" si="4"/>
        <v>761A</v>
      </c>
      <c r="B274" s="37">
        <v>761</v>
      </c>
      <c r="C274" s="37" t="s">
        <v>560</v>
      </c>
      <c r="D274" s="37">
        <v>0</v>
      </c>
      <c r="E274" s="38">
        <v>4115122.91</v>
      </c>
      <c r="F274" s="37">
        <v>0</v>
      </c>
      <c r="G274" s="38">
        <v>4115122.91</v>
      </c>
    </row>
    <row r="275" spans="1:7">
      <c r="A275" s="16" t="str">
        <f t="shared" si="4"/>
        <v>770A</v>
      </c>
      <c r="B275" s="37">
        <v>770</v>
      </c>
      <c r="C275" s="37" t="s">
        <v>38</v>
      </c>
      <c r="D275" s="38">
        <v>6374244.7400000002</v>
      </c>
      <c r="E275" s="37">
        <v>780</v>
      </c>
      <c r="F275" s="38">
        <v>6373464.7400000002</v>
      </c>
      <c r="G275" s="37">
        <v>0</v>
      </c>
    </row>
    <row r="276" spans="1:7">
      <c r="A276" s="16" t="str">
        <f t="shared" si="4"/>
        <v>771A</v>
      </c>
      <c r="B276" s="37">
        <v>771</v>
      </c>
      <c r="C276" s="37" t="s">
        <v>561</v>
      </c>
      <c r="D276" s="37">
        <v>0</v>
      </c>
      <c r="E276" s="38">
        <v>6373464.7400000002</v>
      </c>
      <c r="F276" s="37">
        <v>0</v>
      </c>
      <c r="G276" s="38">
        <v>6373464.7400000002</v>
      </c>
    </row>
    <row r="277" spans="1:7">
      <c r="A277" s="16" t="str">
        <f t="shared" si="4"/>
        <v>780A</v>
      </c>
      <c r="B277" s="37">
        <v>780</v>
      </c>
      <c r="C277" s="37" t="s">
        <v>39</v>
      </c>
      <c r="D277" s="38">
        <v>39194.32</v>
      </c>
      <c r="E277" s="37">
        <v>344.73</v>
      </c>
      <c r="F277" s="38">
        <v>38849.589999999997</v>
      </c>
      <c r="G277" s="37">
        <v>0</v>
      </c>
    </row>
    <row r="278" spans="1:7">
      <c r="A278" s="16" t="str">
        <f t="shared" si="4"/>
        <v>781A</v>
      </c>
      <c r="B278" s="37">
        <v>781</v>
      </c>
      <c r="C278" s="37" t="s">
        <v>40</v>
      </c>
      <c r="D278" s="37">
        <v>0</v>
      </c>
      <c r="E278" s="38">
        <v>38849.589999999997</v>
      </c>
      <c r="F278" s="37">
        <v>0</v>
      </c>
      <c r="G278" s="38">
        <v>38849.589999999997</v>
      </c>
    </row>
    <row r="279" spans="1:7">
      <c r="A279" s="16" t="str">
        <f t="shared" si="4"/>
        <v>900A</v>
      </c>
      <c r="B279" s="37">
        <v>900</v>
      </c>
      <c r="C279" s="37" t="s">
        <v>546</v>
      </c>
      <c r="D279" s="37">
        <v>0</v>
      </c>
      <c r="E279" s="37">
        <v>0</v>
      </c>
      <c r="F279" s="37">
        <v>0</v>
      </c>
      <c r="G279" s="37">
        <v>0</v>
      </c>
    </row>
    <row r="280" spans="1:7">
      <c r="A280" s="16" t="str">
        <f t="shared" si="4"/>
        <v>901A</v>
      </c>
      <c r="B280" s="37">
        <v>901</v>
      </c>
      <c r="C280" s="37" t="s">
        <v>547</v>
      </c>
      <c r="D280" s="37">
        <v>0</v>
      </c>
      <c r="E280" s="37">
        <v>0</v>
      </c>
      <c r="F280" s="37">
        <v>0</v>
      </c>
      <c r="G280" s="37">
        <v>0</v>
      </c>
    </row>
    <row r="281" spans="1:7">
      <c r="A281" s="16" t="str">
        <f t="shared" si="4"/>
        <v>909A</v>
      </c>
      <c r="B281" s="37">
        <v>909</v>
      </c>
      <c r="C281" s="37" t="s">
        <v>548</v>
      </c>
      <c r="D281" s="37">
        <v>0</v>
      </c>
      <c r="E281" s="37">
        <v>0</v>
      </c>
      <c r="F281" s="37">
        <v>0</v>
      </c>
      <c r="G281" s="37">
        <v>0</v>
      </c>
    </row>
    <row r="282" spans="1:7">
      <c r="A282" s="16" t="str">
        <f t="shared" si="4"/>
        <v>T O P L A M  :A</v>
      </c>
      <c r="B282" s="37" t="s">
        <v>41</v>
      </c>
      <c r="D282" s="38">
        <v>597064122.40999997</v>
      </c>
      <c r="E282" s="38">
        <v>597064122.40999997</v>
      </c>
      <c r="F282" s="38">
        <v>169416447.34</v>
      </c>
      <c r="G282" s="38">
        <v>169416447.34</v>
      </c>
    </row>
    <row r="283" spans="1:7">
      <c r="A283" s="16" t="str">
        <f t="shared" si="4"/>
        <v>A</v>
      </c>
    </row>
    <row r="284" spans="1:7">
      <c r="A284" s="16" t="str">
        <f t="shared" si="4"/>
        <v>A</v>
      </c>
    </row>
    <row r="285" spans="1:7">
      <c r="A285" s="16" t="str">
        <f t="shared" si="4"/>
        <v>A</v>
      </c>
    </row>
    <row r="286" spans="1:7">
      <c r="A286" s="16" t="str">
        <f t="shared" si="4"/>
        <v>A</v>
      </c>
    </row>
    <row r="287" spans="1:7">
      <c r="A287" s="16" t="str">
        <f t="shared" si="4"/>
        <v>A</v>
      </c>
    </row>
    <row r="288" spans="1:7">
      <c r="A288" s="16" t="str">
        <f t="shared" si="4"/>
        <v>A</v>
      </c>
    </row>
    <row r="289" spans="1:1">
      <c r="A289" s="16" t="str">
        <f t="shared" si="4"/>
        <v>A</v>
      </c>
    </row>
    <row r="290" spans="1:1">
      <c r="A290" s="16" t="str">
        <f t="shared" si="4"/>
        <v>A</v>
      </c>
    </row>
    <row r="291" spans="1:1">
      <c r="A291" s="16" t="str">
        <f t="shared" si="4"/>
        <v>A</v>
      </c>
    </row>
    <row r="292" spans="1:1">
      <c r="A292" s="16" t="str">
        <f t="shared" si="4"/>
        <v>A</v>
      </c>
    </row>
    <row r="293" spans="1:1">
      <c r="A293" s="16" t="str">
        <f t="shared" si="4"/>
        <v>A</v>
      </c>
    </row>
    <row r="294" spans="1:1">
      <c r="A294" s="16" t="str">
        <f t="shared" si="4"/>
        <v>A</v>
      </c>
    </row>
    <row r="295" spans="1:1">
      <c r="A295" s="16" t="str">
        <f t="shared" si="4"/>
        <v>A</v>
      </c>
    </row>
    <row r="296" spans="1:1">
      <c r="A296" s="16" t="str">
        <f t="shared" si="4"/>
        <v>A</v>
      </c>
    </row>
    <row r="297" spans="1:1">
      <c r="A297" s="16" t="str">
        <f t="shared" si="4"/>
        <v>A</v>
      </c>
    </row>
    <row r="298" spans="1:1">
      <c r="A298" s="16" t="str">
        <f t="shared" si="4"/>
        <v>A</v>
      </c>
    </row>
    <row r="299" spans="1:1">
      <c r="A299" s="16" t="str">
        <f t="shared" si="4"/>
        <v>A</v>
      </c>
    </row>
    <row r="300" spans="1:1">
      <c r="A300" s="16" t="str">
        <f t="shared" si="4"/>
        <v>A</v>
      </c>
    </row>
    <row r="301" spans="1:1">
      <c r="A301" s="16" t="str">
        <f t="shared" si="4"/>
        <v>A</v>
      </c>
    </row>
    <row r="302" spans="1:1">
      <c r="A302" s="16" t="str">
        <f t="shared" si="4"/>
        <v>A</v>
      </c>
    </row>
    <row r="303" spans="1:1">
      <c r="A303" s="13" t="s">
        <v>980</v>
      </c>
    </row>
    <row r="304" spans="1:1">
      <c r="A304" s="19" t="s">
        <v>50</v>
      </c>
    </row>
    <row r="305" spans="1:1">
      <c r="A305" s="19" t="s">
        <v>51</v>
      </c>
    </row>
    <row r="306" spans="1:1">
      <c r="A306" s="19" t="s">
        <v>487</v>
      </c>
    </row>
    <row r="307" spans="1:1">
      <c r="A307" s="19" t="s">
        <v>415</v>
      </c>
    </row>
    <row r="308" spans="1:1">
      <c r="A308" s="19" t="s">
        <v>417</v>
      </c>
    </row>
    <row r="309" spans="1:1">
      <c r="A309" s="13" t="s">
        <v>416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G554"/>
  <sheetViews>
    <sheetView tabSelected="1" workbookViewId="0">
      <selection activeCell="D21" sqref="D21"/>
    </sheetView>
  </sheetViews>
  <sheetFormatPr defaultColWidth="9.21875" defaultRowHeight="10.199999999999999"/>
  <cols>
    <col min="1" max="1" width="12" style="47" bestFit="1" customWidth="1"/>
    <col min="2" max="2" width="32.77734375" style="46" bestFit="1" customWidth="1"/>
    <col min="3" max="6" width="13.77734375" style="53" bestFit="1" customWidth="1"/>
    <col min="7" max="16384" width="9.21875" style="46"/>
  </cols>
  <sheetData>
    <row r="1" spans="1:7" ht="15" customHeight="1">
      <c r="A1" s="130" t="s">
        <v>554</v>
      </c>
      <c r="B1" s="130"/>
      <c r="C1" s="130"/>
      <c r="D1" s="130"/>
      <c r="E1" s="130"/>
      <c r="F1" s="130"/>
    </row>
    <row r="2" spans="1:7" ht="15" customHeight="1">
      <c r="A2" s="130" t="s">
        <v>1660</v>
      </c>
      <c r="B2" s="130"/>
      <c r="C2" s="130"/>
      <c r="D2" s="130"/>
      <c r="E2" s="130"/>
      <c r="F2" s="130"/>
    </row>
    <row r="3" spans="1:7">
      <c r="A3" s="130" t="s">
        <v>1054</v>
      </c>
      <c r="B3" s="130"/>
      <c r="C3" s="130"/>
      <c r="D3" s="130"/>
      <c r="E3" s="130"/>
      <c r="F3" s="130"/>
    </row>
    <row r="5" spans="1:7">
      <c r="A5" s="65"/>
      <c r="B5" s="65"/>
      <c r="C5" s="123" t="s">
        <v>9</v>
      </c>
      <c r="D5" s="123" t="s">
        <v>9</v>
      </c>
      <c r="E5" s="123" t="s">
        <v>10</v>
      </c>
      <c r="F5" s="123" t="s">
        <v>10</v>
      </c>
      <c r="G5" s="64"/>
    </row>
    <row r="6" spans="1:7">
      <c r="A6" s="65" t="s">
        <v>11</v>
      </c>
      <c r="B6" s="65" t="s">
        <v>12</v>
      </c>
      <c r="C6" s="123" t="s">
        <v>13</v>
      </c>
      <c r="D6" s="123" t="s">
        <v>14</v>
      </c>
      <c r="E6" s="123" t="s">
        <v>13</v>
      </c>
      <c r="F6" s="123" t="s">
        <v>14</v>
      </c>
      <c r="G6" s="64"/>
    </row>
    <row r="7" spans="1:7">
      <c r="A7" s="65" t="s">
        <v>549</v>
      </c>
      <c r="B7" s="65" t="s">
        <v>550</v>
      </c>
      <c r="C7" s="123" t="s">
        <v>551</v>
      </c>
      <c r="D7" s="123" t="s">
        <v>551</v>
      </c>
      <c r="E7" s="123" t="s">
        <v>552</v>
      </c>
      <c r="F7" s="123" t="s">
        <v>552</v>
      </c>
      <c r="G7" s="64"/>
    </row>
    <row r="8" spans="1:7">
      <c r="A8" s="65">
        <v>101</v>
      </c>
      <c r="B8" s="65" t="s">
        <v>15</v>
      </c>
      <c r="C8" s="123">
        <v>46339432.920000002</v>
      </c>
      <c r="D8" s="123">
        <v>43086404.920000002</v>
      </c>
      <c r="E8" s="123">
        <v>3253028</v>
      </c>
      <c r="F8" s="123">
        <v>0</v>
      </c>
      <c r="G8" s="65"/>
    </row>
    <row r="9" spans="1:7">
      <c r="A9" s="65" t="s">
        <v>618</v>
      </c>
      <c r="B9" s="65" t="s">
        <v>619</v>
      </c>
      <c r="C9" s="123">
        <v>40616319.399999999</v>
      </c>
      <c r="D9" s="123">
        <v>38893273.399999999</v>
      </c>
      <c r="E9" s="123">
        <v>1723046</v>
      </c>
      <c r="F9" s="123">
        <v>0</v>
      </c>
      <c r="G9" s="65"/>
    </row>
    <row r="10" spans="1:7">
      <c r="A10" s="65" t="s">
        <v>620</v>
      </c>
      <c r="B10" s="65" t="s">
        <v>621</v>
      </c>
      <c r="C10" s="123">
        <v>40616319.399999999</v>
      </c>
      <c r="D10" s="123">
        <v>38893273.399999999</v>
      </c>
      <c r="E10" s="123">
        <v>1723046</v>
      </c>
      <c r="F10" s="123">
        <v>0</v>
      </c>
      <c r="G10" s="65"/>
    </row>
    <row r="11" spans="1:7">
      <c r="A11" s="65" t="s">
        <v>1375</v>
      </c>
      <c r="B11" s="65" t="s">
        <v>1376</v>
      </c>
      <c r="C11" s="123">
        <v>5723113.5199999996</v>
      </c>
      <c r="D11" s="123">
        <v>4193131.52</v>
      </c>
      <c r="E11" s="123">
        <v>1529982</v>
      </c>
      <c r="F11" s="123">
        <v>0</v>
      </c>
      <c r="G11" s="65"/>
    </row>
    <row r="12" spans="1:7">
      <c r="A12" s="65" t="s">
        <v>1377</v>
      </c>
      <c r="B12" s="65" t="s">
        <v>1378</v>
      </c>
      <c r="C12" s="123">
        <v>5723113.5199999996</v>
      </c>
      <c r="D12" s="123">
        <v>4193131.52</v>
      </c>
      <c r="E12" s="123">
        <v>1529982</v>
      </c>
      <c r="F12" s="123">
        <v>0</v>
      </c>
      <c r="G12" s="65"/>
    </row>
    <row r="13" spans="1:7">
      <c r="A13" s="65">
        <v>102</v>
      </c>
      <c r="B13" s="65" t="s">
        <v>16</v>
      </c>
      <c r="C13" s="123">
        <v>50247000.25</v>
      </c>
      <c r="D13" s="123">
        <v>49242521.210000001</v>
      </c>
      <c r="E13" s="123">
        <v>1004479.04</v>
      </c>
      <c r="F13" s="123">
        <v>0</v>
      </c>
      <c r="G13" s="65"/>
    </row>
    <row r="14" spans="1:7">
      <c r="A14" s="65" t="s">
        <v>622</v>
      </c>
      <c r="B14" s="65" t="s">
        <v>623</v>
      </c>
      <c r="C14" s="123">
        <v>50247000.25</v>
      </c>
      <c r="D14" s="123">
        <v>49242521.210000001</v>
      </c>
      <c r="E14" s="123">
        <v>1004479.04</v>
      </c>
      <c r="F14" s="123">
        <v>0</v>
      </c>
      <c r="G14" s="65"/>
    </row>
    <row r="15" spans="1:7">
      <c r="A15" s="65" t="s">
        <v>624</v>
      </c>
      <c r="B15" s="65" t="s">
        <v>625</v>
      </c>
      <c r="C15" s="123">
        <v>38030564.710000001</v>
      </c>
      <c r="D15" s="123">
        <v>37174244.18</v>
      </c>
      <c r="E15" s="123">
        <v>856320.53</v>
      </c>
      <c r="F15" s="123">
        <v>0</v>
      </c>
      <c r="G15" s="65"/>
    </row>
    <row r="16" spans="1:7">
      <c r="A16" s="65" t="s">
        <v>827</v>
      </c>
      <c r="B16" s="65" t="s">
        <v>828</v>
      </c>
      <c r="C16" s="123">
        <v>5809283.9100000001</v>
      </c>
      <c r="D16" s="123">
        <v>5662724.4400000004</v>
      </c>
      <c r="E16" s="123">
        <v>146559.47</v>
      </c>
      <c r="F16" s="123">
        <v>0</v>
      </c>
      <c r="G16" s="65"/>
    </row>
    <row r="17" spans="1:7">
      <c r="A17" s="65" t="s">
        <v>626</v>
      </c>
      <c r="B17" s="65" t="s">
        <v>627</v>
      </c>
      <c r="C17" s="123">
        <v>6407151.6299999999</v>
      </c>
      <c r="D17" s="123">
        <v>6405552.5899999999</v>
      </c>
      <c r="E17" s="123">
        <v>1599.04</v>
      </c>
      <c r="F17" s="123">
        <v>0</v>
      </c>
      <c r="G17" s="65"/>
    </row>
    <row r="18" spans="1:7">
      <c r="A18" s="65">
        <v>120</v>
      </c>
      <c r="B18" s="65" t="s">
        <v>99</v>
      </c>
      <c r="C18" s="123">
        <v>79069143.5</v>
      </c>
      <c r="D18" s="123">
        <v>70698491.060000002</v>
      </c>
      <c r="E18" s="123">
        <v>8370652.4400000004</v>
      </c>
      <c r="F18" s="123">
        <v>0</v>
      </c>
      <c r="G18" s="65"/>
    </row>
    <row r="19" spans="1:7">
      <c r="A19" s="65" t="s">
        <v>628</v>
      </c>
      <c r="B19" s="65" t="s">
        <v>629</v>
      </c>
      <c r="C19" s="123">
        <v>65118898.689999998</v>
      </c>
      <c r="D19" s="123">
        <v>61485743.469999999</v>
      </c>
      <c r="E19" s="123">
        <v>3633155.22</v>
      </c>
      <c r="F19" s="123">
        <v>0</v>
      </c>
      <c r="G19" s="65"/>
    </row>
    <row r="20" spans="1:7">
      <c r="A20" s="65" t="s">
        <v>630</v>
      </c>
      <c r="B20" s="65" t="s">
        <v>631</v>
      </c>
      <c r="C20" s="123">
        <v>360296.8</v>
      </c>
      <c r="D20" s="123">
        <v>283109.89</v>
      </c>
      <c r="E20" s="123">
        <v>77186.91</v>
      </c>
      <c r="F20" s="123">
        <v>0</v>
      </c>
      <c r="G20" s="65"/>
    </row>
    <row r="21" spans="1:7">
      <c r="A21" s="65" t="s">
        <v>632</v>
      </c>
      <c r="B21" s="65" t="s">
        <v>633</v>
      </c>
      <c r="C21" s="123">
        <v>360296.8</v>
      </c>
      <c r="D21" s="123">
        <v>283109.89</v>
      </c>
      <c r="E21" s="123">
        <v>77186.91</v>
      </c>
      <c r="F21" s="123">
        <v>0</v>
      </c>
      <c r="G21" s="65"/>
    </row>
    <row r="22" spans="1:7">
      <c r="A22" s="65" t="s">
        <v>634</v>
      </c>
      <c r="B22" s="65" t="s">
        <v>635</v>
      </c>
      <c r="C22" s="123">
        <v>64758601.890000001</v>
      </c>
      <c r="D22" s="123">
        <v>61202633.579999998</v>
      </c>
      <c r="E22" s="123">
        <v>3555968.31</v>
      </c>
      <c r="F22" s="123">
        <v>0</v>
      </c>
      <c r="G22" s="65"/>
    </row>
    <row r="23" spans="1:7">
      <c r="A23" s="65" t="s">
        <v>636</v>
      </c>
      <c r="B23" s="65" t="s">
        <v>637</v>
      </c>
      <c r="C23" s="123">
        <v>64758601.890000001</v>
      </c>
      <c r="D23" s="123">
        <v>61202633.579999998</v>
      </c>
      <c r="E23" s="123">
        <v>3555968.31</v>
      </c>
      <c r="F23" s="123">
        <v>0</v>
      </c>
      <c r="G23" s="65"/>
    </row>
    <row r="24" spans="1:7">
      <c r="A24" s="65" t="s">
        <v>1379</v>
      </c>
      <c r="B24" s="65" t="s">
        <v>1380</v>
      </c>
      <c r="C24" s="123">
        <v>13950244.810000001</v>
      </c>
      <c r="D24" s="123">
        <v>9212747.5899999999</v>
      </c>
      <c r="E24" s="123">
        <v>4737497.22</v>
      </c>
      <c r="F24" s="123">
        <v>0</v>
      </c>
      <c r="G24" s="65"/>
    </row>
    <row r="25" spans="1:7">
      <c r="A25" s="65" t="s">
        <v>1381</v>
      </c>
      <c r="B25" s="65" t="s">
        <v>1382</v>
      </c>
      <c r="C25" s="123">
        <v>2662241.33</v>
      </c>
      <c r="D25" s="123">
        <v>744981.03</v>
      </c>
      <c r="E25" s="123">
        <v>1917260.3</v>
      </c>
      <c r="F25" s="123">
        <v>0</v>
      </c>
      <c r="G25" s="65"/>
    </row>
    <row r="26" spans="1:7">
      <c r="A26" s="65" t="s">
        <v>1383</v>
      </c>
      <c r="B26" s="65" t="s">
        <v>1384</v>
      </c>
      <c r="C26" s="123">
        <v>2606578.16</v>
      </c>
      <c r="D26" s="123">
        <v>689317.86</v>
      </c>
      <c r="E26" s="123">
        <v>1917260.3</v>
      </c>
      <c r="F26" s="123">
        <v>0</v>
      </c>
      <c r="G26" s="65"/>
    </row>
    <row r="27" spans="1:7">
      <c r="A27" s="65" t="s">
        <v>1385</v>
      </c>
      <c r="B27" s="65" t="s">
        <v>1386</v>
      </c>
      <c r="C27" s="123">
        <v>55663.17</v>
      </c>
      <c r="D27" s="123">
        <v>55663.17</v>
      </c>
      <c r="E27" s="123">
        <v>0</v>
      </c>
      <c r="F27" s="123">
        <v>0</v>
      </c>
      <c r="G27" s="65"/>
    </row>
    <row r="28" spans="1:7">
      <c r="A28" s="65" t="s">
        <v>1387</v>
      </c>
      <c r="B28" s="65" t="s">
        <v>1388</v>
      </c>
      <c r="C28" s="123">
        <v>11288003.48</v>
      </c>
      <c r="D28" s="123">
        <v>8467766.5600000005</v>
      </c>
      <c r="E28" s="123">
        <v>2820236.92</v>
      </c>
      <c r="F28" s="123">
        <v>0</v>
      </c>
      <c r="G28" s="65"/>
    </row>
    <row r="29" spans="1:7">
      <c r="A29" s="65" t="s">
        <v>1389</v>
      </c>
      <c r="B29" s="65" t="s">
        <v>1390</v>
      </c>
      <c r="C29" s="123">
        <v>2004504.19</v>
      </c>
      <c r="D29" s="123">
        <v>1513304.19</v>
      </c>
      <c r="E29" s="123">
        <v>491200</v>
      </c>
      <c r="F29" s="123">
        <v>0</v>
      </c>
      <c r="G29" s="65"/>
    </row>
    <row r="30" spans="1:7">
      <c r="A30" s="65" t="s">
        <v>1391</v>
      </c>
      <c r="B30" s="65" t="s">
        <v>1392</v>
      </c>
      <c r="C30" s="123">
        <v>4148853.43</v>
      </c>
      <c r="D30" s="123">
        <v>1819816.51</v>
      </c>
      <c r="E30" s="123">
        <v>2329036.92</v>
      </c>
      <c r="F30" s="123">
        <v>0</v>
      </c>
      <c r="G30" s="65"/>
    </row>
    <row r="31" spans="1:7">
      <c r="A31" s="65" t="s">
        <v>1393</v>
      </c>
      <c r="B31" s="65" t="s">
        <v>1394</v>
      </c>
      <c r="C31" s="123">
        <v>5134645.8600000003</v>
      </c>
      <c r="D31" s="123">
        <v>5134645.8600000003</v>
      </c>
      <c r="E31" s="123">
        <v>0</v>
      </c>
      <c r="F31" s="123">
        <v>0</v>
      </c>
      <c r="G31" s="65"/>
    </row>
    <row r="32" spans="1:7">
      <c r="A32" s="65">
        <v>121</v>
      </c>
      <c r="B32" s="65" t="s">
        <v>17</v>
      </c>
      <c r="C32" s="123">
        <v>5140258.16</v>
      </c>
      <c r="D32" s="123">
        <v>5140258.16</v>
      </c>
      <c r="E32" s="123">
        <v>0</v>
      </c>
      <c r="F32" s="123">
        <v>0</v>
      </c>
      <c r="G32" s="65"/>
    </row>
    <row r="33" spans="1:7">
      <c r="A33" s="65" t="s">
        <v>1395</v>
      </c>
      <c r="B33" s="65" t="s">
        <v>1396</v>
      </c>
      <c r="C33" s="123">
        <v>2206296.56</v>
      </c>
      <c r="D33" s="123">
        <v>2206296.56</v>
      </c>
      <c r="E33" s="123">
        <v>0</v>
      </c>
      <c r="F33" s="123">
        <v>0</v>
      </c>
      <c r="G33" s="65"/>
    </row>
    <row r="34" spans="1:7">
      <c r="A34" s="65" t="s">
        <v>1397</v>
      </c>
      <c r="B34" s="65" t="s">
        <v>1398</v>
      </c>
      <c r="C34" s="123">
        <v>2206296.56</v>
      </c>
      <c r="D34" s="123">
        <v>2206296.56</v>
      </c>
      <c r="E34" s="123">
        <v>0</v>
      </c>
      <c r="F34" s="123">
        <v>0</v>
      </c>
      <c r="G34" s="65"/>
    </row>
    <row r="35" spans="1:7">
      <c r="A35" s="65" t="s">
        <v>1399</v>
      </c>
      <c r="B35" s="65" t="s">
        <v>1400</v>
      </c>
      <c r="C35" s="123">
        <v>2933961.6</v>
      </c>
      <c r="D35" s="123">
        <v>2933961.6</v>
      </c>
      <c r="E35" s="123">
        <v>0</v>
      </c>
      <c r="F35" s="123">
        <v>0</v>
      </c>
      <c r="G35" s="65"/>
    </row>
    <row r="36" spans="1:7">
      <c r="A36" s="65" t="s">
        <v>1401</v>
      </c>
      <c r="B36" s="65" t="s">
        <v>1402</v>
      </c>
      <c r="C36" s="123">
        <v>2933961.6</v>
      </c>
      <c r="D36" s="123">
        <v>2933961.6</v>
      </c>
      <c r="E36" s="123">
        <v>0</v>
      </c>
      <c r="F36" s="123">
        <v>0</v>
      </c>
      <c r="G36" s="65"/>
    </row>
    <row r="37" spans="1:7">
      <c r="A37" s="65">
        <v>126</v>
      </c>
      <c r="B37" s="65" t="s">
        <v>102</v>
      </c>
      <c r="C37" s="123">
        <v>36139.1</v>
      </c>
      <c r="D37" s="123">
        <v>0</v>
      </c>
      <c r="E37" s="123">
        <v>36139.1</v>
      </c>
      <c r="F37" s="123">
        <v>0</v>
      </c>
      <c r="G37" s="65"/>
    </row>
    <row r="38" spans="1:7">
      <c r="A38" s="65" t="s">
        <v>1403</v>
      </c>
      <c r="B38" s="65" t="s">
        <v>102</v>
      </c>
      <c r="C38" s="123">
        <v>36139.1</v>
      </c>
      <c r="D38" s="123">
        <v>0</v>
      </c>
      <c r="E38" s="123">
        <v>36139.1</v>
      </c>
      <c r="F38" s="123">
        <v>0</v>
      </c>
      <c r="G38" s="65"/>
    </row>
    <row r="39" spans="1:7">
      <c r="A39" s="65" t="s">
        <v>1404</v>
      </c>
      <c r="B39" s="65" t="s">
        <v>1405</v>
      </c>
      <c r="C39" s="123">
        <v>36139.1</v>
      </c>
      <c r="D39" s="123">
        <v>0</v>
      </c>
      <c r="E39" s="123">
        <v>36139.1</v>
      </c>
      <c r="F39" s="123">
        <v>0</v>
      </c>
      <c r="G39" s="65"/>
    </row>
    <row r="40" spans="1:7">
      <c r="A40" s="65">
        <v>136</v>
      </c>
      <c r="B40" s="65" t="s">
        <v>18</v>
      </c>
      <c r="C40" s="123">
        <v>12663.37</v>
      </c>
      <c r="D40" s="123">
        <v>0</v>
      </c>
      <c r="E40" s="123">
        <v>12663.37</v>
      </c>
      <c r="F40" s="123">
        <v>0</v>
      </c>
      <c r="G40" s="65"/>
    </row>
    <row r="41" spans="1:7">
      <c r="A41" s="65" t="s">
        <v>783</v>
      </c>
      <c r="B41" s="65" t="s">
        <v>18</v>
      </c>
      <c r="C41" s="123">
        <v>12663.37</v>
      </c>
      <c r="D41" s="123">
        <v>0</v>
      </c>
      <c r="E41" s="123">
        <v>12663.37</v>
      </c>
      <c r="F41" s="123">
        <v>0</v>
      </c>
      <c r="G41" s="65"/>
    </row>
    <row r="42" spans="1:7">
      <c r="A42" s="65" t="s">
        <v>1056</v>
      </c>
      <c r="B42" s="65" t="s">
        <v>1057</v>
      </c>
      <c r="C42" s="123">
        <v>12663.37</v>
      </c>
      <c r="D42" s="123">
        <v>0</v>
      </c>
      <c r="E42" s="123">
        <v>12663.37</v>
      </c>
      <c r="F42" s="123">
        <v>0</v>
      </c>
      <c r="G42" s="65"/>
    </row>
    <row r="43" spans="1:7">
      <c r="A43" s="65">
        <v>150</v>
      </c>
      <c r="B43" s="65" t="s">
        <v>114</v>
      </c>
      <c r="C43" s="123">
        <v>43428077.32</v>
      </c>
      <c r="D43" s="123">
        <v>34843311.630000003</v>
      </c>
      <c r="E43" s="123">
        <v>8584765.6899999995</v>
      </c>
      <c r="F43" s="123">
        <v>0</v>
      </c>
      <c r="G43" s="65"/>
    </row>
    <row r="44" spans="1:7">
      <c r="A44" s="65" t="s">
        <v>1058</v>
      </c>
      <c r="B44" s="65" t="s">
        <v>1059</v>
      </c>
      <c r="C44" s="123">
        <v>8305959.6100000003</v>
      </c>
      <c r="D44" s="123">
        <v>8305959.6100000003</v>
      </c>
      <c r="E44" s="123">
        <v>0</v>
      </c>
      <c r="F44" s="123">
        <v>0</v>
      </c>
      <c r="G44" s="65"/>
    </row>
    <row r="45" spans="1:7">
      <c r="A45" s="65" t="s">
        <v>1060</v>
      </c>
      <c r="B45" s="65" t="s">
        <v>1061</v>
      </c>
      <c r="C45" s="123">
        <v>8305959.6100000003</v>
      </c>
      <c r="D45" s="123">
        <v>8305959.6100000003</v>
      </c>
      <c r="E45" s="123">
        <v>0</v>
      </c>
      <c r="F45" s="123">
        <v>0</v>
      </c>
      <c r="G45" s="65"/>
    </row>
    <row r="46" spans="1:7">
      <c r="A46" s="65" t="s">
        <v>1062</v>
      </c>
      <c r="B46" s="65" t="s">
        <v>1063</v>
      </c>
      <c r="C46" s="123">
        <v>34812912.630000003</v>
      </c>
      <c r="D46" s="123">
        <v>26534052.02</v>
      </c>
      <c r="E46" s="123">
        <v>8278860.6100000003</v>
      </c>
      <c r="F46" s="123">
        <v>0</v>
      </c>
      <c r="G46" s="65"/>
    </row>
    <row r="47" spans="1:7">
      <c r="A47" s="65" t="s">
        <v>1064</v>
      </c>
      <c r="B47" s="65" t="s">
        <v>1065</v>
      </c>
      <c r="C47" s="123">
        <v>34812912.630000003</v>
      </c>
      <c r="D47" s="123">
        <v>26534052.02</v>
      </c>
      <c r="E47" s="123">
        <v>8278860.6100000003</v>
      </c>
      <c r="F47" s="123">
        <v>0</v>
      </c>
      <c r="G47" s="65"/>
    </row>
    <row r="48" spans="1:7">
      <c r="A48" s="65" t="s">
        <v>1066</v>
      </c>
      <c r="B48" s="65" t="s">
        <v>1067</v>
      </c>
      <c r="C48" s="123">
        <v>23374.44</v>
      </c>
      <c r="D48" s="123">
        <v>3300</v>
      </c>
      <c r="E48" s="123">
        <v>20074.439999999999</v>
      </c>
      <c r="F48" s="123">
        <v>0</v>
      </c>
      <c r="G48" s="65"/>
    </row>
    <row r="49" spans="1:7">
      <c r="A49" s="65" t="s">
        <v>1068</v>
      </c>
      <c r="B49" s="65" t="s">
        <v>1069</v>
      </c>
      <c r="C49" s="123">
        <v>23374.44</v>
      </c>
      <c r="D49" s="123">
        <v>3300</v>
      </c>
      <c r="E49" s="123">
        <v>20074.439999999999</v>
      </c>
      <c r="F49" s="123">
        <v>0</v>
      </c>
      <c r="G49" s="65"/>
    </row>
    <row r="50" spans="1:7">
      <c r="A50" s="65" t="s">
        <v>1070</v>
      </c>
      <c r="B50" s="65" t="s">
        <v>1071</v>
      </c>
      <c r="C50" s="123">
        <v>2830.11</v>
      </c>
      <c r="D50" s="123">
        <v>0</v>
      </c>
      <c r="E50" s="123">
        <v>2830.11</v>
      </c>
      <c r="F50" s="123">
        <v>0</v>
      </c>
      <c r="G50" s="65"/>
    </row>
    <row r="51" spans="1:7">
      <c r="A51" s="65" t="s">
        <v>1072</v>
      </c>
      <c r="B51" s="65" t="s">
        <v>1073</v>
      </c>
      <c r="C51" s="123">
        <v>2830.11</v>
      </c>
      <c r="D51" s="123">
        <v>0</v>
      </c>
      <c r="E51" s="123">
        <v>2830.11</v>
      </c>
      <c r="F51" s="123">
        <v>0</v>
      </c>
      <c r="G51" s="65"/>
    </row>
    <row r="52" spans="1:7">
      <c r="A52" s="65" t="s">
        <v>1074</v>
      </c>
      <c r="B52" s="65" t="s">
        <v>861</v>
      </c>
      <c r="C52" s="123">
        <v>283000.53000000003</v>
      </c>
      <c r="D52" s="123">
        <v>0</v>
      </c>
      <c r="E52" s="123">
        <v>283000.53000000003</v>
      </c>
      <c r="F52" s="123">
        <v>0</v>
      </c>
      <c r="G52" s="65"/>
    </row>
    <row r="53" spans="1:7">
      <c r="A53" s="65" t="s">
        <v>1075</v>
      </c>
      <c r="B53" s="65" t="s">
        <v>1076</v>
      </c>
      <c r="C53" s="123">
        <v>283000.53000000003</v>
      </c>
      <c r="D53" s="123">
        <v>0</v>
      </c>
      <c r="E53" s="123">
        <v>283000.53000000003</v>
      </c>
      <c r="F53" s="123">
        <v>0</v>
      </c>
      <c r="G53" s="65"/>
    </row>
    <row r="54" spans="1:7">
      <c r="A54" s="65">
        <v>151</v>
      </c>
      <c r="B54" s="65" t="s">
        <v>489</v>
      </c>
      <c r="C54" s="123">
        <v>39688715.140000001</v>
      </c>
      <c r="D54" s="123">
        <v>33426695.690000001</v>
      </c>
      <c r="E54" s="123">
        <v>6262019.4500000002</v>
      </c>
      <c r="F54" s="123">
        <v>0</v>
      </c>
      <c r="G54" s="65"/>
    </row>
    <row r="55" spans="1:7">
      <c r="A55" s="65" t="s">
        <v>1077</v>
      </c>
      <c r="B55" s="65" t="s">
        <v>489</v>
      </c>
      <c r="C55" s="123">
        <v>39481577.700000003</v>
      </c>
      <c r="D55" s="123">
        <v>33426695.690000001</v>
      </c>
      <c r="E55" s="123">
        <v>6054882.0099999998</v>
      </c>
      <c r="F55" s="123">
        <v>0</v>
      </c>
      <c r="G55" s="65"/>
    </row>
    <row r="56" spans="1:7">
      <c r="A56" s="65" t="s">
        <v>1078</v>
      </c>
      <c r="B56" s="65" t="s">
        <v>1079</v>
      </c>
      <c r="C56" s="123">
        <v>39481352.82</v>
      </c>
      <c r="D56" s="123">
        <v>33426695.690000001</v>
      </c>
      <c r="E56" s="123">
        <v>6054657.1299999999</v>
      </c>
      <c r="F56" s="123">
        <v>0</v>
      </c>
      <c r="G56" s="65"/>
    </row>
    <row r="57" spans="1:7">
      <c r="A57" s="65" t="s">
        <v>1406</v>
      </c>
      <c r="B57" s="65" t="s">
        <v>1407</v>
      </c>
      <c r="C57" s="123">
        <v>224.88</v>
      </c>
      <c r="D57" s="123">
        <v>0</v>
      </c>
      <c r="E57" s="123">
        <v>224.88</v>
      </c>
      <c r="F57" s="123">
        <v>0</v>
      </c>
      <c r="G57" s="65"/>
    </row>
    <row r="58" spans="1:7">
      <c r="A58" s="65" t="s">
        <v>1080</v>
      </c>
      <c r="B58" s="65" t="s">
        <v>861</v>
      </c>
      <c r="C58" s="123">
        <v>207137.44</v>
      </c>
      <c r="D58" s="123">
        <v>0</v>
      </c>
      <c r="E58" s="123">
        <v>207137.44</v>
      </c>
      <c r="F58" s="123">
        <v>0</v>
      </c>
      <c r="G58" s="65"/>
    </row>
    <row r="59" spans="1:7">
      <c r="A59" s="65" t="s">
        <v>1081</v>
      </c>
      <c r="B59" s="65" t="s">
        <v>1082</v>
      </c>
      <c r="C59" s="123">
        <v>207137.44</v>
      </c>
      <c r="D59" s="123">
        <v>0</v>
      </c>
      <c r="E59" s="123">
        <v>207137.44</v>
      </c>
      <c r="F59" s="123">
        <v>0</v>
      </c>
      <c r="G59" s="65"/>
    </row>
    <row r="60" spans="1:7">
      <c r="A60" s="65">
        <v>152</v>
      </c>
      <c r="B60" s="65" t="s">
        <v>503</v>
      </c>
      <c r="C60" s="123">
        <v>42860873.829999998</v>
      </c>
      <c r="D60" s="123">
        <v>41766055.880000003</v>
      </c>
      <c r="E60" s="123">
        <v>1094817.95</v>
      </c>
      <c r="F60" s="123">
        <v>0</v>
      </c>
      <c r="G60" s="65"/>
    </row>
    <row r="61" spans="1:7">
      <c r="A61" s="65" t="s">
        <v>1083</v>
      </c>
      <c r="B61" s="65" t="s">
        <v>1084</v>
      </c>
      <c r="C61" s="123">
        <v>42824659.009999998</v>
      </c>
      <c r="D61" s="123">
        <v>41766055.880000003</v>
      </c>
      <c r="E61" s="123">
        <v>1058603.1299999999</v>
      </c>
      <c r="F61" s="123">
        <v>0</v>
      </c>
      <c r="G61" s="65"/>
    </row>
    <row r="62" spans="1:7">
      <c r="A62" s="65" t="s">
        <v>1085</v>
      </c>
      <c r="B62" s="65" t="s">
        <v>1084</v>
      </c>
      <c r="C62" s="123">
        <v>42824659.009999998</v>
      </c>
      <c r="D62" s="123">
        <v>41766055.880000003</v>
      </c>
      <c r="E62" s="123">
        <v>1058603.1299999999</v>
      </c>
      <c r="F62" s="123">
        <v>0</v>
      </c>
      <c r="G62" s="65"/>
    </row>
    <row r="63" spans="1:7">
      <c r="A63" s="65" t="s">
        <v>1086</v>
      </c>
      <c r="B63" s="65" t="s">
        <v>861</v>
      </c>
      <c r="C63" s="123">
        <v>36214.82</v>
      </c>
      <c r="D63" s="123">
        <v>0</v>
      </c>
      <c r="E63" s="123">
        <v>36214.82</v>
      </c>
      <c r="F63" s="123">
        <v>0</v>
      </c>
      <c r="G63" s="65"/>
    </row>
    <row r="64" spans="1:7">
      <c r="A64" s="65" t="s">
        <v>1087</v>
      </c>
      <c r="B64" s="65" t="s">
        <v>1088</v>
      </c>
      <c r="C64" s="123">
        <v>36214.82</v>
      </c>
      <c r="D64" s="123">
        <v>0</v>
      </c>
      <c r="E64" s="123">
        <v>36214.82</v>
      </c>
      <c r="F64" s="123">
        <v>0</v>
      </c>
      <c r="G64" s="65"/>
    </row>
    <row r="65" spans="1:7">
      <c r="A65" s="65">
        <v>153</v>
      </c>
      <c r="B65" s="65" t="s">
        <v>115</v>
      </c>
      <c r="C65" s="123">
        <v>5897871.2699999996</v>
      </c>
      <c r="D65" s="123">
        <v>5066757.3</v>
      </c>
      <c r="E65" s="123">
        <v>831113.97</v>
      </c>
      <c r="F65" s="123">
        <v>0</v>
      </c>
      <c r="G65" s="65"/>
    </row>
    <row r="66" spans="1:7">
      <c r="A66" s="65" t="s">
        <v>638</v>
      </c>
      <c r="B66" s="65" t="s">
        <v>115</v>
      </c>
      <c r="C66" s="123">
        <v>5870379.3700000001</v>
      </c>
      <c r="D66" s="123">
        <v>5066757.3</v>
      </c>
      <c r="E66" s="123">
        <v>803622.07</v>
      </c>
      <c r="F66" s="123">
        <v>0</v>
      </c>
      <c r="G66" s="65"/>
    </row>
    <row r="67" spans="1:7">
      <c r="A67" s="65" t="s">
        <v>639</v>
      </c>
      <c r="B67" s="65" t="s">
        <v>115</v>
      </c>
      <c r="C67" s="123">
        <v>5870379.3700000001</v>
      </c>
      <c r="D67" s="123">
        <v>5066757.3</v>
      </c>
      <c r="E67" s="123">
        <v>803622.07</v>
      </c>
      <c r="F67" s="123">
        <v>0</v>
      </c>
      <c r="G67" s="65"/>
    </row>
    <row r="68" spans="1:7">
      <c r="A68" s="65" t="s">
        <v>860</v>
      </c>
      <c r="B68" s="65" t="s">
        <v>861</v>
      </c>
      <c r="C68" s="123">
        <v>27491.9</v>
      </c>
      <c r="D68" s="123">
        <v>0</v>
      </c>
      <c r="E68" s="123">
        <v>27491.9</v>
      </c>
      <c r="F68" s="123">
        <v>0</v>
      </c>
      <c r="G68" s="65"/>
    </row>
    <row r="69" spans="1:7">
      <c r="A69" s="65" t="s">
        <v>862</v>
      </c>
      <c r="B69" s="65" t="s">
        <v>863</v>
      </c>
      <c r="C69" s="123">
        <v>27491.9</v>
      </c>
      <c r="D69" s="123">
        <v>0</v>
      </c>
      <c r="E69" s="123">
        <v>27491.9</v>
      </c>
      <c r="F69" s="123">
        <v>0</v>
      </c>
      <c r="G69" s="65"/>
    </row>
    <row r="70" spans="1:7">
      <c r="A70" s="65">
        <v>159</v>
      </c>
      <c r="B70" s="65" t="s">
        <v>117</v>
      </c>
      <c r="C70" s="123">
        <v>3492435.35</v>
      </c>
      <c r="D70" s="123">
        <v>3016155.35</v>
      </c>
      <c r="E70" s="123">
        <v>476280</v>
      </c>
      <c r="F70" s="123">
        <v>0</v>
      </c>
      <c r="G70" s="65"/>
    </row>
    <row r="71" spans="1:7">
      <c r="A71" s="65" t="s">
        <v>757</v>
      </c>
      <c r="B71" s="65" t="s">
        <v>758</v>
      </c>
      <c r="C71" s="123">
        <v>3492435.35</v>
      </c>
      <c r="D71" s="123">
        <v>3016155.35</v>
      </c>
      <c r="E71" s="123">
        <v>476280</v>
      </c>
      <c r="F71" s="123">
        <v>0</v>
      </c>
      <c r="G71" s="65"/>
    </row>
    <row r="72" spans="1:7">
      <c r="A72" s="65" t="s">
        <v>759</v>
      </c>
      <c r="B72" s="65" t="s">
        <v>760</v>
      </c>
      <c r="C72" s="123">
        <v>3492435.35</v>
      </c>
      <c r="D72" s="123">
        <v>3016155.35</v>
      </c>
      <c r="E72" s="123">
        <v>476280</v>
      </c>
      <c r="F72" s="123">
        <v>0</v>
      </c>
      <c r="G72" s="65"/>
    </row>
    <row r="73" spans="1:7">
      <c r="A73" s="65" t="s">
        <v>761</v>
      </c>
      <c r="B73" s="65" t="s">
        <v>760</v>
      </c>
      <c r="C73" s="123">
        <v>3492435.35</v>
      </c>
      <c r="D73" s="123">
        <v>3016155.35</v>
      </c>
      <c r="E73" s="123">
        <v>476280</v>
      </c>
      <c r="F73" s="123">
        <v>0</v>
      </c>
      <c r="G73" s="65"/>
    </row>
    <row r="74" spans="1:7">
      <c r="A74" s="65">
        <v>180</v>
      </c>
      <c r="B74" s="65" t="s">
        <v>19</v>
      </c>
      <c r="C74" s="123">
        <v>1310292.82</v>
      </c>
      <c r="D74" s="123">
        <v>944980.11</v>
      </c>
      <c r="E74" s="123">
        <v>365312.71</v>
      </c>
      <c r="F74" s="123">
        <v>0</v>
      </c>
      <c r="G74" s="65"/>
    </row>
    <row r="75" spans="1:7">
      <c r="A75" s="65" t="s">
        <v>793</v>
      </c>
      <c r="B75" s="65" t="s">
        <v>794</v>
      </c>
      <c r="C75" s="123">
        <v>859126.47</v>
      </c>
      <c r="D75" s="123">
        <v>544942.21</v>
      </c>
      <c r="E75" s="123">
        <v>314184.26</v>
      </c>
      <c r="F75" s="123">
        <v>0</v>
      </c>
      <c r="G75" s="65"/>
    </row>
    <row r="76" spans="1:7">
      <c r="A76" s="65" t="s">
        <v>1089</v>
      </c>
      <c r="B76" s="65" t="s">
        <v>1090</v>
      </c>
      <c r="C76" s="123">
        <v>150941.29999999999</v>
      </c>
      <c r="D76" s="123">
        <v>77672.11</v>
      </c>
      <c r="E76" s="123">
        <v>73269.19</v>
      </c>
      <c r="F76" s="123">
        <v>0</v>
      </c>
      <c r="G76" s="65"/>
    </row>
    <row r="77" spans="1:7">
      <c r="A77" s="65" t="s">
        <v>795</v>
      </c>
      <c r="B77" s="65" t="s">
        <v>796</v>
      </c>
      <c r="C77" s="123">
        <v>492345.05</v>
      </c>
      <c r="D77" s="123">
        <v>289206.93</v>
      </c>
      <c r="E77" s="123">
        <v>203138.12</v>
      </c>
      <c r="F77" s="123">
        <v>0</v>
      </c>
      <c r="G77" s="65"/>
    </row>
    <row r="78" spans="1:7">
      <c r="A78" s="65" t="s">
        <v>1408</v>
      </c>
      <c r="B78" s="65" t="s">
        <v>1409</v>
      </c>
      <c r="C78" s="123">
        <v>5569.67</v>
      </c>
      <c r="D78" s="123">
        <v>3011.8</v>
      </c>
      <c r="E78" s="123">
        <v>2557.87</v>
      </c>
      <c r="F78" s="123">
        <v>0</v>
      </c>
      <c r="G78" s="65"/>
    </row>
    <row r="79" spans="1:7">
      <c r="A79" s="65" t="s">
        <v>1410</v>
      </c>
      <c r="B79" s="65" t="s">
        <v>1411</v>
      </c>
      <c r="C79" s="123">
        <v>127174.56</v>
      </c>
      <c r="D79" s="123">
        <v>91955.48</v>
      </c>
      <c r="E79" s="123">
        <v>35219.08</v>
      </c>
      <c r="F79" s="123">
        <v>0</v>
      </c>
      <c r="G79" s="65"/>
    </row>
    <row r="80" spans="1:7">
      <c r="A80" s="65" t="s">
        <v>1412</v>
      </c>
      <c r="B80" s="65" t="s">
        <v>1413</v>
      </c>
      <c r="C80" s="123">
        <v>83095.89</v>
      </c>
      <c r="D80" s="123">
        <v>83095.89</v>
      </c>
      <c r="E80" s="123">
        <v>0</v>
      </c>
      <c r="F80" s="123">
        <v>0</v>
      </c>
      <c r="G80" s="65"/>
    </row>
    <row r="81" spans="1:7">
      <c r="A81" s="65" t="s">
        <v>1091</v>
      </c>
      <c r="B81" s="65" t="s">
        <v>1092</v>
      </c>
      <c r="C81" s="123">
        <v>451166.35</v>
      </c>
      <c r="D81" s="123">
        <v>400037.9</v>
      </c>
      <c r="E81" s="123">
        <v>51128.45</v>
      </c>
      <c r="F81" s="123">
        <v>0</v>
      </c>
      <c r="G81" s="65"/>
    </row>
    <row r="82" spans="1:7">
      <c r="A82" s="65" t="s">
        <v>1093</v>
      </c>
      <c r="B82" s="65" t="s">
        <v>1092</v>
      </c>
      <c r="C82" s="123">
        <v>400037.9</v>
      </c>
      <c r="D82" s="123">
        <v>400037.9</v>
      </c>
      <c r="E82" s="123">
        <v>0</v>
      </c>
      <c r="F82" s="123">
        <v>0</v>
      </c>
      <c r="G82" s="65"/>
    </row>
    <row r="83" spans="1:7">
      <c r="A83" s="65" t="s">
        <v>1414</v>
      </c>
      <c r="B83" s="65" t="s">
        <v>1415</v>
      </c>
      <c r="C83" s="123">
        <v>442.2</v>
      </c>
      <c r="D83" s="123">
        <v>0</v>
      </c>
      <c r="E83" s="123">
        <v>442.2</v>
      </c>
      <c r="F83" s="123">
        <v>0</v>
      </c>
      <c r="G83" s="65"/>
    </row>
    <row r="84" spans="1:7">
      <c r="A84" s="65" t="s">
        <v>1416</v>
      </c>
      <c r="B84" s="65" t="s">
        <v>1417</v>
      </c>
      <c r="C84" s="123">
        <v>50686.25</v>
      </c>
      <c r="D84" s="123">
        <v>0</v>
      </c>
      <c r="E84" s="123">
        <v>50686.25</v>
      </c>
      <c r="F84" s="123">
        <v>0</v>
      </c>
      <c r="G84" s="65"/>
    </row>
    <row r="85" spans="1:7">
      <c r="A85" s="65">
        <v>190</v>
      </c>
      <c r="B85" s="65" t="s">
        <v>490</v>
      </c>
      <c r="C85" s="123">
        <v>954925.14</v>
      </c>
      <c r="D85" s="123">
        <v>954925.14</v>
      </c>
      <c r="E85" s="123">
        <v>0</v>
      </c>
      <c r="F85" s="123">
        <v>0</v>
      </c>
      <c r="G85" s="65"/>
    </row>
    <row r="86" spans="1:7">
      <c r="A86" s="65" t="s">
        <v>640</v>
      </c>
      <c r="B86" s="65" t="s">
        <v>490</v>
      </c>
      <c r="C86" s="123">
        <v>954925.14</v>
      </c>
      <c r="D86" s="123">
        <v>954925.14</v>
      </c>
      <c r="E86" s="123">
        <v>0</v>
      </c>
      <c r="F86" s="123">
        <v>0</v>
      </c>
      <c r="G86" s="65"/>
    </row>
    <row r="87" spans="1:7">
      <c r="A87" s="65" t="s">
        <v>641</v>
      </c>
      <c r="B87" s="65" t="s">
        <v>490</v>
      </c>
      <c r="C87" s="123">
        <v>954925.14</v>
      </c>
      <c r="D87" s="123">
        <v>954925.14</v>
      </c>
      <c r="E87" s="123">
        <v>0</v>
      </c>
      <c r="F87" s="123">
        <v>0</v>
      </c>
      <c r="G87" s="65"/>
    </row>
    <row r="88" spans="1:7">
      <c r="A88" s="65">
        <v>191</v>
      </c>
      <c r="B88" s="65" t="s">
        <v>491</v>
      </c>
      <c r="C88" s="123">
        <v>8944619.4000000004</v>
      </c>
      <c r="D88" s="123">
        <v>8944619.4000000004</v>
      </c>
      <c r="E88" s="123">
        <v>0</v>
      </c>
      <c r="F88" s="123">
        <v>0</v>
      </c>
      <c r="G88" s="65"/>
    </row>
    <row r="89" spans="1:7">
      <c r="A89" s="65" t="s">
        <v>642</v>
      </c>
      <c r="B89" s="65" t="s">
        <v>491</v>
      </c>
      <c r="C89" s="123">
        <v>8944619.4000000004</v>
      </c>
      <c r="D89" s="123">
        <v>8944619.4000000004</v>
      </c>
      <c r="E89" s="123">
        <v>0</v>
      </c>
      <c r="F89" s="123">
        <v>0</v>
      </c>
      <c r="G89" s="65"/>
    </row>
    <row r="90" spans="1:7">
      <c r="A90" s="65" t="s">
        <v>643</v>
      </c>
      <c r="B90" s="65" t="s">
        <v>644</v>
      </c>
      <c r="C90" s="123">
        <v>8872292.5199999996</v>
      </c>
      <c r="D90" s="123">
        <v>8872292.5199999996</v>
      </c>
      <c r="E90" s="123">
        <v>0</v>
      </c>
      <c r="F90" s="123">
        <v>0</v>
      </c>
      <c r="G90" s="65"/>
    </row>
    <row r="91" spans="1:7">
      <c r="A91" s="65" t="s">
        <v>784</v>
      </c>
      <c r="B91" s="65" t="s">
        <v>785</v>
      </c>
      <c r="C91" s="123">
        <v>72326.880000000005</v>
      </c>
      <c r="D91" s="123">
        <v>72326.880000000005</v>
      </c>
      <c r="E91" s="123">
        <v>0</v>
      </c>
      <c r="F91" s="123">
        <v>0</v>
      </c>
      <c r="G91" s="65"/>
    </row>
    <row r="92" spans="1:7">
      <c r="A92" s="65">
        <v>192</v>
      </c>
      <c r="B92" s="65" t="s">
        <v>507</v>
      </c>
      <c r="C92" s="123">
        <v>1182888.97</v>
      </c>
      <c r="D92" s="123">
        <v>0</v>
      </c>
      <c r="E92" s="123">
        <v>1182888.97</v>
      </c>
      <c r="F92" s="123">
        <v>0</v>
      </c>
      <c r="G92" s="65"/>
    </row>
    <row r="93" spans="1:7">
      <c r="A93" s="65" t="s">
        <v>1418</v>
      </c>
      <c r="B93" s="65" t="s">
        <v>1419</v>
      </c>
      <c r="C93" s="123">
        <v>1182888.97</v>
      </c>
      <c r="D93" s="123">
        <v>0</v>
      </c>
      <c r="E93" s="123">
        <v>1182888.97</v>
      </c>
      <c r="F93" s="123">
        <v>0</v>
      </c>
      <c r="G93" s="65"/>
    </row>
    <row r="94" spans="1:7">
      <c r="A94" s="65" t="s">
        <v>1420</v>
      </c>
      <c r="B94" s="65" t="s">
        <v>1421</v>
      </c>
      <c r="C94" s="123">
        <v>1182888.97</v>
      </c>
      <c r="D94" s="123">
        <v>0</v>
      </c>
      <c r="E94" s="123">
        <v>1182888.97</v>
      </c>
      <c r="F94" s="123">
        <v>0</v>
      </c>
      <c r="G94" s="65"/>
    </row>
    <row r="95" spans="1:7">
      <c r="A95" s="65">
        <v>193</v>
      </c>
      <c r="B95" s="65" t="s">
        <v>121</v>
      </c>
      <c r="C95" s="123">
        <v>188235.29</v>
      </c>
      <c r="D95" s="123">
        <v>0</v>
      </c>
      <c r="E95" s="123">
        <v>188235.29</v>
      </c>
      <c r="F95" s="123">
        <v>0</v>
      </c>
      <c r="G95" s="65"/>
    </row>
    <row r="96" spans="1:7">
      <c r="A96" s="65" t="s">
        <v>812</v>
      </c>
      <c r="B96" s="65" t="s">
        <v>813</v>
      </c>
      <c r="C96" s="123">
        <v>188235.29</v>
      </c>
      <c r="D96" s="123">
        <v>0</v>
      </c>
      <c r="E96" s="123">
        <v>188235.29</v>
      </c>
      <c r="F96" s="123">
        <v>0</v>
      </c>
      <c r="G96" s="65"/>
    </row>
    <row r="97" spans="1:7">
      <c r="A97" s="65" t="s">
        <v>814</v>
      </c>
      <c r="B97" s="65" t="s">
        <v>815</v>
      </c>
      <c r="C97" s="123">
        <v>188235.29</v>
      </c>
      <c r="D97" s="123">
        <v>0</v>
      </c>
      <c r="E97" s="123">
        <v>188235.29</v>
      </c>
      <c r="F97" s="123">
        <v>0</v>
      </c>
      <c r="G97" s="65"/>
    </row>
    <row r="98" spans="1:7">
      <c r="A98" s="65">
        <v>195</v>
      </c>
      <c r="B98" s="65" t="s">
        <v>20</v>
      </c>
      <c r="C98" s="123">
        <v>342978.15</v>
      </c>
      <c r="D98" s="123">
        <v>284410.28000000003</v>
      </c>
      <c r="E98" s="123">
        <v>58567.87</v>
      </c>
      <c r="F98" s="123">
        <v>0</v>
      </c>
      <c r="G98" s="65"/>
    </row>
    <row r="99" spans="1:7">
      <c r="A99" s="65" t="s">
        <v>645</v>
      </c>
      <c r="B99" s="65" t="s">
        <v>20</v>
      </c>
      <c r="C99" s="123">
        <v>342978.15</v>
      </c>
      <c r="D99" s="123">
        <v>284410.28000000003</v>
      </c>
      <c r="E99" s="123">
        <v>58567.87</v>
      </c>
      <c r="F99" s="123">
        <v>0</v>
      </c>
      <c r="G99" s="65"/>
    </row>
    <row r="100" spans="1:7">
      <c r="A100" s="65" t="s">
        <v>646</v>
      </c>
      <c r="B100" s="65" t="s">
        <v>647</v>
      </c>
      <c r="C100" s="123">
        <v>342978.15</v>
      </c>
      <c r="D100" s="123">
        <v>284410.28000000003</v>
      </c>
      <c r="E100" s="123">
        <v>58567.87</v>
      </c>
      <c r="F100" s="123">
        <v>0</v>
      </c>
      <c r="G100" s="65"/>
    </row>
    <row r="101" spans="1:7">
      <c r="A101" s="65">
        <v>196</v>
      </c>
      <c r="B101" s="65" t="s">
        <v>122</v>
      </c>
      <c r="C101" s="123">
        <v>300000</v>
      </c>
      <c r="D101" s="123">
        <v>132000</v>
      </c>
      <c r="E101" s="123">
        <v>168000</v>
      </c>
      <c r="F101" s="123">
        <v>0</v>
      </c>
      <c r="G101" s="65"/>
    </row>
    <row r="102" spans="1:7">
      <c r="A102" s="65" t="s">
        <v>1094</v>
      </c>
      <c r="B102" s="65" t="s">
        <v>122</v>
      </c>
      <c r="C102" s="123">
        <v>300000</v>
      </c>
      <c r="D102" s="123">
        <v>132000</v>
      </c>
      <c r="E102" s="123">
        <v>168000</v>
      </c>
      <c r="F102" s="123">
        <v>0</v>
      </c>
      <c r="G102" s="65"/>
    </row>
    <row r="103" spans="1:7">
      <c r="A103" s="65" t="s">
        <v>1095</v>
      </c>
      <c r="B103" s="65" t="s">
        <v>1096</v>
      </c>
      <c r="C103" s="123">
        <v>300000</v>
      </c>
      <c r="D103" s="123">
        <v>132000</v>
      </c>
      <c r="E103" s="123">
        <v>168000</v>
      </c>
      <c r="F103" s="123">
        <v>0</v>
      </c>
      <c r="G103" s="65"/>
    </row>
    <row r="104" spans="1:7">
      <c r="A104" s="65">
        <v>197</v>
      </c>
      <c r="B104" s="65" t="s">
        <v>508</v>
      </c>
      <c r="C104" s="123">
        <v>327605.8</v>
      </c>
      <c r="D104" s="123">
        <v>327605.8</v>
      </c>
      <c r="E104" s="123">
        <v>0</v>
      </c>
      <c r="F104" s="123">
        <v>0</v>
      </c>
      <c r="G104" s="65"/>
    </row>
    <row r="105" spans="1:7">
      <c r="A105" s="65" t="s">
        <v>864</v>
      </c>
      <c r="B105" s="65" t="s">
        <v>508</v>
      </c>
      <c r="C105" s="123">
        <v>327605.8</v>
      </c>
      <c r="D105" s="123">
        <v>327605.8</v>
      </c>
      <c r="E105" s="123">
        <v>0</v>
      </c>
      <c r="F105" s="123">
        <v>0</v>
      </c>
      <c r="G105" s="65"/>
    </row>
    <row r="106" spans="1:7">
      <c r="A106" s="65" t="s">
        <v>1422</v>
      </c>
      <c r="B106" s="65" t="s">
        <v>1423</v>
      </c>
      <c r="C106" s="123">
        <v>302882.23</v>
      </c>
      <c r="D106" s="123">
        <v>302882.23</v>
      </c>
      <c r="E106" s="123">
        <v>0</v>
      </c>
      <c r="F106" s="123">
        <v>0</v>
      </c>
      <c r="G106" s="65"/>
    </row>
    <row r="107" spans="1:7">
      <c r="A107" s="65" t="s">
        <v>1097</v>
      </c>
      <c r="B107" s="65" t="s">
        <v>1098</v>
      </c>
      <c r="C107" s="123">
        <v>5208.87</v>
      </c>
      <c r="D107" s="123">
        <v>5208.87</v>
      </c>
      <c r="E107" s="123">
        <v>0</v>
      </c>
      <c r="F107" s="123">
        <v>0</v>
      </c>
      <c r="G107" s="65"/>
    </row>
    <row r="108" spans="1:7">
      <c r="A108" s="65" t="s">
        <v>865</v>
      </c>
      <c r="B108" s="65" t="s">
        <v>866</v>
      </c>
      <c r="C108" s="123">
        <v>19514.7</v>
      </c>
      <c r="D108" s="123">
        <v>19514.7</v>
      </c>
      <c r="E108" s="123">
        <v>0</v>
      </c>
      <c r="F108" s="123">
        <v>0</v>
      </c>
      <c r="G108" s="65"/>
    </row>
    <row r="109" spans="1:7">
      <c r="A109" s="65">
        <v>226</v>
      </c>
      <c r="B109" s="65" t="s">
        <v>102</v>
      </c>
      <c r="C109" s="123">
        <v>380625.76</v>
      </c>
      <c r="D109" s="123">
        <v>0</v>
      </c>
      <c r="E109" s="123">
        <v>380625.76</v>
      </c>
      <c r="F109" s="123">
        <v>0</v>
      </c>
      <c r="G109" s="65"/>
    </row>
    <row r="110" spans="1:7">
      <c r="A110" s="65" t="s">
        <v>1424</v>
      </c>
      <c r="B110" s="65" t="s">
        <v>102</v>
      </c>
      <c r="C110" s="123">
        <v>380625.76</v>
      </c>
      <c r="D110" s="123">
        <v>0</v>
      </c>
      <c r="E110" s="123">
        <v>380625.76</v>
      </c>
      <c r="F110" s="123">
        <v>0</v>
      </c>
      <c r="G110" s="65"/>
    </row>
    <row r="111" spans="1:7">
      <c r="A111" s="65" t="s">
        <v>1425</v>
      </c>
      <c r="B111" s="65" t="s">
        <v>1426</v>
      </c>
      <c r="C111" s="123">
        <v>9037.26</v>
      </c>
      <c r="D111" s="123">
        <v>0</v>
      </c>
      <c r="E111" s="123">
        <v>9037.26</v>
      </c>
      <c r="F111" s="123">
        <v>0</v>
      </c>
      <c r="G111" s="65"/>
    </row>
    <row r="112" spans="1:7">
      <c r="A112" s="65" t="s">
        <v>1427</v>
      </c>
      <c r="B112" s="65" t="s">
        <v>1428</v>
      </c>
      <c r="C112" s="123">
        <v>371588.5</v>
      </c>
      <c r="D112" s="123">
        <v>0</v>
      </c>
      <c r="E112" s="123">
        <v>371588.5</v>
      </c>
      <c r="F112" s="123">
        <v>0</v>
      </c>
      <c r="G112" s="65"/>
    </row>
    <row r="113" spans="1:7">
      <c r="A113" s="65">
        <v>253</v>
      </c>
      <c r="B113" s="65" t="s">
        <v>133</v>
      </c>
      <c r="C113" s="123">
        <v>3878904.28</v>
      </c>
      <c r="D113" s="123">
        <v>0</v>
      </c>
      <c r="E113" s="123">
        <v>3878904.28</v>
      </c>
      <c r="F113" s="123">
        <v>0</v>
      </c>
      <c r="G113" s="65"/>
    </row>
    <row r="114" spans="1:7">
      <c r="A114" s="65" t="s">
        <v>1099</v>
      </c>
      <c r="B114" s="65" t="s">
        <v>133</v>
      </c>
      <c r="C114" s="123">
        <v>3878904.28</v>
      </c>
      <c r="D114" s="123">
        <v>0</v>
      </c>
      <c r="E114" s="123">
        <v>3878904.28</v>
      </c>
      <c r="F114" s="123">
        <v>0</v>
      </c>
      <c r="G114" s="65"/>
    </row>
    <row r="115" spans="1:7">
      <c r="A115" s="65" t="s">
        <v>1100</v>
      </c>
      <c r="B115" s="65" t="s">
        <v>133</v>
      </c>
      <c r="C115" s="123">
        <v>3878904.28</v>
      </c>
      <c r="D115" s="123">
        <v>0</v>
      </c>
      <c r="E115" s="123">
        <v>3878904.28</v>
      </c>
      <c r="F115" s="123">
        <v>0</v>
      </c>
      <c r="G115" s="65"/>
    </row>
    <row r="116" spans="1:7">
      <c r="A116" s="65">
        <v>254</v>
      </c>
      <c r="B116" s="65" t="s">
        <v>21</v>
      </c>
      <c r="C116" s="123">
        <v>6966194.9100000001</v>
      </c>
      <c r="D116" s="123">
        <v>0</v>
      </c>
      <c r="E116" s="123">
        <v>6966194.9100000001</v>
      </c>
      <c r="F116" s="123">
        <v>0</v>
      </c>
      <c r="G116" s="65"/>
    </row>
    <row r="117" spans="1:7">
      <c r="A117" s="65" t="s">
        <v>1429</v>
      </c>
      <c r="B117" s="65" t="s">
        <v>21</v>
      </c>
      <c r="C117" s="123">
        <v>6966194.9100000001</v>
      </c>
      <c r="D117" s="123">
        <v>0</v>
      </c>
      <c r="E117" s="123">
        <v>6966194.9100000001</v>
      </c>
      <c r="F117" s="123">
        <v>0</v>
      </c>
      <c r="G117" s="65"/>
    </row>
    <row r="118" spans="1:7">
      <c r="A118" s="65" t="s">
        <v>1430</v>
      </c>
      <c r="B118" s="65" t="s">
        <v>21</v>
      </c>
      <c r="C118" s="123">
        <v>6966194.9100000001</v>
      </c>
      <c r="D118" s="123">
        <v>0</v>
      </c>
      <c r="E118" s="123">
        <v>6966194.9100000001</v>
      </c>
      <c r="F118" s="123">
        <v>0</v>
      </c>
      <c r="G118" s="65"/>
    </row>
    <row r="119" spans="1:7">
      <c r="A119" s="65">
        <v>255</v>
      </c>
      <c r="B119" s="65" t="s">
        <v>22</v>
      </c>
      <c r="C119" s="123">
        <v>1773761.62</v>
      </c>
      <c r="D119" s="123">
        <v>0</v>
      </c>
      <c r="E119" s="123">
        <v>1773761.62</v>
      </c>
      <c r="F119" s="123">
        <v>0</v>
      </c>
      <c r="G119" s="65"/>
    </row>
    <row r="120" spans="1:7">
      <c r="A120" s="65" t="s">
        <v>648</v>
      </c>
      <c r="B120" s="65" t="s">
        <v>22</v>
      </c>
      <c r="C120" s="123">
        <v>1773761.62</v>
      </c>
      <c r="D120" s="123">
        <v>0</v>
      </c>
      <c r="E120" s="123">
        <v>1773761.62</v>
      </c>
      <c r="F120" s="123">
        <v>0</v>
      </c>
      <c r="G120" s="65"/>
    </row>
    <row r="121" spans="1:7">
      <c r="A121" s="65" t="s">
        <v>649</v>
      </c>
      <c r="B121" s="65" t="s">
        <v>22</v>
      </c>
      <c r="C121" s="123">
        <v>1773761.62</v>
      </c>
      <c r="D121" s="123">
        <v>0</v>
      </c>
      <c r="E121" s="123">
        <v>1773761.62</v>
      </c>
      <c r="F121" s="123">
        <v>0</v>
      </c>
      <c r="G121" s="65"/>
    </row>
    <row r="122" spans="1:7">
      <c r="A122" s="65">
        <v>256</v>
      </c>
      <c r="B122" s="65" t="s">
        <v>134</v>
      </c>
      <c r="C122" s="123">
        <v>6730866.1500000004</v>
      </c>
      <c r="D122" s="123">
        <v>0</v>
      </c>
      <c r="E122" s="123">
        <v>6730866.1500000004</v>
      </c>
      <c r="F122" s="123">
        <v>0</v>
      </c>
      <c r="G122" s="65"/>
    </row>
    <row r="123" spans="1:7">
      <c r="A123" s="65" t="s">
        <v>1101</v>
      </c>
      <c r="B123" s="65" t="s">
        <v>134</v>
      </c>
      <c r="C123" s="123">
        <v>6730866.1500000004</v>
      </c>
      <c r="D123" s="123">
        <v>0</v>
      </c>
      <c r="E123" s="123">
        <v>6730866.1500000004</v>
      </c>
      <c r="F123" s="123">
        <v>0</v>
      </c>
      <c r="G123" s="65"/>
    </row>
    <row r="124" spans="1:7">
      <c r="A124" s="65" t="s">
        <v>1102</v>
      </c>
      <c r="B124" s="65" t="s">
        <v>134</v>
      </c>
      <c r="C124" s="123">
        <v>6730866.1500000004</v>
      </c>
      <c r="D124" s="123">
        <v>0</v>
      </c>
      <c r="E124" s="123">
        <v>6730866.1500000004</v>
      </c>
      <c r="F124" s="123">
        <v>0</v>
      </c>
      <c r="G124" s="65"/>
    </row>
    <row r="125" spans="1:7">
      <c r="A125" s="65">
        <v>257</v>
      </c>
      <c r="B125" s="65" t="s">
        <v>23</v>
      </c>
      <c r="C125" s="123">
        <v>0</v>
      </c>
      <c r="D125" s="123">
        <v>9203509.3300000001</v>
      </c>
      <c r="E125" s="123">
        <v>0</v>
      </c>
      <c r="F125" s="123">
        <v>9203509.3300000001</v>
      </c>
      <c r="G125" s="65"/>
    </row>
    <row r="126" spans="1:7">
      <c r="A126" s="65" t="s">
        <v>650</v>
      </c>
      <c r="B126" s="65" t="s">
        <v>23</v>
      </c>
      <c r="C126" s="123">
        <v>0</v>
      </c>
      <c r="D126" s="123">
        <v>9203509.3300000001</v>
      </c>
      <c r="E126" s="123">
        <v>0</v>
      </c>
      <c r="F126" s="123">
        <v>9203509.3300000001</v>
      </c>
      <c r="G126" s="65"/>
    </row>
    <row r="127" spans="1:7">
      <c r="A127" s="65" t="s">
        <v>651</v>
      </c>
      <c r="B127" s="65" t="s">
        <v>652</v>
      </c>
      <c r="C127" s="123">
        <v>0</v>
      </c>
      <c r="D127" s="123">
        <v>4832161.03</v>
      </c>
      <c r="E127" s="123">
        <v>0</v>
      </c>
      <c r="F127" s="123">
        <v>4832161.03</v>
      </c>
      <c r="G127" s="65"/>
    </row>
    <row r="128" spans="1:7">
      <c r="A128" s="65" t="s">
        <v>848</v>
      </c>
      <c r="B128" s="65" t="s">
        <v>849</v>
      </c>
      <c r="C128" s="123">
        <v>0</v>
      </c>
      <c r="D128" s="123">
        <v>4371348.3</v>
      </c>
      <c r="E128" s="123">
        <v>0</v>
      </c>
      <c r="F128" s="123">
        <v>4371348.3</v>
      </c>
      <c r="G128" s="65"/>
    </row>
    <row r="129" spans="1:7">
      <c r="A129" s="65">
        <v>260</v>
      </c>
      <c r="B129" s="65" t="s">
        <v>24</v>
      </c>
      <c r="C129" s="123">
        <v>695372.37</v>
      </c>
      <c r="D129" s="123">
        <v>0</v>
      </c>
      <c r="E129" s="123">
        <v>695372.37</v>
      </c>
      <c r="F129" s="123">
        <v>0</v>
      </c>
      <c r="G129" s="65"/>
    </row>
    <row r="130" spans="1:7">
      <c r="A130" s="65" t="s">
        <v>653</v>
      </c>
      <c r="B130" s="65" t="s">
        <v>24</v>
      </c>
      <c r="C130" s="123">
        <v>695372.37</v>
      </c>
      <c r="D130" s="123">
        <v>0</v>
      </c>
      <c r="E130" s="123">
        <v>695372.37</v>
      </c>
      <c r="F130" s="123">
        <v>0</v>
      </c>
      <c r="G130" s="65"/>
    </row>
    <row r="131" spans="1:7">
      <c r="A131" s="65" t="s">
        <v>654</v>
      </c>
      <c r="B131" s="65" t="s">
        <v>655</v>
      </c>
      <c r="C131" s="123">
        <v>616887.18999999994</v>
      </c>
      <c r="D131" s="123">
        <v>0</v>
      </c>
      <c r="E131" s="123">
        <v>616887.18999999994</v>
      </c>
      <c r="F131" s="123">
        <v>0</v>
      </c>
      <c r="G131" s="65"/>
    </row>
    <row r="132" spans="1:7">
      <c r="A132" s="65" t="s">
        <v>1103</v>
      </c>
      <c r="B132" s="65" t="s">
        <v>1104</v>
      </c>
      <c r="C132" s="123">
        <v>23374.400000000001</v>
      </c>
      <c r="D132" s="123">
        <v>0</v>
      </c>
      <c r="E132" s="123">
        <v>23374.400000000001</v>
      </c>
      <c r="F132" s="123">
        <v>0</v>
      </c>
      <c r="G132" s="65"/>
    </row>
    <row r="133" spans="1:7">
      <c r="A133" s="65" t="s">
        <v>1105</v>
      </c>
      <c r="B133" s="65" t="s">
        <v>1106</v>
      </c>
      <c r="C133" s="123">
        <v>55110.78</v>
      </c>
      <c r="D133" s="123">
        <v>0</v>
      </c>
      <c r="E133" s="123">
        <v>55110.78</v>
      </c>
      <c r="F133" s="123">
        <v>0</v>
      </c>
      <c r="G133" s="65"/>
    </row>
    <row r="134" spans="1:7">
      <c r="A134" s="65">
        <v>264</v>
      </c>
      <c r="B134" s="65" t="s">
        <v>137</v>
      </c>
      <c r="C134" s="123">
        <v>217879.55</v>
      </c>
      <c r="D134" s="123">
        <v>0</v>
      </c>
      <c r="E134" s="123">
        <v>217879.55</v>
      </c>
      <c r="F134" s="123">
        <v>0</v>
      </c>
      <c r="G134" s="65"/>
    </row>
    <row r="135" spans="1:7">
      <c r="A135" s="65" t="s">
        <v>1107</v>
      </c>
      <c r="B135" s="65" t="s">
        <v>137</v>
      </c>
      <c r="C135" s="123">
        <v>217879.55</v>
      </c>
      <c r="D135" s="123">
        <v>0</v>
      </c>
      <c r="E135" s="123">
        <v>217879.55</v>
      </c>
      <c r="F135" s="123">
        <v>0</v>
      </c>
      <c r="G135" s="65"/>
    </row>
    <row r="136" spans="1:7">
      <c r="A136" s="65" t="s">
        <v>1108</v>
      </c>
      <c r="B136" s="65" t="s">
        <v>137</v>
      </c>
      <c r="C136" s="123">
        <v>217879.55</v>
      </c>
      <c r="D136" s="123">
        <v>0</v>
      </c>
      <c r="E136" s="123">
        <v>217879.55</v>
      </c>
      <c r="F136" s="123">
        <v>0</v>
      </c>
      <c r="G136" s="65"/>
    </row>
    <row r="137" spans="1:7">
      <c r="A137" s="65">
        <v>265</v>
      </c>
      <c r="B137" s="65" t="s">
        <v>138</v>
      </c>
      <c r="C137" s="123">
        <v>67746.5</v>
      </c>
      <c r="D137" s="123">
        <v>0</v>
      </c>
      <c r="E137" s="123">
        <v>67746.5</v>
      </c>
      <c r="F137" s="123">
        <v>0</v>
      </c>
      <c r="G137" s="65"/>
    </row>
    <row r="138" spans="1:7">
      <c r="A138" s="65" t="s">
        <v>1109</v>
      </c>
      <c r="B138" s="65" t="s">
        <v>138</v>
      </c>
      <c r="C138" s="123">
        <v>67746.5</v>
      </c>
      <c r="D138" s="123">
        <v>0</v>
      </c>
      <c r="E138" s="123">
        <v>67746.5</v>
      </c>
      <c r="F138" s="123">
        <v>0</v>
      </c>
      <c r="G138" s="65"/>
    </row>
    <row r="139" spans="1:7">
      <c r="A139" s="65" t="s">
        <v>1431</v>
      </c>
      <c r="B139" s="65" t="s">
        <v>1432</v>
      </c>
      <c r="C139" s="123">
        <v>48496.5</v>
      </c>
      <c r="D139" s="123">
        <v>0</v>
      </c>
      <c r="E139" s="123">
        <v>48496.5</v>
      </c>
      <c r="F139" s="123">
        <v>0</v>
      </c>
      <c r="G139" s="65"/>
    </row>
    <row r="140" spans="1:7">
      <c r="A140" s="65" t="s">
        <v>1433</v>
      </c>
      <c r="B140" s="65" t="s">
        <v>1434</v>
      </c>
      <c r="C140" s="123">
        <v>19250</v>
      </c>
      <c r="D140" s="123">
        <v>0</v>
      </c>
      <c r="E140" s="123">
        <v>19250</v>
      </c>
      <c r="F140" s="123">
        <v>0</v>
      </c>
      <c r="G140" s="65"/>
    </row>
    <row r="141" spans="1:7">
      <c r="A141" s="65">
        <v>268</v>
      </c>
      <c r="B141" s="65" t="s">
        <v>23</v>
      </c>
      <c r="C141" s="123">
        <v>0</v>
      </c>
      <c r="D141" s="123">
        <v>704054.76</v>
      </c>
      <c r="E141" s="123">
        <v>0</v>
      </c>
      <c r="F141" s="123">
        <v>704054.76</v>
      </c>
      <c r="G141" s="65"/>
    </row>
    <row r="142" spans="1:7">
      <c r="A142" s="65" t="s">
        <v>656</v>
      </c>
      <c r="B142" s="65" t="s">
        <v>23</v>
      </c>
      <c r="C142" s="123">
        <v>0</v>
      </c>
      <c r="D142" s="123">
        <v>704054.76</v>
      </c>
      <c r="E142" s="123">
        <v>0</v>
      </c>
      <c r="F142" s="123">
        <v>704054.76</v>
      </c>
      <c r="G142" s="65"/>
    </row>
    <row r="143" spans="1:7">
      <c r="A143" s="65" t="s">
        <v>657</v>
      </c>
      <c r="B143" s="65" t="s">
        <v>658</v>
      </c>
      <c r="C143" s="123">
        <v>0</v>
      </c>
      <c r="D143" s="123">
        <v>590896.86</v>
      </c>
      <c r="E143" s="123">
        <v>0</v>
      </c>
      <c r="F143" s="123">
        <v>590896.86</v>
      </c>
      <c r="G143" s="65"/>
    </row>
    <row r="144" spans="1:7">
      <c r="A144" s="65" t="s">
        <v>850</v>
      </c>
      <c r="B144" s="65" t="s">
        <v>847</v>
      </c>
      <c r="C144" s="123">
        <v>0</v>
      </c>
      <c r="D144" s="123">
        <v>113157.9</v>
      </c>
      <c r="E144" s="123">
        <v>0</v>
      </c>
      <c r="F144" s="123">
        <v>113157.9</v>
      </c>
      <c r="G144" s="65"/>
    </row>
    <row r="145" spans="1:7">
      <c r="A145" s="65">
        <v>280</v>
      </c>
      <c r="B145" s="65" t="s">
        <v>25</v>
      </c>
      <c r="C145" s="123">
        <v>321645.23</v>
      </c>
      <c r="D145" s="123">
        <v>215523.94</v>
      </c>
      <c r="E145" s="123">
        <v>106121.29</v>
      </c>
      <c r="F145" s="123">
        <v>0</v>
      </c>
      <c r="G145" s="65"/>
    </row>
    <row r="146" spans="1:7">
      <c r="A146" s="65" t="s">
        <v>797</v>
      </c>
      <c r="B146" s="65" t="s">
        <v>794</v>
      </c>
      <c r="C146" s="123">
        <v>306040.90999999997</v>
      </c>
      <c r="D146" s="123">
        <v>215523.94</v>
      </c>
      <c r="E146" s="123">
        <v>90516.97</v>
      </c>
      <c r="F146" s="123">
        <v>0</v>
      </c>
      <c r="G146" s="65"/>
    </row>
    <row r="147" spans="1:7">
      <c r="A147" s="65" t="s">
        <v>1110</v>
      </c>
      <c r="B147" s="65" t="s">
        <v>1090</v>
      </c>
      <c r="C147" s="123">
        <v>90667.98</v>
      </c>
      <c r="D147" s="123">
        <v>86822.18</v>
      </c>
      <c r="E147" s="123">
        <v>3845.8</v>
      </c>
      <c r="F147" s="123">
        <v>0</v>
      </c>
      <c r="G147" s="65"/>
    </row>
    <row r="148" spans="1:7">
      <c r="A148" s="65" t="s">
        <v>798</v>
      </c>
      <c r="B148" s="65" t="s">
        <v>796</v>
      </c>
      <c r="C148" s="123">
        <v>145940.54999999999</v>
      </c>
      <c r="D148" s="123">
        <v>67533.5</v>
      </c>
      <c r="E148" s="123">
        <v>78407.05</v>
      </c>
      <c r="F148" s="123">
        <v>0</v>
      </c>
      <c r="G148" s="65"/>
    </row>
    <row r="149" spans="1:7">
      <c r="A149" s="65" t="s">
        <v>1435</v>
      </c>
      <c r="B149" s="65" t="s">
        <v>1409</v>
      </c>
      <c r="C149" s="123">
        <v>4458.51</v>
      </c>
      <c r="D149" s="123">
        <v>4458.51</v>
      </c>
      <c r="E149" s="123">
        <v>0</v>
      </c>
      <c r="F149" s="123">
        <v>0</v>
      </c>
      <c r="G149" s="65"/>
    </row>
    <row r="150" spans="1:7">
      <c r="A150" s="65" t="s">
        <v>1436</v>
      </c>
      <c r="B150" s="65" t="s">
        <v>1411</v>
      </c>
      <c r="C150" s="123">
        <v>64973.87</v>
      </c>
      <c r="D150" s="123">
        <v>56709.75</v>
      </c>
      <c r="E150" s="123">
        <v>8264.1200000000008</v>
      </c>
      <c r="F150" s="123">
        <v>0</v>
      </c>
      <c r="G150" s="65"/>
    </row>
    <row r="151" spans="1:7">
      <c r="A151" s="65" t="s">
        <v>1437</v>
      </c>
      <c r="B151" s="65" t="s">
        <v>1092</v>
      </c>
      <c r="C151" s="123">
        <v>15604.32</v>
      </c>
      <c r="D151" s="123">
        <v>0</v>
      </c>
      <c r="E151" s="123">
        <v>15604.32</v>
      </c>
      <c r="F151" s="123">
        <v>0</v>
      </c>
      <c r="G151" s="65"/>
    </row>
    <row r="152" spans="1:7">
      <c r="A152" s="65" t="s">
        <v>1438</v>
      </c>
      <c r="B152" s="65" t="s">
        <v>1417</v>
      </c>
      <c r="C152" s="123">
        <v>15604.32</v>
      </c>
      <c r="D152" s="123">
        <v>0</v>
      </c>
      <c r="E152" s="123">
        <v>15604.32</v>
      </c>
      <c r="F152" s="123">
        <v>0</v>
      </c>
      <c r="G152" s="65"/>
    </row>
    <row r="153" spans="1:7">
      <c r="A153" s="65">
        <v>320</v>
      </c>
      <c r="B153" s="65" t="s">
        <v>26</v>
      </c>
      <c r="C153" s="123">
        <v>57027297.119999997</v>
      </c>
      <c r="D153" s="123">
        <v>73410327.450000003</v>
      </c>
      <c r="E153" s="123">
        <v>0</v>
      </c>
      <c r="F153" s="123">
        <v>16383030.33</v>
      </c>
      <c r="G153" s="65"/>
    </row>
    <row r="154" spans="1:7">
      <c r="A154" s="65" t="s">
        <v>659</v>
      </c>
      <c r="B154" s="65" t="s">
        <v>660</v>
      </c>
      <c r="C154" s="123">
        <v>57016290.020000003</v>
      </c>
      <c r="D154" s="123">
        <v>70441534.569999993</v>
      </c>
      <c r="E154" s="123">
        <v>0</v>
      </c>
      <c r="F154" s="123">
        <v>13425244.550000001</v>
      </c>
      <c r="G154" s="65"/>
    </row>
    <row r="155" spans="1:7">
      <c r="A155" s="65" t="s">
        <v>661</v>
      </c>
      <c r="B155" s="65" t="s">
        <v>662</v>
      </c>
      <c r="C155" s="123">
        <v>3330788.92</v>
      </c>
      <c r="D155" s="123">
        <v>6214015.9000000004</v>
      </c>
      <c r="E155" s="123">
        <v>0</v>
      </c>
      <c r="F155" s="123">
        <v>2883226.98</v>
      </c>
      <c r="G155" s="65"/>
    </row>
    <row r="156" spans="1:7">
      <c r="A156" s="65" t="s">
        <v>663</v>
      </c>
      <c r="B156" s="65" t="s">
        <v>664</v>
      </c>
      <c r="C156" s="123">
        <v>3330788.92</v>
      </c>
      <c r="D156" s="123">
        <v>6214015.9000000004</v>
      </c>
      <c r="E156" s="123">
        <v>0</v>
      </c>
      <c r="F156" s="123">
        <v>2883226.98</v>
      </c>
      <c r="G156" s="65"/>
    </row>
    <row r="157" spans="1:7">
      <c r="A157" s="65" t="s">
        <v>665</v>
      </c>
      <c r="B157" s="65" t="s">
        <v>666</v>
      </c>
      <c r="C157" s="123">
        <v>53685501.100000001</v>
      </c>
      <c r="D157" s="123">
        <v>64227518.670000002</v>
      </c>
      <c r="E157" s="123">
        <v>0</v>
      </c>
      <c r="F157" s="123">
        <v>10542017.57</v>
      </c>
      <c r="G157" s="65"/>
    </row>
    <row r="158" spans="1:7">
      <c r="A158" s="65" t="s">
        <v>667</v>
      </c>
      <c r="B158" s="65" t="s">
        <v>668</v>
      </c>
      <c r="C158" s="123">
        <v>48129203.560000002</v>
      </c>
      <c r="D158" s="123">
        <v>56544094.119999997</v>
      </c>
      <c r="E158" s="123">
        <v>0</v>
      </c>
      <c r="F158" s="123">
        <v>8414890.5600000005</v>
      </c>
      <c r="G158" s="65"/>
    </row>
    <row r="159" spans="1:7">
      <c r="A159" s="65" t="s">
        <v>669</v>
      </c>
      <c r="B159" s="65" t="s">
        <v>670</v>
      </c>
      <c r="C159" s="123">
        <v>3763310.13</v>
      </c>
      <c r="D159" s="123">
        <v>5412723.4699999997</v>
      </c>
      <c r="E159" s="123">
        <v>0</v>
      </c>
      <c r="F159" s="123">
        <v>1649413.34</v>
      </c>
      <c r="G159" s="65"/>
    </row>
    <row r="160" spans="1:7">
      <c r="A160" s="65" t="s">
        <v>1439</v>
      </c>
      <c r="B160" s="65" t="s">
        <v>1440</v>
      </c>
      <c r="C160" s="123">
        <v>1792987.41</v>
      </c>
      <c r="D160" s="123">
        <v>2270701.08</v>
      </c>
      <c r="E160" s="123">
        <v>0</v>
      </c>
      <c r="F160" s="123">
        <v>477713.67</v>
      </c>
      <c r="G160" s="65"/>
    </row>
    <row r="161" spans="1:7">
      <c r="A161" s="65" t="s">
        <v>816</v>
      </c>
      <c r="B161" s="65" t="s">
        <v>817</v>
      </c>
      <c r="C161" s="123">
        <v>11007.1</v>
      </c>
      <c r="D161" s="123">
        <v>2968792.88</v>
      </c>
      <c r="E161" s="123">
        <v>0</v>
      </c>
      <c r="F161" s="123">
        <v>2957785.78</v>
      </c>
      <c r="G161" s="65"/>
    </row>
    <row r="162" spans="1:7">
      <c r="A162" s="65" t="s">
        <v>1441</v>
      </c>
      <c r="B162" s="65" t="s">
        <v>1442</v>
      </c>
      <c r="C162" s="123">
        <v>5100</v>
      </c>
      <c r="D162" s="123">
        <v>2962877.05</v>
      </c>
      <c r="E162" s="123">
        <v>0</v>
      </c>
      <c r="F162" s="123">
        <v>2957777.05</v>
      </c>
      <c r="G162" s="65"/>
    </row>
    <row r="163" spans="1:7">
      <c r="A163" s="65" t="s">
        <v>1443</v>
      </c>
      <c r="B163" s="65" t="s">
        <v>1444</v>
      </c>
      <c r="C163" s="123">
        <v>5100</v>
      </c>
      <c r="D163" s="123">
        <v>5100</v>
      </c>
      <c r="E163" s="123">
        <v>0</v>
      </c>
      <c r="F163" s="123">
        <v>0</v>
      </c>
      <c r="G163" s="65"/>
    </row>
    <row r="164" spans="1:7">
      <c r="A164" s="65" t="s">
        <v>1445</v>
      </c>
      <c r="B164" s="65" t="s">
        <v>1446</v>
      </c>
      <c r="C164" s="123">
        <v>0</v>
      </c>
      <c r="D164" s="123">
        <v>2957777.05</v>
      </c>
      <c r="E164" s="123">
        <v>0</v>
      </c>
      <c r="F164" s="123">
        <v>2957777.05</v>
      </c>
      <c r="G164" s="65"/>
    </row>
    <row r="165" spans="1:7">
      <c r="A165" s="65" t="s">
        <v>818</v>
      </c>
      <c r="B165" s="65" t="s">
        <v>819</v>
      </c>
      <c r="C165" s="123">
        <v>5907.1</v>
      </c>
      <c r="D165" s="123">
        <v>5915.83</v>
      </c>
      <c r="E165" s="123">
        <v>0</v>
      </c>
      <c r="F165" s="123">
        <v>8.73</v>
      </c>
      <c r="G165" s="65"/>
    </row>
    <row r="166" spans="1:7">
      <c r="A166" s="65" t="s">
        <v>1111</v>
      </c>
      <c r="B166" s="65" t="s">
        <v>1112</v>
      </c>
      <c r="C166" s="123">
        <v>5907.1</v>
      </c>
      <c r="D166" s="123">
        <v>5915.83</v>
      </c>
      <c r="E166" s="123">
        <v>0</v>
      </c>
      <c r="F166" s="123">
        <v>8.73</v>
      </c>
      <c r="G166" s="65"/>
    </row>
    <row r="167" spans="1:7">
      <c r="A167" s="65">
        <v>335</v>
      </c>
      <c r="B167" s="65" t="s">
        <v>492</v>
      </c>
      <c r="C167" s="123">
        <v>7447319.2699999996</v>
      </c>
      <c r="D167" s="123">
        <v>8657428.9499999993</v>
      </c>
      <c r="E167" s="123">
        <v>0</v>
      </c>
      <c r="F167" s="123">
        <v>1210109.68</v>
      </c>
      <c r="G167" s="65"/>
    </row>
    <row r="168" spans="1:7">
      <c r="A168" s="65" t="s">
        <v>671</v>
      </c>
      <c r="B168" s="65" t="s">
        <v>672</v>
      </c>
      <c r="C168" s="123">
        <v>7447319.2699999996</v>
      </c>
      <c r="D168" s="123">
        <v>8657428.9499999993</v>
      </c>
      <c r="E168" s="123">
        <v>0</v>
      </c>
      <c r="F168" s="123">
        <v>1210109.68</v>
      </c>
      <c r="G168" s="65"/>
    </row>
    <row r="169" spans="1:7">
      <c r="A169" s="65" t="s">
        <v>673</v>
      </c>
      <c r="B169" s="65" t="s">
        <v>674</v>
      </c>
      <c r="C169" s="123">
        <v>7444786.5999999996</v>
      </c>
      <c r="D169" s="123">
        <v>8654896.2799999993</v>
      </c>
      <c r="E169" s="123">
        <v>0</v>
      </c>
      <c r="F169" s="123">
        <v>1210109.68</v>
      </c>
      <c r="G169" s="65"/>
    </row>
    <row r="170" spans="1:7">
      <c r="A170" s="65" t="s">
        <v>1447</v>
      </c>
      <c r="B170" s="65" t="s">
        <v>29</v>
      </c>
      <c r="C170" s="123">
        <v>2532.67</v>
      </c>
      <c r="D170" s="123">
        <v>2532.67</v>
      </c>
      <c r="E170" s="123">
        <v>0</v>
      </c>
      <c r="F170" s="123">
        <v>0</v>
      </c>
      <c r="G170" s="65"/>
    </row>
    <row r="171" spans="1:7">
      <c r="A171" s="65">
        <v>336</v>
      </c>
      <c r="B171" s="65" t="s">
        <v>29</v>
      </c>
      <c r="C171" s="123">
        <v>400000</v>
      </c>
      <c r="D171" s="123">
        <v>5400000</v>
      </c>
      <c r="E171" s="123">
        <v>0</v>
      </c>
      <c r="F171" s="123">
        <v>5000000</v>
      </c>
      <c r="G171" s="65"/>
    </row>
    <row r="172" spans="1:7">
      <c r="A172" s="65" t="s">
        <v>1448</v>
      </c>
      <c r="B172" s="65" t="s">
        <v>29</v>
      </c>
      <c r="C172" s="123">
        <v>400000</v>
      </c>
      <c r="D172" s="123">
        <v>5400000</v>
      </c>
      <c r="E172" s="123">
        <v>0</v>
      </c>
      <c r="F172" s="123">
        <v>5000000</v>
      </c>
      <c r="G172" s="65"/>
    </row>
    <row r="173" spans="1:7">
      <c r="A173" s="65" t="s">
        <v>1449</v>
      </c>
      <c r="B173" s="65" t="s">
        <v>1450</v>
      </c>
      <c r="C173" s="123">
        <v>400000</v>
      </c>
      <c r="D173" s="123">
        <v>5400000</v>
      </c>
      <c r="E173" s="123">
        <v>0</v>
      </c>
      <c r="F173" s="123">
        <v>5000000</v>
      </c>
      <c r="G173" s="65"/>
    </row>
    <row r="174" spans="1:7">
      <c r="A174" s="65">
        <v>340</v>
      </c>
      <c r="B174" s="65" t="s">
        <v>159</v>
      </c>
      <c r="C174" s="123">
        <v>30267328.059999999</v>
      </c>
      <c r="D174" s="123">
        <v>33863671.509999998</v>
      </c>
      <c r="E174" s="123">
        <v>0</v>
      </c>
      <c r="F174" s="123">
        <v>3596343.45</v>
      </c>
      <c r="G174" s="65"/>
    </row>
    <row r="175" spans="1:7">
      <c r="A175" s="65" t="s">
        <v>1451</v>
      </c>
      <c r="B175" s="65" t="s">
        <v>1452</v>
      </c>
      <c r="C175" s="123">
        <v>24719817.399999999</v>
      </c>
      <c r="D175" s="123">
        <v>26449208.25</v>
      </c>
      <c r="E175" s="123">
        <v>0</v>
      </c>
      <c r="F175" s="123">
        <v>1729390.85</v>
      </c>
      <c r="G175" s="65"/>
    </row>
    <row r="176" spans="1:7">
      <c r="A176" s="65" t="s">
        <v>1453</v>
      </c>
      <c r="B176" s="65" t="s">
        <v>1454</v>
      </c>
      <c r="C176" s="123">
        <v>251409.89</v>
      </c>
      <c r="D176" s="123">
        <v>839616.32</v>
      </c>
      <c r="E176" s="123">
        <v>0</v>
      </c>
      <c r="F176" s="123">
        <v>588206.43000000005</v>
      </c>
      <c r="G176" s="65"/>
    </row>
    <row r="177" spans="1:7">
      <c r="A177" s="65" t="s">
        <v>1455</v>
      </c>
      <c r="B177" s="65" t="s">
        <v>1454</v>
      </c>
      <c r="C177" s="123">
        <v>251409.89</v>
      </c>
      <c r="D177" s="123">
        <v>839616.32</v>
      </c>
      <c r="E177" s="123">
        <v>0</v>
      </c>
      <c r="F177" s="123">
        <v>588206.43000000005</v>
      </c>
      <c r="G177" s="65"/>
    </row>
    <row r="178" spans="1:7">
      <c r="A178" s="65" t="s">
        <v>1456</v>
      </c>
      <c r="B178" s="65" t="s">
        <v>1454</v>
      </c>
      <c r="C178" s="123">
        <v>24468407.510000002</v>
      </c>
      <c r="D178" s="123">
        <v>25609591.93</v>
      </c>
      <c r="E178" s="123">
        <v>0</v>
      </c>
      <c r="F178" s="123">
        <v>1141184.42</v>
      </c>
      <c r="G178" s="65"/>
    </row>
    <row r="179" spans="1:7">
      <c r="A179" s="65" t="s">
        <v>1457</v>
      </c>
      <c r="B179" s="65" t="s">
        <v>1454</v>
      </c>
      <c r="C179" s="123">
        <v>24468407.510000002</v>
      </c>
      <c r="D179" s="123">
        <v>25609591.93</v>
      </c>
      <c r="E179" s="123">
        <v>0</v>
      </c>
      <c r="F179" s="123">
        <v>1141184.42</v>
      </c>
      <c r="G179" s="65"/>
    </row>
    <row r="180" spans="1:7">
      <c r="A180" s="65" t="s">
        <v>1458</v>
      </c>
      <c r="B180" s="65" t="s">
        <v>1459</v>
      </c>
      <c r="C180" s="123">
        <v>5547510.6600000001</v>
      </c>
      <c r="D180" s="123">
        <v>7414463.2599999998</v>
      </c>
      <c r="E180" s="123">
        <v>0</v>
      </c>
      <c r="F180" s="123">
        <v>1866952.6</v>
      </c>
      <c r="G180" s="65"/>
    </row>
    <row r="181" spans="1:7">
      <c r="A181" s="65" t="s">
        <v>1460</v>
      </c>
      <c r="B181" s="65" t="s">
        <v>1461</v>
      </c>
      <c r="C181" s="123">
        <v>187200.4</v>
      </c>
      <c r="D181" s="123">
        <v>1636823.93</v>
      </c>
      <c r="E181" s="123">
        <v>0</v>
      </c>
      <c r="F181" s="123">
        <v>1449623.53</v>
      </c>
      <c r="G181" s="65"/>
    </row>
    <row r="182" spans="1:7">
      <c r="A182" s="65" t="s">
        <v>1462</v>
      </c>
      <c r="B182" s="65" t="s">
        <v>1461</v>
      </c>
      <c r="C182" s="123">
        <v>187200.4</v>
      </c>
      <c r="D182" s="123">
        <v>1636823.93</v>
      </c>
      <c r="E182" s="123">
        <v>0</v>
      </c>
      <c r="F182" s="123">
        <v>1449623.53</v>
      </c>
      <c r="G182" s="65"/>
    </row>
    <row r="183" spans="1:7">
      <c r="A183" s="65" t="s">
        <v>1463</v>
      </c>
      <c r="B183" s="65" t="s">
        <v>1461</v>
      </c>
      <c r="C183" s="123">
        <v>5360310.26</v>
      </c>
      <c r="D183" s="123">
        <v>5777639.3300000001</v>
      </c>
      <c r="E183" s="123">
        <v>0</v>
      </c>
      <c r="F183" s="123">
        <v>417329.07</v>
      </c>
      <c r="G183" s="65"/>
    </row>
    <row r="184" spans="1:7">
      <c r="A184" s="65" t="s">
        <v>1464</v>
      </c>
      <c r="B184" s="65" t="s">
        <v>1461</v>
      </c>
      <c r="C184" s="123">
        <v>440000</v>
      </c>
      <c r="D184" s="123">
        <v>440000</v>
      </c>
      <c r="E184" s="123">
        <v>0</v>
      </c>
      <c r="F184" s="123">
        <v>0</v>
      </c>
      <c r="G184" s="65"/>
    </row>
    <row r="185" spans="1:7">
      <c r="A185" s="65" t="s">
        <v>1465</v>
      </c>
      <c r="B185" s="65" t="s">
        <v>1461</v>
      </c>
      <c r="C185" s="123">
        <v>967589.9</v>
      </c>
      <c r="D185" s="123">
        <v>1155515.42</v>
      </c>
      <c r="E185" s="123">
        <v>0</v>
      </c>
      <c r="F185" s="123">
        <v>187925.52</v>
      </c>
      <c r="G185" s="65"/>
    </row>
    <row r="186" spans="1:7">
      <c r="A186" s="65" t="s">
        <v>1466</v>
      </c>
      <c r="B186" s="65" t="s">
        <v>1461</v>
      </c>
      <c r="C186" s="123">
        <v>3952720.36</v>
      </c>
      <c r="D186" s="123">
        <v>4182123.91</v>
      </c>
      <c r="E186" s="123">
        <v>0</v>
      </c>
      <c r="F186" s="123">
        <v>229403.55</v>
      </c>
      <c r="G186" s="65"/>
    </row>
    <row r="187" spans="1:7">
      <c r="A187" s="65">
        <v>360</v>
      </c>
      <c r="B187" s="65" t="s">
        <v>30</v>
      </c>
      <c r="C187" s="123">
        <v>2593982.66</v>
      </c>
      <c r="D187" s="123">
        <v>3411345.62</v>
      </c>
      <c r="E187" s="123">
        <v>0</v>
      </c>
      <c r="F187" s="123">
        <v>817362.96</v>
      </c>
      <c r="G187" s="65"/>
    </row>
    <row r="188" spans="1:7">
      <c r="A188" s="65" t="s">
        <v>675</v>
      </c>
      <c r="B188" s="65" t="s">
        <v>676</v>
      </c>
      <c r="C188" s="123">
        <v>1294330.53</v>
      </c>
      <c r="D188" s="123">
        <v>1589534.99</v>
      </c>
      <c r="E188" s="123">
        <v>0</v>
      </c>
      <c r="F188" s="123">
        <v>295204.46000000002</v>
      </c>
      <c r="G188" s="65"/>
    </row>
    <row r="189" spans="1:7">
      <c r="A189" s="65" t="s">
        <v>677</v>
      </c>
      <c r="B189" s="65" t="s">
        <v>678</v>
      </c>
      <c r="C189" s="123">
        <v>1235860.52</v>
      </c>
      <c r="D189" s="123">
        <v>1521491.79</v>
      </c>
      <c r="E189" s="123">
        <v>0</v>
      </c>
      <c r="F189" s="123">
        <v>285631.27</v>
      </c>
      <c r="G189" s="65"/>
    </row>
    <row r="190" spans="1:7">
      <c r="A190" s="65" t="s">
        <v>679</v>
      </c>
      <c r="B190" s="65" t="s">
        <v>680</v>
      </c>
      <c r="C190" s="123">
        <v>11322</v>
      </c>
      <c r="D190" s="123">
        <v>12522</v>
      </c>
      <c r="E190" s="123">
        <v>0</v>
      </c>
      <c r="F190" s="123">
        <v>1200</v>
      </c>
      <c r="G190" s="65"/>
    </row>
    <row r="191" spans="1:7">
      <c r="A191" s="65" t="s">
        <v>681</v>
      </c>
      <c r="B191" s="65" t="s">
        <v>682</v>
      </c>
      <c r="C191" s="123">
        <v>47148.01</v>
      </c>
      <c r="D191" s="123">
        <v>55521.2</v>
      </c>
      <c r="E191" s="123">
        <v>0</v>
      </c>
      <c r="F191" s="123">
        <v>8373.19</v>
      </c>
      <c r="G191" s="65"/>
    </row>
    <row r="192" spans="1:7">
      <c r="A192" s="65" t="s">
        <v>683</v>
      </c>
      <c r="B192" s="65" t="s">
        <v>684</v>
      </c>
      <c r="C192" s="123">
        <v>700721.34</v>
      </c>
      <c r="D192" s="123">
        <v>1094129.8400000001</v>
      </c>
      <c r="E192" s="123">
        <v>0</v>
      </c>
      <c r="F192" s="123">
        <v>393408.5</v>
      </c>
      <c r="G192" s="65"/>
    </row>
    <row r="193" spans="1:7">
      <c r="A193" s="65" t="s">
        <v>867</v>
      </c>
      <c r="B193" s="65" t="s">
        <v>868</v>
      </c>
      <c r="C193" s="123">
        <v>407806.39</v>
      </c>
      <c r="D193" s="123">
        <v>756001.01</v>
      </c>
      <c r="E193" s="123">
        <v>0</v>
      </c>
      <c r="F193" s="123">
        <v>348194.62</v>
      </c>
      <c r="G193" s="65"/>
    </row>
    <row r="194" spans="1:7">
      <c r="A194" s="65" t="s">
        <v>685</v>
      </c>
      <c r="B194" s="65" t="s">
        <v>686</v>
      </c>
      <c r="C194" s="123">
        <v>292914.95</v>
      </c>
      <c r="D194" s="123">
        <v>338128.83</v>
      </c>
      <c r="E194" s="123">
        <v>0</v>
      </c>
      <c r="F194" s="123">
        <v>45213.88</v>
      </c>
      <c r="G194" s="65"/>
    </row>
    <row r="195" spans="1:7">
      <c r="A195" s="65" t="s">
        <v>767</v>
      </c>
      <c r="B195" s="65" t="s">
        <v>768</v>
      </c>
      <c r="C195" s="123">
        <v>193930.79</v>
      </c>
      <c r="D195" s="123">
        <v>193930.79</v>
      </c>
      <c r="E195" s="123">
        <v>0</v>
      </c>
      <c r="F195" s="123">
        <v>0</v>
      </c>
      <c r="G195" s="65"/>
    </row>
    <row r="196" spans="1:7">
      <c r="A196" s="65" t="s">
        <v>1113</v>
      </c>
      <c r="B196" s="65" t="s">
        <v>768</v>
      </c>
      <c r="C196" s="123">
        <v>5695.5</v>
      </c>
      <c r="D196" s="123">
        <v>5695.5</v>
      </c>
      <c r="E196" s="123">
        <v>0</v>
      </c>
      <c r="F196" s="123">
        <v>0</v>
      </c>
      <c r="G196" s="65"/>
    </row>
    <row r="197" spans="1:7">
      <c r="A197" s="65" t="s">
        <v>1467</v>
      </c>
      <c r="B197" s="65" t="s">
        <v>1468</v>
      </c>
      <c r="C197" s="123">
        <v>188235.29</v>
      </c>
      <c r="D197" s="123">
        <v>188235.29</v>
      </c>
      <c r="E197" s="123">
        <v>0</v>
      </c>
      <c r="F197" s="123">
        <v>0</v>
      </c>
      <c r="G197" s="65"/>
    </row>
    <row r="198" spans="1:7">
      <c r="A198" s="65" t="s">
        <v>1114</v>
      </c>
      <c r="B198" s="65" t="s">
        <v>1115</v>
      </c>
      <c r="C198" s="123">
        <v>405000</v>
      </c>
      <c r="D198" s="123">
        <v>533750</v>
      </c>
      <c r="E198" s="123">
        <v>0</v>
      </c>
      <c r="F198" s="123">
        <v>128750</v>
      </c>
      <c r="G198" s="65"/>
    </row>
    <row r="199" spans="1:7">
      <c r="A199" s="65" t="s">
        <v>1116</v>
      </c>
      <c r="B199" s="65" t="s">
        <v>1117</v>
      </c>
      <c r="C199" s="123">
        <v>405000</v>
      </c>
      <c r="D199" s="123">
        <v>533750</v>
      </c>
      <c r="E199" s="123">
        <v>0</v>
      </c>
      <c r="F199" s="123">
        <v>128750</v>
      </c>
      <c r="G199" s="65"/>
    </row>
    <row r="200" spans="1:7">
      <c r="A200" s="65">
        <v>361</v>
      </c>
      <c r="B200" s="65" t="s">
        <v>31</v>
      </c>
      <c r="C200" s="123">
        <v>2799053.01</v>
      </c>
      <c r="D200" s="123">
        <v>3863278.35</v>
      </c>
      <c r="E200" s="123">
        <v>0</v>
      </c>
      <c r="F200" s="123">
        <v>1064225.3400000001</v>
      </c>
      <c r="G200" s="65"/>
    </row>
    <row r="201" spans="1:7">
      <c r="A201" s="65" t="s">
        <v>687</v>
      </c>
      <c r="B201" s="65" t="s">
        <v>31</v>
      </c>
      <c r="C201" s="123">
        <v>2799053.01</v>
      </c>
      <c r="D201" s="123">
        <v>3863278.35</v>
      </c>
      <c r="E201" s="123">
        <v>0</v>
      </c>
      <c r="F201" s="123">
        <v>1064225.3400000001</v>
      </c>
      <c r="G201" s="65"/>
    </row>
    <row r="202" spans="1:7">
      <c r="A202" s="65" t="s">
        <v>688</v>
      </c>
      <c r="B202" s="65" t="s">
        <v>689</v>
      </c>
      <c r="C202" s="123">
        <v>2543807.56</v>
      </c>
      <c r="D202" s="123">
        <v>3534275.95</v>
      </c>
      <c r="E202" s="123">
        <v>0</v>
      </c>
      <c r="F202" s="123">
        <v>990468.39</v>
      </c>
      <c r="G202" s="65"/>
    </row>
    <row r="203" spans="1:7">
      <c r="A203" s="65" t="s">
        <v>690</v>
      </c>
      <c r="B203" s="65" t="s">
        <v>691</v>
      </c>
      <c r="C203" s="123">
        <v>184268.03</v>
      </c>
      <c r="D203" s="123">
        <v>258024.98</v>
      </c>
      <c r="E203" s="123">
        <v>0</v>
      </c>
      <c r="F203" s="123">
        <v>73756.95</v>
      </c>
      <c r="G203" s="65"/>
    </row>
    <row r="204" spans="1:7">
      <c r="A204" s="65" t="s">
        <v>1469</v>
      </c>
      <c r="B204" s="65" t="s">
        <v>1470</v>
      </c>
      <c r="C204" s="123">
        <v>70977.42</v>
      </c>
      <c r="D204" s="123">
        <v>70977.42</v>
      </c>
      <c r="E204" s="123">
        <v>0</v>
      </c>
      <c r="F204" s="123">
        <v>0</v>
      </c>
      <c r="G204" s="65"/>
    </row>
    <row r="205" spans="1:7">
      <c r="A205" s="65">
        <v>369</v>
      </c>
      <c r="B205" s="65" t="s">
        <v>162</v>
      </c>
      <c r="C205" s="123">
        <v>30650</v>
      </c>
      <c r="D205" s="123">
        <v>38398</v>
      </c>
      <c r="E205" s="123">
        <v>0</v>
      </c>
      <c r="F205" s="123">
        <v>7748</v>
      </c>
      <c r="G205" s="65"/>
    </row>
    <row r="206" spans="1:7">
      <c r="A206" s="65" t="s">
        <v>1118</v>
      </c>
      <c r="B206" s="65" t="s">
        <v>162</v>
      </c>
      <c r="C206" s="123">
        <v>30650</v>
      </c>
      <c r="D206" s="123">
        <v>38398</v>
      </c>
      <c r="E206" s="123">
        <v>0</v>
      </c>
      <c r="F206" s="123">
        <v>7748</v>
      </c>
      <c r="G206" s="65"/>
    </row>
    <row r="207" spans="1:7">
      <c r="A207" s="65" t="s">
        <v>1119</v>
      </c>
      <c r="B207" s="65" t="s">
        <v>1120</v>
      </c>
      <c r="C207" s="123">
        <v>30650</v>
      </c>
      <c r="D207" s="123">
        <v>38398</v>
      </c>
      <c r="E207" s="123">
        <v>0</v>
      </c>
      <c r="F207" s="123">
        <v>7748</v>
      </c>
      <c r="G207" s="65"/>
    </row>
    <row r="208" spans="1:7">
      <c r="A208" s="65">
        <v>370</v>
      </c>
      <c r="B208" s="65" t="s">
        <v>163</v>
      </c>
      <c r="C208" s="123">
        <v>1158600.07</v>
      </c>
      <c r="D208" s="123">
        <v>1158600.07</v>
      </c>
      <c r="E208" s="123">
        <v>0</v>
      </c>
      <c r="F208" s="123">
        <v>0</v>
      </c>
      <c r="G208" s="65"/>
    </row>
    <row r="209" spans="1:7">
      <c r="A209" s="65" t="s">
        <v>769</v>
      </c>
      <c r="B209" s="65" t="s">
        <v>163</v>
      </c>
      <c r="C209" s="123">
        <v>1158600.07</v>
      </c>
      <c r="D209" s="123">
        <v>1158600.07</v>
      </c>
      <c r="E209" s="123">
        <v>0</v>
      </c>
      <c r="F209" s="123">
        <v>0</v>
      </c>
      <c r="G209" s="65"/>
    </row>
    <row r="210" spans="1:7">
      <c r="A210" s="65" t="s">
        <v>770</v>
      </c>
      <c r="B210" s="65" t="s">
        <v>771</v>
      </c>
      <c r="C210" s="123">
        <v>1158600.07</v>
      </c>
      <c r="D210" s="123">
        <v>1158600.07</v>
      </c>
      <c r="E210" s="123">
        <v>0</v>
      </c>
      <c r="F210" s="123">
        <v>0</v>
      </c>
      <c r="G210" s="65"/>
    </row>
    <row r="211" spans="1:7">
      <c r="A211" s="65">
        <v>371</v>
      </c>
      <c r="B211" s="65" t="s">
        <v>521</v>
      </c>
      <c r="C211" s="123">
        <v>1158600.07</v>
      </c>
      <c r="D211" s="123">
        <v>1158600.07</v>
      </c>
      <c r="E211" s="123">
        <v>0</v>
      </c>
      <c r="F211" s="123">
        <v>0</v>
      </c>
      <c r="G211" s="65"/>
    </row>
    <row r="212" spans="1:7">
      <c r="A212" s="65" t="s">
        <v>772</v>
      </c>
      <c r="B212" s="65" t="s">
        <v>521</v>
      </c>
      <c r="C212" s="123">
        <v>1158600.07</v>
      </c>
      <c r="D212" s="123">
        <v>1158600.07</v>
      </c>
      <c r="E212" s="123">
        <v>0</v>
      </c>
      <c r="F212" s="123">
        <v>0</v>
      </c>
      <c r="G212" s="65"/>
    </row>
    <row r="213" spans="1:7">
      <c r="A213" s="65" t="s">
        <v>773</v>
      </c>
      <c r="B213" s="65" t="s">
        <v>771</v>
      </c>
      <c r="C213" s="123">
        <v>1158600.07</v>
      </c>
      <c r="D213" s="123">
        <v>1158600.07</v>
      </c>
      <c r="E213" s="123">
        <v>0</v>
      </c>
      <c r="F213" s="123">
        <v>0</v>
      </c>
      <c r="G213" s="65"/>
    </row>
    <row r="214" spans="1:7">
      <c r="A214" s="65">
        <v>380</v>
      </c>
      <c r="B214" s="65" t="s">
        <v>167</v>
      </c>
      <c r="C214" s="123">
        <v>9609761.8399999999</v>
      </c>
      <c r="D214" s="123">
        <v>10533460.68</v>
      </c>
      <c r="E214" s="123">
        <v>0</v>
      </c>
      <c r="F214" s="123">
        <v>923698.84</v>
      </c>
      <c r="G214" s="65"/>
    </row>
    <row r="215" spans="1:7">
      <c r="A215" s="65" t="s">
        <v>1471</v>
      </c>
      <c r="B215" s="65" t="s">
        <v>1472</v>
      </c>
      <c r="C215" s="123">
        <v>9609761.8399999999</v>
      </c>
      <c r="D215" s="123">
        <v>10533460.68</v>
      </c>
      <c r="E215" s="123">
        <v>0</v>
      </c>
      <c r="F215" s="123">
        <v>923698.84</v>
      </c>
      <c r="G215" s="65"/>
    </row>
    <row r="216" spans="1:7">
      <c r="A216" s="65" t="s">
        <v>1473</v>
      </c>
      <c r="B216" s="65" t="s">
        <v>1474</v>
      </c>
      <c r="C216" s="123">
        <v>9609761.8399999999</v>
      </c>
      <c r="D216" s="123">
        <v>10533460.68</v>
      </c>
      <c r="E216" s="123">
        <v>0</v>
      </c>
      <c r="F216" s="123">
        <v>923698.84</v>
      </c>
      <c r="G216" s="65"/>
    </row>
    <row r="217" spans="1:7">
      <c r="A217" s="65">
        <v>391</v>
      </c>
      <c r="B217" s="65" t="s">
        <v>169</v>
      </c>
      <c r="C217" s="123">
        <v>9403444.9299999997</v>
      </c>
      <c r="D217" s="123">
        <v>9403444.9299999997</v>
      </c>
      <c r="E217" s="123">
        <v>0</v>
      </c>
      <c r="F217" s="123">
        <v>0</v>
      </c>
      <c r="G217" s="65"/>
    </row>
    <row r="218" spans="1:7">
      <c r="A218" s="65" t="s">
        <v>692</v>
      </c>
      <c r="B218" s="65" t="s">
        <v>693</v>
      </c>
      <c r="C218" s="123">
        <v>9170289.3300000001</v>
      </c>
      <c r="D218" s="123">
        <v>9170289.3300000001</v>
      </c>
      <c r="E218" s="123">
        <v>0</v>
      </c>
      <c r="F218" s="123">
        <v>0</v>
      </c>
      <c r="G218" s="65"/>
    </row>
    <row r="219" spans="1:7">
      <c r="A219" s="65" t="s">
        <v>829</v>
      </c>
      <c r="B219" s="65" t="s">
        <v>830</v>
      </c>
      <c r="C219" s="123">
        <v>8885529.5</v>
      </c>
      <c r="D219" s="123">
        <v>8885529.5</v>
      </c>
      <c r="E219" s="123">
        <v>0</v>
      </c>
      <c r="F219" s="123">
        <v>0</v>
      </c>
      <c r="G219" s="65"/>
    </row>
    <row r="220" spans="1:7">
      <c r="A220" s="65" t="s">
        <v>1475</v>
      </c>
      <c r="B220" s="65" t="s">
        <v>1476</v>
      </c>
      <c r="C220" s="123">
        <v>284759.83</v>
      </c>
      <c r="D220" s="123">
        <v>284759.83</v>
      </c>
      <c r="E220" s="123">
        <v>0</v>
      </c>
      <c r="F220" s="123">
        <v>0</v>
      </c>
      <c r="G220" s="65"/>
    </row>
    <row r="221" spans="1:7">
      <c r="A221" s="65" t="s">
        <v>820</v>
      </c>
      <c r="B221" s="65" t="s">
        <v>821</v>
      </c>
      <c r="C221" s="123">
        <v>233155.6</v>
      </c>
      <c r="D221" s="123">
        <v>233155.6</v>
      </c>
      <c r="E221" s="123">
        <v>0</v>
      </c>
      <c r="F221" s="123">
        <v>0</v>
      </c>
      <c r="G221" s="65"/>
    </row>
    <row r="222" spans="1:7">
      <c r="A222" s="65" t="s">
        <v>822</v>
      </c>
      <c r="B222" s="65" t="s">
        <v>823</v>
      </c>
      <c r="C222" s="123">
        <v>233155.6</v>
      </c>
      <c r="D222" s="123">
        <v>233155.6</v>
      </c>
      <c r="E222" s="123">
        <v>0</v>
      </c>
      <c r="F222" s="123">
        <v>0</v>
      </c>
      <c r="G222" s="65"/>
    </row>
    <row r="223" spans="1:7">
      <c r="A223" s="65">
        <v>397</v>
      </c>
      <c r="B223" s="65" t="s">
        <v>172</v>
      </c>
      <c r="C223" s="123">
        <v>592226.78</v>
      </c>
      <c r="D223" s="123">
        <v>592226.78</v>
      </c>
      <c r="E223" s="123">
        <v>0</v>
      </c>
      <c r="F223" s="123">
        <v>0</v>
      </c>
      <c r="G223" s="65"/>
    </row>
    <row r="224" spans="1:7">
      <c r="A224" s="65" t="s">
        <v>1121</v>
      </c>
      <c r="B224" s="65" t="s">
        <v>172</v>
      </c>
      <c r="C224" s="123">
        <v>592226.78</v>
      </c>
      <c r="D224" s="123">
        <v>592226.78</v>
      </c>
      <c r="E224" s="123">
        <v>0</v>
      </c>
      <c r="F224" s="123">
        <v>0</v>
      </c>
      <c r="G224" s="65"/>
    </row>
    <row r="225" spans="1:7">
      <c r="A225" s="65" t="s">
        <v>1122</v>
      </c>
      <c r="B225" s="65" t="s">
        <v>1123</v>
      </c>
      <c r="C225" s="123">
        <v>563032.43000000005</v>
      </c>
      <c r="D225" s="123">
        <v>563032.43000000005</v>
      </c>
      <c r="E225" s="123">
        <v>0</v>
      </c>
      <c r="F225" s="123">
        <v>0</v>
      </c>
      <c r="G225" s="65"/>
    </row>
    <row r="226" spans="1:7">
      <c r="A226" s="65" t="s">
        <v>1124</v>
      </c>
      <c r="B226" s="65" t="s">
        <v>1125</v>
      </c>
      <c r="C226" s="123">
        <v>0.5</v>
      </c>
      <c r="D226" s="123">
        <v>0.5</v>
      </c>
      <c r="E226" s="123">
        <v>0</v>
      </c>
      <c r="F226" s="123">
        <v>0</v>
      </c>
      <c r="G226" s="65"/>
    </row>
    <row r="227" spans="1:7">
      <c r="A227" s="65" t="s">
        <v>1126</v>
      </c>
      <c r="B227" s="65" t="s">
        <v>1127</v>
      </c>
      <c r="C227" s="123">
        <v>29081.79</v>
      </c>
      <c r="D227" s="123">
        <v>29081.79</v>
      </c>
      <c r="E227" s="123">
        <v>0</v>
      </c>
      <c r="F227" s="123">
        <v>0</v>
      </c>
      <c r="G227" s="65"/>
    </row>
    <row r="228" spans="1:7">
      <c r="A228" s="65" t="s">
        <v>1128</v>
      </c>
      <c r="B228" s="65" t="s">
        <v>1129</v>
      </c>
      <c r="C228" s="123">
        <v>112.06</v>
      </c>
      <c r="D228" s="123">
        <v>112.06</v>
      </c>
      <c r="E228" s="123">
        <v>0</v>
      </c>
      <c r="F228" s="123">
        <v>0</v>
      </c>
      <c r="G228" s="65"/>
    </row>
    <row r="229" spans="1:7">
      <c r="A229" s="65">
        <v>500</v>
      </c>
      <c r="B229" s="65" t="s">
        <v>32</v>
      </c>
      <c r="C229" s="123">
        <v>0</v>
      </c>
      <c r="D229" s="123">
        <v>50000</v>
      </c>
      <c r="E229" s="123">
        <v>0</v>
      </c>
      <c r="F229" s="123">
        <v>50000</v>
      </c>
      <c r="G229" s="65"/>
    </row>
    <row r="230" spans="1:7">
      <c r="A230" s="65" t="s">
        <v>694</v>
      </c>
      <c r="B230" s="65" t="s">
        <v>695</v>
      </c>
      <c r="C230" s="123">
        <v>0</v>
      </c>
      <c r="D230" s="123">
        <v>50000</v>
      </c>
      <c r="E230" s="123">
        <v>0</v>
      </c>
      <c r="F230" s="123">
        <v>50000</v>
      </c>
      <c r="G230" s="65"/>
    </row>
    <row r="231" spans="1:7">
      <c r="A231" s="65" t="s">
        <v>696</v>
      </c>
      <c r="B231" s="65" t="s">
        <v>695</v>
      </c>
      <c r="C231" s="123">
        <v>0</v>
      </c>
      <c r="D231" s="123">
        <v>50000</v>
      </c>
      <c r="E231" s="123">
        <v>0</v>
      </c>
      <c r="F231" s="123">
        <v>50000</v>
      </c>
      <c r="G231" s="65"/>
    </row>
    <row r="232" spans="1:7">
      <c r="A232" s="65">
        <v>502</v>
      </c>
      <c r="B232" s="65" t="s">
        <v>526</v>
      </c>
      <c r="C232" s="123">
        <v>0</v>
      </c>
      <c r="D232" s="123">
        <v>343344.37</v>
      </c>
      <c r="E232" s="123">
        <v>0</v>
      </c>
      <c r="F232" s="123">
        <v>343344.37</v>
      </c>
      <c r="G232" s="65"/>
    </row>
    <row r="233" spans="1:7">
      <c r="A233" s="65" t="s">
        <v>851</v>
      </c>
      <c r="B233" s="65" t="s">
        <v>526</v>
      </c>
      <c r="C233" s="123">
        <v>0</v>
      </c>
      <c r="D233" s="123">
        <v>343344.37</v>
      </c>
      <c r="E233" s="123">
        <v>0</v>
      </c>
      <c r="F233" s="123">
        <v>343344.37</v>
      </c>
      <c r="G233" s="65"/>
    </row>
    <row r="234" spans="1:7">
      <c r="A234" s="65" t="s">
        <v>852</v>
      </c>
      <c r="B234" s="65" t="s">
        <v>526</v>
      </c>
      <c r="C234" s="123">
        <v>0</v>
      </c>
      <c r="D234" s="123">
        <v>343344.37</v>
      </c>
      <c r="E234" s="123">
        <v>0</v>
      </c>
      <c r="F234" s="123">
        <v>343344.37</v>
      </c>
      <c r="G234" s="65"/>
    </row>
    <row r="235" spans="1:7">
      <c r="A235" s="65">
        <v>549</v>
      </c>
      <c r="B235" s="65" t="s">
        <v>186</v>
      </c>
      <c r="C235" s="123">
        <v>0</v>
      </c>
      <c r="D235" s="123">
        <v>565565.84</v>
      </c>
      <c r="E235" s="123">
        <v>0</v>
      </c>
      <c r="F235" s="123">
        <v>565565.84</v>
      </c>
      <c r="G235" s="65"/>
    </row>
    <row r="236" spans="1:7">
      <c r="A236" s="65" t="s">
        <v>1477</v>
      </c>
      <c r="B236" s="65" t="s">
        <v>1478</v>
      </c>
      <c r="C236" s="123">
        <v>0</v>
      </c>
      <c r="D236" s="123">
        <v>565565.84</v>
      </c>
      <c r="E236" s="123">
        <v>0</v>
      </c>
      <c r="F236" s="123">
        <v>565565.84</v>
      </c>
      <c r="G236" s="65"/>
    </row>
    <row r="237" spans="1:7">
      <c r="A237" s="65" t="s">
        <v>1479</v>
      </c>
      <c r="B237" s="65" t="s">
        <v>1478</v>
      </c>
      <c r="C237" s="123">
        <v>0</v>
      </c>
      <c r="D237" s="123">
        <v>565565.84</v>
      </c>
      <c r="E237" s="123">
        <v>0</v>
      </c>
      <c r="F237" s="123">
        <v>565565.84</v>
      </c>
      <c r="G237" s="65"/>
    </row>
    <row r="238" spans="1:7">
      <c r="A238" s="65">
        <v>570</v>
      </c>
      <c r="B238" s="65" t="s">
        <v>187</v>
      </c>
      <c r="C238" s="123">
        <v>0</v>
      </c>
      <c r="D238" s="123">
        <v>14189433.189999999</v>
      </c>
      <c r="E238" s="123">
        <v>0</v>
      </c>
      <c r="F238" s="123">
        <v>14189433.189999999</v>
      </c>
      <c r="G238" s="65"/>
    </row>
    <row r="239" spans="1:7">
      <c r="A239" s="65" t="s">
        <v>762</v>
      </c>
      <c r="B239" s="65" t="s">
        <v>763</v>
      </c>
      <c r="C239" s="123">
        <v>0</v>
      </c>
      <c r="D239" s="123">
        <v>14189433.189999999</v>
      </c>
      <c r="E239" s="123">
        <v>0</v>
      </c>
      <c r="F239" s="123">
        <v>14189433.189999999</v>
      </c>
      <c r="G239" s="65"/>
    </row>
    <row r="240" spans="1:7">
      <c r="A240" s="65" t="s">
        <v>764</v>
      </c>
      <c r="B240" s="65" t="s">
        <v>187</v>
      </c>
      <c r="C240" s="123">
        <v>0</v>
      </c>
      <c r="D240" s="123">
        <v>14189433.189999999</v>
      </c>
      <c r="E240" s="123">
        <v>0</v>
      </c>
      <c r="F240" s="123">
        <v>14189433.189999999</v>
      </c>
      <c r="G240" s="65"/>
    </row>
    <row r="241" spans="1:7">
      <c r="A241" s="65">
        <v>600</v>
      </c>
      <c r="B241" s="65" t="s">
        <v>534</v>
      </c>
      <c r="C241" s="123">
        <v>0</v>
      </c>
      <c r="D241" s="123">
        <v>48472645.009999998</v>
      </c>
      <c r="E241" s="123">
        <v>0</v>
      </c>
      <c r="F241" s="123">
        <v>48472645.009999998</v>
      </c>
      <c r="G241" s="65"/>
    </row>
    <row r="242" spans="1:7">
      <c r="A242" s="65" t="s">
        <v>1130</v>
      </c>
      <c r="B242" s="65" t="s">
        <v>1131</v>
      </c>
      <c r="C242" s="123">
        <v>0</v>
      </c>
      <c r="D242" s="123">
        <v>42060076.770000003</v>
      </c>
      <c r="E242" s="123">
        <v>0</v>
      </c>
      <c r="F242" s="123">
        <v>42060076.770000003</v>
      </c>
      <c r="G242" s="65"/>
    </row>
    <row r="243" spans="1:7">
      <c r="A243" s="65" t="s">
        <v>1480</v>
      </c>
      <c r="B243" s="65" t="s">
        <v>1481</v>
      </c>
      <c r="C243" s="123">
        <v>0</v>
      </c>
      <c r="D243" s="123">
        <v>42060076.770000003</v>
      </c>
      <c r="E243" s="123">
        <v>0</v>
      </c>
      <c r="F243" s="123">
        <v>42060076.770000003</v>
      </c>
      <c r="G243" s="65"/>
    </row>
    <row r="244" spans="1:7">
      <c r="A244" s="65" t="s">
        <v>697</v>
      </c>
      <c r="B244" s="65" t="s">
        <v>698</v>
      </c>
      <c r="C244" s="123">
        <v>0</v>
      </c>
      <c r="D244" s="123">
        <v>5488591.8099999996</v>
      </c>
      <c r="E244" s="123">
        <v>0</v>
      </c>
      <c r="F244" s="123">
        <v>5488591.8099999996</v>
      </c>
      <c r="G244" s="65"/>
    </row>
    <row r="245" spans="1:7">
      <c r="A245" s="65" t="s">
        <v>1482</v>
      </c>
      <c r="B245" s="65" t="s">
        <v>1483</v>
      </c>
      <c r="C245" s="123">
        <v>0</v>
      </c>
      <c r="D245" s="123">
        <v>5488591.8099999996</v>
      </c>
      <c r="E245" s="123">
        <v>0</v>
      </c>
      <c r="F245" s="123">
        <v>5488591.8099999996</v>
      </c>
      <c r="G245" s="65"/>
    </row>
    <row r="246" spans="1:7">
      <c r="A246" s="65" t="s">
        <v>786</v>
      </c>
      <c r="B246" s="65" t="s">
        <v>787</v>
      </c>
      <c r="C246" s="123">
        <v>0</v>
      </c>
      <c r="D246" s="123">
        <v>923976.43</v>
      </c>
      <c r="E246" s="123">
        <v>0</v>
      </c>
      <c r="F246" s="123">
        <v>923976.43</v>
      </c>
      <c r="G246" s="65"/>
    </row>
    <row r="247" spans="1:7">
      <c r="A247" s="65" t="s">
        <v>1132</v>
      </c>
      <c r="B247" s="65" t="s">
        <v>1133</v>
      </c>
      <c r="C247" s="123">
        <v>0</v>
      </c>
      <c r="D247" s="123">
        <v>15000</v>
      </c>
      <c r="E247" s="123">
        <v>0</v>
      </c>
      <c r="F247" s="123">
        <v>15000</v>
      </c>
      <c r="G247" s="65"/>
    </row>
    <row r="248" spans="1:7">
      <c r="A248" s="65" t="s">
        <v>1484</v>
      </c>
      <c r="B248" s="65" t="s">
        <v>1485</v>
      </c>
      <c r="C248" s="123">
        <v>0</v>
      </c>
      <c r="D248" s="123">
        <v>908976.43</v>
      </c>
      <c r="E248" s="123">
        <v>0</v>
      </c>
      <c r="F248" s="123">
        <v>908976.43</v>
      </c>
      <c r="G248" s="65"/>
    </row>
    <row r="249" spans="1:7">
      <c r="A249" s="65">
        <v>601</v>
      </c>
      <c r="B249" s="65" t="s">
        <v>190</v>
      </c>
      <c r="C249" s="123">
        <v>0</v>
      </c>
      <c r="D249" s="123">
        <v>9543065.2699999996</v>
      </c>
      <c r="E249" s="123">
        <v>0</v>
      </c>
      <c r="F249" s="123">
        <v>9543065.2699999996</v>
      </c>
      <c r="G249" s="65"/>
    </row>
    <row r="250" spans="1:7">
      <c r="A250" s="65" t="s">
        <v>1486</v>
      </c>
      <c r="B250" s="65" t="s">
        <v>1131</v>
      </c>
      <c r="C250" s="123">
        <v>0</v>
      </c>
      <c r="D250" s="123">
        <v>8194601.0800000001</v>
      </c>
      <c r="E250" s="123">
        <v>0</v>
      </c>
      <c r="F250" s="123">
        <v>8194601.0800000001</v>
      </c>
      <c r="G250" s="65"/>
    </row>
    <row r="251" spans="1:7">
      <c r="A251" s="65" t="s">
        <v>1487</v>
      </c>
      <c r="B251" s="65" t="s">
        <v>1481</v>
      </c>
      <c r="C251" s="123">
        <v>0</v>
      </c>
      <c r="D251" s="123">
        <v>8194601.0800000001</v>
      </c>
      <c r="E251" s="123">
        <v>0</v>
      </c>
      <c r="F251" s="123">
        <v>8194601.0800000001</v>
      </c>
      <c r="G251" s="65"/>
    </row>
    <row r="252" spans="1:7">
      <c r="A252" s="65" t="s">
        <v>1488</v>
      </c>
      <c r="B252" s="65" t="s">
        <v>698</v>
      </c>
      <c r="C252" s="123">
        <v>0</v>
      </c>
      <c r="D252" s="123">
        <v>1288205.7</v>
      </c>
      <c r="E252" s="123">
        <v>0</v>
      </c>
      <c r="F252" s="123">
        <v>1288205.7</v>
      </c>
      <c r="G252" s="65"/>
    </row>
    <row r="253" spans="1:7">
      <c r="A253" s="65" t="s">
        <v>1489</v>
      </c>
      <c r="B253" s="65" t="s">
        <v>1483</v>
      </c>
      <c r="C253" s="123">
        <v>0</v>
      </c>
      <c r="D253" s="123">
        <v>1288205.7</v>
      </c>
      <c r="E253" s="123">
        <v>0</v>
      </c>
      <c r="F253" s="123">
        <v>1288205.7</v>
      </c>
      <c r="G253" s="65"/>
    </row>
    <row r="254" spans="1:7">
      <c r="A254" s="65" t="s">
        <v>1490</v>
      </c>
      <c r="B254" s="65" t="s">
        <v>787</v>
      </c>
      <c r="C254" s="123">
        <v>0</v>
      </c>
      <c r="D254" s="123">
        <v>60258.49</v>
      </c>
      <c r="E254" s="123">
        <v>0</v>
      </c>
      <c r="F254" s="123">
        <v>60258.49</v>
      </c>
      <c r="G254" s="65"/>
    </row>
    <row r="255" spans="1:7">
      <c r="A255" s="65" t="s">
        <v>1491</v>
      </c>
      <c r="B255" s="65" t="s">
        <v>1485</v>
      </c>
      <c r="C255" s="123">
        <v>0</v>
      </c>
      <c r="D255" s="123">
        <v>60258.49</v>
      </c>
      <c r="E255" s="123">
        <v>0</v>
      </c>
      <c r="F255" s="123">
        <v>60258.49</v>
      </c>
      <c r="G255" s="65"/>
    </row>
    <row r="256" spans="1:7">
      <c r="A256" s="65">
        <v>602</v>
      </c>
      <c r="B256" s="65" t="s">
        <v>191</v>
      </c>
      <c r="C256" s="123">
        <v>0</v>
      </c>
      <c r="D256" s="123">
        <v>449797.32</v>
      </c>
      <c r="E256" s="123">
        <v>0</v>
      </c>
      <c r="F256" s="123">
        <v>449797.32</v>
      </c>
      <c r="G256" s="65"/>
    </row>
    <row r="257" spans="1:7">
      <c r="A257" s="65" t="s">
        <v>1134</v>
      </c>
      <c r="B257" s="65" t="s">
        <v>1135</v>
      </c>
      <c r="C257" s="123">
        <v>0</v>
      </c>
      <c r="D257" s="123">
        <v>248263.3</v>
      </c>
      <c r="E257" s="123">
        <v>0</v>
      </c>
      <c r="F257" s="123">
        <v>248263.3</v>
      </c>
      <c r="G257" s="65"/>
    </row>
    <row r="258" spans="1:7">
      <c r="A258" s="65" t="s">
        <v>1492</v>
      </c>
      <c r="B258" s="65" t="s">
        <v>1493</v>
      </c>
      <c r="C258" s="123">
        <v>0</v>
      </c>
      <c r="D258" s="123">
        <v>159878.29999999999</v>
      </c>
      <c r="E258" s="123">
        <v>0</v>
      </c>
      <c r="F258" s="123">
        <v>159878.29999999999</v>
      </c>
      <c r="G258" s="65"/>
    </row>
    <row r="259" spans="1:7">
      <c r="A259" s="65" t="s">
        <v>1136</v>
      </c>
      <c r="B259" s="65" t="s">
        <v>1137</v>
      </c>
      <c r="C259" s="123">
        <v>0</v>
      </c>
      <c r="D259" s="123">
        <v>64400</v>
      </c>
      <c r="E259" s="123">
        <v>0</v>
      </c>
      <c r="F259" s="123">
        <v>64400</v>
      </c>
      <c r="G259" s="65"/>
    </row>
    <row r="260" spans="1:7">
      <c r="A260" s="65" t="s">
        <v>1494</v>
      </c>
      <c r="B260" s="65" t="s">
        <v>1495</v>
      </c>
      <c r="C260" s="123">
        <v>0</v>
      </c>
      <c r="D260" s="123">
        <v>23985</v>
      </c>
      <c r="E260" s="123">
        <v>0</v>
      </c>
      <c r="F260" s="123">
        <v>23985</v>
      </c>
      <c r="G260" s="65"/>
    </row>
    <row r="261" spans="1:7">
      <c r="A261" s="65" t="s">
        <v>1496</v>
      </c>
      <c r="B261" s="65" t="s">
        <v>787</v>
      </c>
      <c r="C261" s="123">
        <v>0</v>
      </c>
      <c r="D261" s="123">
        <v>201534.02</v>
      </c>
      <c r="E261" s="123">
        <v>0</v>
      </c>
      <c r="F261" s="123">
        <v>201534.02</v>
      </c>
      <c r="G261" s="65"/>
    </row>
    <row r="262" spans="1:7">
      <c r="A262" s="65" t="s">
        <v>1497</v>
      </c>
      <c r="B262" s="65" t="s">
        <v>1498</v>
      </c>
      <c r="C262" s="123">
        <v>0</v>
      </c>
      <c r="D262" s="123">
        <v>201534.02</v>
      </c>
      <c r="E262" s="123">
        <v>0</v>
      </c>
      <c r="F262" s="123">
        <v>201534.02</v>
      </c>
      <c r="G262" s="65"/>
    </row>
    <row r="263" spans="1:7">
      <c r="A263" s="65">
        <v>610</v>
      </c>
      <c r="B263" s="65" t="s">
        <v>535</v>
      </c>
      <c r="C263" s="123">
        <v>355451.5</v>
      </c>
      <c r="D263" s="123">
        <v>0</v>
      </c>
      <c r="E263" s="123">
        <v>355451.5</v>
      </c>
      <c r="F263" s="123">
        <v>0</v>
      </c>
      <c r="G263" s="65"/>
    </row>
    <row r="264" spans="1:7">
      <c r="A264" s="65" t="s">
        <v>1138</v>
      </c>
      <c r="B264" s="65" t="s">
        <v>1139</v>
      </c>
      <c r="C264" s="123">
        <v>353523.5</v>
      </c>
      <c r="D264" s="123">
        <v>0</v>
      </c>
      <c r="E264" s="123">
        <v>353523.5</v>
      </c>
      <c r="F264" s="123">
        <v>0</v>
      </c>
      <c r="G264" s="65"/>
    </row>
    <row r="265" spans="1:7">
      <c r="A265" s="65" t="s">
        <v>1499</v>
      </c>
      <c r="B265" s="65" t="s">
        <v>1140</v>
      </c>
      <c r="C265" s="123">
        <v>353523.5</v>
      </c>
      <c r="D265" s="123">
        <v>0</v>
      </c>
      <c r="E265" s="123">
        <v>353523.5</v>
      </c>
      <c r="F265" s="123">
        <v>0</v>
      </c>
      <c r="G265" s="65"/>
    </row>
    <row r="266" spans="1:7">
      <c r="A266" s="65" t="s">
        <v>1141</v>
      </c>
      <c r="B266" s="65" t="s">
        <v>1142</v>
      </c>
      <c r="C266" s="123">
        <v>1928</v>
      </c>
      <c r="D266" s="123">
        <v>0</v>
      </c>
      <c r="E266" s="123">
        <v>1928</v>
      </c>
      <c r="F266" s="123">
        <v>0</v>
      </c>
      <c r="G266" s="65"/>
    </row>
    <row r="267" spans="1:7">
      <c r="A267" s="65" t="s">
        <v>1143</v>
      </c>
      <c r="B267" s="65" t="s">
        <v>1144</v>
      </c>
      <c r="C267" s="123">
        <v>1928</v>
      </c>
      <c r="D267" s="123">
        <v>0</v>
      </c>
      <c r="E267" s="123">
        <v>1928</v>
      </c>
      <c r="F267" s="123">
        <v>0</v>
      </c>
      <c r="G267" s="65"/>
    </row>
    <row r="268" spans="1:7">
      <c r="A268" s="65">
        <v>612</v>
      </c>
      <c r="B268" s="65" t="s">
        <v>193</v>
      </c>
      <c r="C268" s="123">
        <v>18997.8</v>
      </c>
      <c r="D268" s="123">
        <v>0</v>
      </c>
      <c r="E268" s="123">
        <v>18997.8</v>
      </c>
      <c r="F268" s="123">
        <v>0</v>
      </c>
      <c r="G268" s="65"/>
    </row>
    <row r="269" spans="1:7">
      <c r="A269" s="65" t="s">
        <v>1500</v>
      </c>
      <c r="B269" s="65" t="s">
        <v>193</v>
      </c>
      <c r="C269" s="123">
        <v>18997.8</v>
      </c>
      <c r="D269" s="123">
        <v>0</v>
      </c>
      <c r="E269" s="123">
        <v>18997.8</v>
      </c>
      <c r="F269" s="123">
        <v>0</v>
      </c>
      <c r="G269" s="65"/>
    </row>
    <row r="270" spans="1:7">
      <c r="A270" s="65" t="s">
        <v>1501</v>
      </c>
      <c r="B270" s="65" t="s">
        <v>1150</v>
      </c>
      <c r="C270" s="123">
        <v>18997.8</v>
      </c>
      <c r="D270" s="123">
        <v>0</v>
      </c>
      <c r="E270" s="123">
        <v>18997.8</v>
      </c>
      <c r="F270" s="123">
        <v>0</v>
      </c>
      <c r="G270" s="65"/>
    </row>
    <row r="271" spans="1:7">
      <c r="A271" s="65">
        <v>620</v>
      </c>
      <c r="B271" s="65" t="s">
        <v>194</v>
      </c>
      <c r="C271" s="123">
        <v>41030693.420000002</v>
      </c>
      <c r="D271" s="123">
        <v>331008.02</v>
      </c>
      <c r="E271" s="123">
        <v>40699685.399999999</v>
      </c>
      <c r="F271" s="123">
        <v>0</v>
      </c>
      <c r="G271" s="65"/>
    </row>
    <row r="272" spans="1:7">
      <c r="A272" s="65" t="s">
        <v>1145</v>
      </c>
      <c r="B272" s="65" t="s">
        <v>194</v>
      </c>
      <c r="C272" s="123">
        <v>41030693.420000002</v>
      </c>
      <c r="D272" s="123">
        <v>331008.02</v>
      </c>
      <c r="E272" s="123">
        <v>40699685.399999999</v>
      </c>
      <c r="F272" s="123">
        <v>0</v>
      </c>
      <c r="G272" s="65"/>
    </row>
    <row r="273" spans="1:7">
      <c r="A273" s="65" t="s">
        <v>1502</v>
      </c>
      <c r="B273" s="65" t="s">
        <v>1503</v>
      </c>
      <c r="C273" s="123">
        <v>41030693.420000002</v>
      </c>
      <c r="D273" s="123">
        <v>331008.02</v>
      </c>
      <c r="E273" s="123">
        <v>40699685.399999999</v>
      </c>
      <c r="F273" s="123">
        <v>0</v>
      </c>
      <c r="G273" s="65"/>
    </row>
    <row r="274" spans="1:7">
      <c r="A274" s="65">
        <v>621</v>
      </c>
      <c r="B274" s="65" t="s">
        <v>537</v>
      </c>
      <c r="C274" s="123">
        <v>4769332</v>
      </c>
      <c r="D274" s="123">
        <v>0</v>
      </c>
      <c r="E274" s="123">
        <v>4769332</v>
      </c>
      <c r="F274" s="123">
        <v>0</v>
      </c>
      <c r="G274" s="65"/>
    </row>
    <row r="275" spans="1:7">
      <c r="A275" s="65" t="s">
        <v>699</v>
      </c>
      <c r="B275" s="65" t="s">
        <v>537</v>
      </c>
      <c r="C275" s="123">
        <v>4769332</v>
      </c>
      <c r="D275" s="123">
        <v>0</v>
      </c>
      <c r="E275" s="123">
        <v>4769332</v>
      </c>
      <c r="F275" s="123">
        <v>0</v>
      </c>
      <c r="G275" s="65"/>
    </row>
    <row r="276" spans="1:7">
      <c r="A276" s="65" t="s">
        <v>1504</v>
      </c>
      <c r="B276" s="65" t="s">
        <v>1505</v>
      </c>
      <c r="C276" s="123">
        <v>3908215.93</v>
      </c>
      <c r="D276" s="123">
        <v>0</v>
      </c>
      <c r="E276" s="123">
        <v>3908215.93</v>
      </c>
      <c r="F276" s="123">
        <v>0</v>
      </c>
      <c r="G276" s="65"/>
    </row>
    <row r="277" spans="1:7">
      <c r="A277" s="65" t="s">
        <v>1506</v>
      </c>
      <c r="B277" s="65" t="s">
        <v>1507</v>
      </c>
      <c r="C277" s="123">
        <v>852380.98</v>
      </c>
      <c r="D277" s="123">
        <v>0</v>
      </c>
      <c r="E277" s="123">
        <v>852380.98</v>
      </c>
      <c r="F277" s="123">
        <v>0</v>
      </c>
      <c r="G277" s="65"/>
    </row>
    <row r="278" spans="1:7">
      <c r="A278" s="65" t="s">
        <v>869</v>
      </c>
      <c r="B278" s="65" t="s">
        <v>870</v>
      </c>
      <c r="C278" s="123">
        <v>8735.09</v>
      </c>
      <c r="D278" s="123">
        <v>0</v>
      </c>
      <c r="E278" s="123">
        <v>8735.09</v>
      </c>
      <c r="F278" s="123">
        <v>0</v>
      </c>
      <c r="G278" s="65"/>
    </row>
    <row r="279" spans="1:7">
      <c r="A279" s="65">
        <v>623</v>
      </c>
      <c r="B279" s="65" t="s">
        <v>196</v>
      </c>
      <c r="C279" s="123">
        <v>580412.66</v>
      </c>
      <c r="D279" s="123">
        <v>2102.33</v>
      </c>
      <c r="E279" s="123">
        <v>578310.32999999996</v>
      </c>
      <c r="F279" s="123">
        <v>0</v>
      </c>
      <c r="G279" s="65"/>
    </row>
    <row r="280" spans="1:7">
      <c r="A280" s="65" t="s">
        <v>1146</v>
      </c>
      <c r="B280" s="65" t="s">
        <v>196</v>
      </c>
      <c r="C280" s="123">
        <v>580412.66</v>
      </c>
      <c r="D280" s="123">
        <v>2102.33</v>
      </c>
      <c r="E280" s="123">
        <v>578310.32999999996</v>
      </c>
      <c r="F280" s="123">
        <v>0</v>
      </c>
      <c r="G280" s="65"/>
    </row>
    <row r="281" spans="1:7">
      <c r="A281" s="65" t="s">
        <v>1508</v>
      </c>
      <c r="B281" s="65" t="s">
        <v>1509</v>
      </c>
      <c r="C281" s="123">
        <v>485967.53</v>
      </c>
      <c r="D281" s="123">
        <v>756.35</v>
      </c>
      <c r="E281" s="123">
        <v>485211.18</v>
      </c>
      <c r="F281" s="123">
        <v>0</v>
      </c>
      <c r="G281" s="65"/>
    </row>
    <row r="282" spans="1:7">
      <c r="A282" s="65" t="s">
        <v>1510</v>
      </c>
      <c r="B282" s="65" t="s">
        <v>1511</v>
      </c>
      <c r="C282" s="123">
        <v>94445.13</v>
      </c>
      <c r="D282" s="123">
        <v>1345.98</v>
      </c>
      <c r="E282" s="123">
        <v>93099.15</v>
      </c>
      <c r="F282" s="123">
        <v>0</v>
      </c>
      <c r="G282" s="65"/>
    </row>
    <row r="283" spans="1:7">
      <c r="A283" s="65">
        <v>630</v>
      </c>
      <c r="B283" s="65" t="s">
        <v>493</v>
      </c>
      <c r="C283" s="123">
        <v>2017980.92</v>
      </c>
      <c r="D283" s="123">
        <v>0</v>
      </c>
      <c r="E283" s="123">
        <v>2017980.92</v>
      </c>
      <c r="F283" s="123">
        <v>0</v>
      </c>
      <c r="G283" s="65"/>
    </row>
    <row r="284" spans="1:7">
      <c r="A284" s="65" t="s">
        <v>1147</v>
      </c>
      <c r="B284" s="65" t="s">
        <v>493</v>
      </c>
      <c r="C284" s="123">
        <v>2017980.92</v>
      </c>
      <c r="D284" s="123">
        <v>0</v>
      </c>
      <c r="E284" s="123">
        <v>2017980.92</v>
      </c>
      <c r="F284" s="123">
        <v>0</v>
      </c>
      <c r="G284" s="65"/>
    </row>
    <row r="285" spans="1:7">
      <c r="A285" s="65" t="s">
        <v>1148</v>
      </c>
      <c r="B285" s="65" t="s">
        <v>493</v>
      </c>
      <c r="C285" s="123">
        <v>2017980.92</v>
      </c>
      <c r="D285" s="123">
        <v>0</v>
      </c>
      <c r="E285" s="123">
        <v>2017980.92</v>
      </c>
      <c r="F285" s="123">
        <v>0</v>
      </c>
      <c r="G285" s="65"/>
    </row>
    <row r="286" spans="1:7">
      <c r="A286" s="65">
        <v>631</v>
      </c>
      <c r="B286" s="65" t="s">
        <v>197</v>
      </c>
      <c r="C286" s="123">
        <v>4115122.91</v>
      </c>
      <c r="D286" s="123">
        <v>0</v>
      </c>
      <c r="E286" s="123">
        <v>4115122.91</v>
      </c>
      <c r="F286" s="123">
        <v>0</v>
      </c>
      <c r="G286" s="65"/>
    </row>
    <row r="287" spans="1:7">
      <c r="A287" s="65" t="s">
        <v>1512</v>
      </c>
      <c r="B287" s="65" t="s">
        <v>197</v>
      </c>
      <c r="C287" s="123">
        <v>4115122.91</v>
      </c>
      <c r="D287" s="123">
        <v>0</v>
      </c>
      <c r="E287" s="123">
        <v>4115122.91</v>
      </c>
      <c r="F287" s="123">
        <v>0</v>
      </c>
      <c r="G287" s="65"/>
    </row>
    <row r="288" spans="1:7">
      <c r="A288" s="65" t="s">
        <v>1513</v>
      </c>
      <c r="B288" s="65" t="s">
        <v>197</v>
      </c>
      <c r="C288" s="123">
        <v>4115122.91</v>
      </c>
      <c r="D288" s="123">
        <v>0</v>
      </c>
      <c r="E288" s="123">
        <v>4115122.91</v>
      </c>
      <c r="F288" s="123">
        <v>0</v>
      </c>
      <c r="G288" s="65"/>
    </row>
    <row r="289" spans="1:7">
      <c r="A289" s="65">
        <v>632</v>
      </c>
      <c r="B289" s="65" t="s">
        <v>494</v>
      </c>
      <c r="C289" s="123">
        <v>6373464.7400000002</v>
      </c>
      <c r="D289" s="123">
        <v>0</v>
      </c>
      <c r="E289" s="123">
        <v>6373464.7400000002</v>
      </c>
      <c r="F289" s="123">
        <v>0</v>
      </c>
      <c r="G289" s="65"/>
    </row>
    <row r="290" spans="1:7">
      <c r="A290" s="65" t="s">
        <v>700</v>
      </c>
      <c r="B290" s="65" t="s">
        <v>494</v>
      </c>
      <c r="C290" s="123">
        <v>6373464.7400000002</v>
      </c>
      <c r="D290" s="123">
        <v>0</v>
      </c>
      <c r="E290" s="123">
        <v>6373464.7400000002</v>
      </c>
      <c r="F290" s="123">
        <v>0</v>
      </c>
      <c r="G290" s="65"/>
    </row>
    <row r="291" spans="1:7">
      <c r="A291" s="65" t="s">
        <v>701</v>
      </c>
      <c r="B291" s="65" t="s">
        <v>494</v>
      </c>
      <c r="C291" s="123">
        <v>6373464.7400000002</v>
      </c>
      <c r="D291" s="123">
        <v>0</v>
      </c>
      <c r="E291" s="123">
        <v>6373464.7400000002</v>
      </c>
      <c r="F291" s="123">
        <v>0</v>
      </c>
      <c r="G291" s="65"/>
    </row>
    <row r="292" spans="1:7">
      <c r="A292" s="65">
        <v>646</v>
      </c>
      <c r="B292" s="65" t="s">
        <v>204</v>
      </c>
      <c r="C292" s="123">
        <v>0</v>
      </c>
      <c r="D292" s="123">
        <v>337735.13</v>
      </c>
      <c r="E292" s="123">
        <v>0</v>
      </c>
      <c r="F292" s="123">
        <v>337735.13</v>
      </c>
      <c r="G292" s="65"/>
    </row>
    <row r="293" spans="1:7">
      <c r="A293" s="65" t="s">
        <v>702</v>
      </c>
      <c r="B293" s="65" t="s">
        <v>204</v>
      </c>
      <c r="C293" s="123">
        <v>0</v>
      </c>
      <c r="D293" s="123">
        <v>337735.13</v>
      </c>
      <c r="E293" s="123">
        <v>0</v>
      </c>
      <c r="F293" s="123">
        <v>337735.13</v>
      </c>
      <c r="G293" s="65"/>
    </row>
    <row r="294" spans="1:7">
      <c r="A294" s="65" t="s">
        <v>1514</v>
      </c>
      <c r="B294" s="65" t="s">
        <v>1515</v>
      </c>
      <c r="C294" s="123">
        <v>0</v>
      </c>
      <c r="D294" s="123">
        <v>168973.51</v>
      </c>
      <c r="E294" s="123">
        <v>0</v>
      </c>
      <c r="F294" s="123">
        <v>168973.51</v>
      </c>
      <c r="G294" s="65"/>
    </row>
    <row r="295" spans="1:7">
      <c r="A295" s="65" t="s">
        <v>1516</v>
      </c>
      <c r="B295" s="65" t="s">
        <v>1517</v>
      </c>
      <c r="C295" s="123">
        <v>0</v>
      </c>
      <c r="D295" s="123">
        <v>120242.83</v>
      </c>
      <c r="E295" s="123">
        <v>0</v>
      </c>
      <c r="F295" s="123">
        <v>120242.83</v>
      </c>
      <c r="G295" s="65"/>
    </row>
    <row r="296" spans="1:7">
      <c r="A296" s="65" t="s">
        <v>703</v>
      </c>
      <c r="B296" s="65" t="s">
        <v>704</v>
      </c>
      <c r="C296" s="123">
        <v>0</v>
      </c>
      <c r="D296" s="123">
        <v>48518.79</v>
      </c>
      <c r="E296" s="123">
        <v>0</v>
      </c>
      <c r="F296" s="123">
        <v>48518.79</v>
      </c>
      <c r="G296" s="65"/>
    </row>
    <row r="297" spans="1:7">
      <c r="A297" s="65">
        <v>649</v>
      </c>
      <c r="B297" s="65" t="s">
        <v>495</v>
      </c>
      <c r="C297" s="123">
        <v>0</v>
      </c>
      <c r="D297" s="123">
        <v>511096.5</v>
      </c>
      <c r="E297" s="123">
        <v>0</v>
      </c>
      <c r="F297" s="123">
        <v>511096.5</v>
      </c>
      <c r="G297" s="65"/>
    </row>
    <row r="298" spans="1:7">
      <c r="A298" s="65" t="s">
        <v>705</v>
      </c>
      <c r="B298" s="65" t="s">
        <v>495</v>
      </c>
      <c r="C298" s="123">
        <v>0</v>
      </c>
      <c r="D298" s="123">
        <v>511096.5</v>
      </c>
      <c r="E298" s="123">
        <v>0</v>
      </c>
      <c r="F298" s="123">
        <v>511096.5</v>
      </c>
      <c r="G298" s="65"/>
    </row>
    <row r="299" spans="1:7">
      <c r="A299" s="65" t="s">
        <v>1518</v>
      </c>
      <c r="B299" s="65" t="s">
        <v>1519</v>
      </c>
      <c r="C299" s="123">
        <v>0</v>
      </c>
      <c r="D299" s="123">
        <v>2101.0300000000002</v>
      </c>
      <c r="E299" s="123">
        <v>0</v>
      </c>
      <c r="F299" s="123">
        <v>2101.0300000000002</v>
      </c>
      <c r="G299" s="65"/>
    </row>
    <row r="300" spans="1:7">
      <c r="A300" s="65" t="s">
        <v>1520</v>
      </c>
      <c r="B300" s="65" t="s">
        <v>1521</v>
      </c>
      <c r="C300" s="123">
        <v>0</v>
      </c>
      <c r="D300" s="123">
        <v>45316.26</v>
      </c>
      <c r="E300" s="123">
        <v>0</v>
      </c>
      <c r="F300" s="123">
        <v>45316.26</v>
      </c>
      <c r="G300" s="65"/>
    </row>
    <row r="301" spans="1:7">
      <c r="A301" s="65" t="s">
        <v>1522</v>
      </c>
      <c r="B301" s="65" t="s">
        <v>1523</v>
      </c>
      <c r="C301" s="123">
        <v>0</v>
      </c>
      <c r="D301" s="123">
        <v>361725.94</v>
      </c>
      <c r="E301" s="123">
        <v>0</v>
      </c>
      <c r="F301" s="123">
        <v>361725.94</v>
      </c>
      <c r="G301" s="65"/>
    </row>
    <row r="302" spans="1:7">
      <c r="A302" s="65" t="s">
        <v>1524</v>
      </c>
      <c r="B302" s="65" t="s">
        <v>1525</v>
      </c>
      <c r="C302" s="123">
        <v>0</v>
      </c>
      <c r="D302" s="123">
        <v>101953.27</v>
      </c>
      <c r="E302" s="123">
        <v>0</v>
      </c>
      <c r="F302" s="123">
        <v>101953.27</v>
      </c>
      <c r="G302" s="65"/>
    </row>
    <row r="303" spans="1:7">
      <c r="A303" s="65">
        <v>653</v>
      </c>
      <c r="B303" s="65" t="s">
        <v>206</v>
      </c>
      <c r="C303" s="123">
        <v>1167849.3700000001</v>
      </c>
      <c r="D303" s="123">
        <v>597409.25</v>
      </c>
      <c r="E303" s="123">
        <v>570440.12</v>
      </c>
      <c r="F303" s="123">
        <v>0</v>
      </c>
      <c r="G303" s="65"/>
    </row>
    <row r="304" spans="1:7">
      <c r="A304" s="65" t="s">
        <v>1526</v>
      </c>
      <c r="B304" s="65" t="s">
        <v>206</v>
      </c>
      <c r="C304" s="123">
        <v>1167849.3700000001</v>
      </c>
      <c r="D304" s="123">
        <v>597409.25</v>
      </c>
      <c r="E304" s="123">
        <v>570440.12</v>
      </c>
      <c r="F304" s="123">
        <v>0</v>
      </c>
      <c r="G304" s="65"/>
    </row>
    <row r="305" spans="1:7">
      <c r="A305" s="65" t="s">
        <v>1527</v>
      </c>
      <c r="B305" s="65" t="s">
        <v>1528</v>
      </c>
      <c r="C305" s="123">
        <v>1167849.3700000001</v>
      </c>
      <c r="D305" s="123">
        <v>597409.25</v>
      </c>
      <c r="E305" s="123">
        <v>570440.12</v>
      </c>
      <c r="F305" s="123">
        <v>0</v>
      </c>
      <c r="G305" s="65"/>
    </row>
    <row r="306" spans="1:7">
      <c r="A306" s="65">
        <v>656</v>
      </c>
      <c r="B306" s="65" t="s">
        <v>209</v>
      </c>
      <c r="C306" s="123">
        <v>797940.23</v>
      </c>
      <c r="D306" s="123">
        <v>0</v>
      </c>
      <c r="E306" s="123">
        <v>797940.23</v>
      </c>
      <c r="F306" s="123">
        <v>0</v>
      </c>
      <c r="G306" s="65"/>
    </row>
    <row r="307" spans="1:7">
      <c r="A307" s="65" t="s">
        <v>706</v>
      </c>
      <c r="B307" s="65" t="s">
        <v>209</v>
      </c>
      <c r="C307" s="123">
        <v>797940.23</v>
      </c>
      <c r="D307" s="123">
        <v>0</v>
      </c>
      <c r="E307" s="123">
        <v>797940.23</v>
      </c>
      <c r="F307" s="123">
        <v>0</v>
      </c>
      <c r="G307" s="65"/>
    </row>
    <row r="308" spans="1:7">
      <c r="A308" s="65" t="s">
        <v>871</v>
      </c>
      <c r="B308" s="65" t="s">
        <v>872</v>
      </c>
      <c r="C308" s="123">
        <v>121810.4</v>
      </c>
      <c r="D308" s="123">
        <v>0</v>
      </c>
      <c r="E308" s="123">
        <v>121810.4</v>
      </c>
      <c r="F308" s="123">
        <v>0</v>
      </c>
      <c r="G308" s="65"/>
    </row>
    <row r="309" spans="1:7">
      <c r="A309" s="65" t="s">
        <v>1529</v>
      </c>
      <c r="B309" s="65" t="s">
        <v>1517</v>
      </c>
      <c r="C309" s="123">
        <v>335161.09999999998</v>
      </c>
      <c r="D309" s="123">
        <v>0</v>
      </c>
      <c r="E309" s="123">
        <v>335161.09999999998</v>
      </c>
      <c r="F309" s="123">
        <v>0</v>
      </c>
    </row>
    <row r="310" spans="1:7">
      <c r="A310" s="65" t="s">
        <v>707</v>
      </c>
      <c r="B310" s="65" t="s">
        <v>704</v>
      </c>
      <c r="C310" s="123">
        <v>340968.73</v>
      </c>
      <c r="D310" s="123">
        <v>0</v>
      </c>
      <c r="E310" s="123">
        <v>340968.73</v>
      </c>
      <c r="F310" s="123">
        <v>0</v>
      </c>
    </row>
    <row r="311" spans="1:7">
      <c r="A311" s="65">
        <v>658</v>
      </c>
      <c r="B311" s="65" t="s">
        <v>540</v>
      </c>
      <c r="C311" s="123">
        <v>64487.22</v>
      </c>
      <c r="D311" s="123">
        <v>0</v>
      </c>
      <c r="E311" s="123">
        <v>64487.22</v>
      </c>
      <c r="F311" s="123">
        <v>0</v>
      </c>
    </row>
    <row r="312" spans="1:7">
      <c r="A312" s="65" t="s">
        <v>873</v>
      </c>
      <c r="B312" s="65" t="s">
        <v>874</v>
      </c>
      <c r="C312" s="123">
        <v>64487.22</v>
      </c>
      <c r="D312" s="123">
        <v>0</v>
      </c>
      <c r="E312" s="123">
        <v>64487.22</v>
      </c>
      <c r="F312" s="123">
        <v>0</v>
      </c>
    </row>
    <row r="313" spans="1:7">
      <c r="A313" s="65" t="s">
        <v>875</v>
      </c>
      <c r="B313" s="65" t="s">
        <v>540</v>
      </c>
      <c r="C313" s="123">
        <v>64487.22</v>
      </c>
      <c r="D313" s="123">
        <v>0</v>
      </c>
      <c r="E313" s="123">
        <v>64487.22</v>
      </c>
      <c r="F313" s="123">
        <v>0</v>
      </c>
    </row>
    <row r="314" spans="1:7">
      <c r="A314" s="65">
        <v>659</v>
      </c>
      <c r="B314" s="65" t="s">
        <v>541</v>
      </c>
      <c r="C314" s="123">
        <v>2293.1799999999998</v>
      </c>
      <c r="D314" s="123">
        <v>0</v>
      </c>
      <c r="E314" s="123">
        <v>2293.1799999999998</v>
      </c>
      <c r="F314" s="123">
        <v>0</v>
      </c>
    </row>
    <row r="315" spans="1:7">
      <c r="A315" s="65" t="s">
        <v>1149</v>
      </c>
      <c r="B315" s="65" t="s">
        <v>541</v>
      </c>
      <c r="C315" s="123">
        <v>2293.1799999999998</v>
      </c>
      <c r="D315" s="123">
        <v>0</v>
      </c>
      <c r="E315" s="123">
        <v>2293.1799999999998</v>
      </c>
      <c r="F315" s="123">
        <v>0</v>
      </c>
    </row>
    <row r="316" spans="1:7">
      <c r="A316" s="65" t="s">
        <v>1530</v>
      </c>
      <c r="B316" s="65" t="s">
        <v>1531</v>
      </c>
      <c r="C316" s="123">
        <v>184.78</v>
      </c>
      <c r="D316" s="123">
        <v>0</v>
      </c>
      <c r="E316" s="123">
        <v>184.78</v>
      </c>
      <c r="F316" s="123">
        <v>0</v>
      </c>
    </row>
    <row r="317" spans="1:7">
      <c r="A317" s="65" t="s">
        <v>1532</v>
      </c>
      <c r="B317" s="65" t="s">
        <v>1533</v>
      </c>
      <c r="C317" s="123">
        <v>2108.4</v>
      </c>
      <c r="D317" s="123">
        <v>0</v>
      </c>
      <c r="E317" s="123">
        <v>2108.4</v>
      </c>
      <c r="F317" s="123">
        <v>0</v>
      </c>
    </row>
    <row r="318" spans="1:7">
      <c r="A318" s="65">
        <v>660</v>
      </c>
      <c r="B318" s="65" t="s">
        <v>35</v>
      </c>
      <c r="C318" s="123">
        <v>38849.589999999997</v>
      </c>
      <c r="D318" s="123">
        <v>0</v>
      </c>
      <c r="E318" s="123">
        <v>38849.589999999997</v>
      </c>
      <c r="F318" s="123">
        <v>0</v>
      </c>
    </row>
    <row r="319" spans="1:7">
      <c r="A319" s="65" t="s">
        <v>708</v>
      </c>
      <c r="B319" s="65" t="s">
        <v>35</v>
      </c>
      <c r="C319" s="123">
        <v>38849.589999999997</v>
      </c>
      <c r="D319" s="123">
        <v>0</v>
      </c>
      <c r="E319" s="123">
        <v>38849.589999999997</v>
      </c>
      <c r="F319" s="123">
        <v>0</v>
      </c>
    </row>
    <row r="320" spans="1:7">
      <c r="A320" s="65" t="s">
        <v>709</v>
      </c>
      <c r="B320" s="65" t="s">
        <v>710</v>
      </c>
      <c r="C320" s="123">
        <v>38849.589999999997</v>
      </c>
      <c r="D320" s="123">
        <v>0</v>
      </c>
      <c r="E320" s="123">
        <v>38849.589999999997</v>
      </c>
      <c r="F320" s="123">
        <v>0</v>
      </c>
    </row>
    <row r="321" spans="1:6">
      <c r="A321" s="65">
        <v>679</v>
      </c>
      <c r="B321" s="65" t="s">
        <v>496</v>
      </c>
      <c r="C321" s="123">
        <v>0</v>
      </c>
      <c r="D321" s="123">
        <v>25909.78</v>
      </c>
      <c r="E321" s="123">
        <v>0</v>
      </c>
      <c r="F321" s="123">
        <v>25909.78</v>
      </c>
    </row>
    <row r="322" spans="1:6">
      <c r="A322" s="65" t="s">
        <v>774</v>
      </c>
      <c r="B322" s="65" t="s">
        <v>496</v>
      </c>
      <c r="C322" s="123">
        <v>0</v>
      </c>
      <c r="D322" s="123">
        <v>25909.78</v>
      </c>
      <c r="E322" s="123">
        <v>0</v>
      </c>
      <c r="F322" s="123">
        <v>25909.78</v>
      </c>
    </row>
    <row r="323" spans="1:6">
      <c r="A323" s="65" t="s">
        <v>775</v>
      </c>
      <c r="B323" s="65" t="s">
        <v>776</v>
      </c>
      <c r="C323" s="123">
        <v>0</v>
      </c>
      <c r="D323" s="123">
        <v>2.29</v>
      </c>
      <c r="E323" s="123">
        <v>0</v>
      </c>
      <c r="F323" s="123">
        <v>2.29</v>
      </c>
    </row>
    <row r="324" spans="1:6">
      <c r="A324" s="65" t="s">
        <v>853</v>
      </c>
      <c r="B324" s="65" t="s">
        <v>496</v>
      </c>
      <c r="C324" s="123">
        <v>0</v>
      </c>
      <c r="D324" s="123">
        <v>25907.49</v>
      </c>
      <c r="E324" s="123">
        <v>0</v>
      </c>
      <c r="F324" s="123">
        <v>25907.49</v>
      </c>
    </row>
    <row r="325" spans="1:6">
      <c r="A325" s="65">
        <v>689</v>
      </c>
      <c r="B325" s="65" t="s">
        <v>497</v>
      </c>
      <c r="C325" s="123">
        <v>289882.88</v>
      </c>
      <c r="D325" s="123">
        <v>0</v>
      </c>
      <c r="E325" s="123">
        <v>289882.88</v>
      </c>
      <c r="F325" s="123">
        <v>0</v>
      </c>
    </row>
    <row r="326" spans="1:6">
      <c r="A326" s="65" t="s">
        <v>711</v>
      </c>
      <c r="B326" s="65" t="s">
        <v>497</v>
      </c>
      <c r="C326" s="123">
        <v>289882.88</v>
      </c>
      <c r="D326" s="123">
        <v>0</v>
      </c>
      <c r="E326" s="123">
        <v>289882.88</v>
      </c>
      <c r="F326" s="123">
        <v>0</v>
      </c>
    </row>
    <row r="327" spans="1:6">
      <c r="A327" s="65" t="s">
        <v>765</v>
      </c>
      <c r="B327" s="65" t="s">
        <v>766</v>
      </c>
      <c r="C327" s="123">
        <v>10.050000000000001</v>
      </c>
      <c r="D327" s="123">
        <v>0</v>
      </c>
      <c r="E327" s="123">
        <v>10.050000000000001</v>
      </c>
      <c r="F327" s="123">
        <v>0</v>
      </c>
    </row>
    <row r="328" spans="1:6">
      <c r="A328" s="65" t="s">
        <v>1534</v>
      </c>
      <c r="B328" s="65" t="s">
        <v>1535</v>
      </c>
      <c r="C328" s="123">
        <v>14632.53</v>
      </c>
      <c r="D328" s="123">
        <v>0</v>
      </c>
      <c r="E328" s="123">
        <v>14632.53</v>
      </c>
      <c r="F328" s="123">
        <v>0</v>
      </c>
    </row>
    <row r="329" spans="1:6">
      <c r="A329" s="65" t="s">
        <v>712</v>
      </c>
      <c r="B329" s="65" t="s">
        <v>592</v>
      </c>
      <c r="C329" s="123">
        <v>220846.21</v>
      </c>
      <c r="D329" s="123">
        <v>0</v>
      </c>
      <c r="E329" s="123">
        <v>220846.21</v>
      </c>
      <c r="F329" s="123">
        <v>0</v>
      </c>
    </row>
    <row r="330" spans="1:6">
      <c r="A330" s="65" t="s">
        <v>1536</v>
      </c>
      <c r="B330" s="65" t="s">
        <v>1537</v>
      </c>
      <c r="C330" s="123">
        <v>54394.09</v>
      </c>
      <c r="D330" s="123">
        <v>0</v>
      </c>
      <c r="E330" s="123">
        <v>54394.09</v>
      </c>
      <c r="F330" s="123">
        <v>0</v>
      </c>
    </row>
    <row r="331" spans="1:6">
      <c r="A331" s="65">
        <v>698</v>
      </c>
      <c r="B331" s="65" t="s">
        <v>544</v>
      </c>
      <c r="C331" s="123">
        <v>6127020.3099999996</v>
      </c>
      <c r="D331" s="123">
        <v>6127020.3099999996</v>
      </c>
      <c r="E331" s="123">
        <v>0</v>
      </c>
      <c r="F331" s="123">
        <v>0</v>
      </c>
    </row>
    <row r="332" spans="1:6">
      <c r="A332" s="65" t="s">
        <v>876</v>
      </c>
      <c r="B332" s="65" t="s">
        <v>877</v>
      </c>
      <c r="C332" s="123">
        <v>6127020.3099999996</v>
      </c>
      <c r="D332" s="123">
        <v>6127020.3099999996</v>
      </c>
      <c r="E332" s="123">
        <v>0</v>
      </c>
      <c r="F332" s="123">
        <v>0</v>
      </c>
    </row>
    <row r="333" spans="1:6">
      <c r="A333" s="65" t="s">
        <v>1151</v>
      </c>
      <c r="B333" s="65" t="s">
        <v>1152</v>
      </c>
      <c r="C333" s="123">
        <v>613911.06999999995</v>
      </c>
      <c r="D333" s="123">
        <v>613911.06999999995</v>
      </c>
      <c r="E333" s="123">
        <v>0</v>
      </c>
      <c r="F333" s="123">
        <v>0</v>
      </c>
    </row>
    <row r="334" spans="1:6">
      <c r="A334" s="65" t="s">
        <v>1538</v>
      </c>
      <c r="B334" s="65" t="s">
        <v>1539</v>
      </c>
      <c r="C334" s="123">
        <v>1120992.92</v>
      </c>
      <c r="D334" s="123">
        <v>1120992.92</v>
      </c>
      <c r="E334" s="123">
        <v>0</v>
      </c>
      <c r="F334" s="123">
        <v>0</v>
      </c>
    </row>
    <row r="335" spans="1:6">
      <c r="A335" s="65" t="s">
        <v>1153</v>
      </c>
      <c r="B335" s="65" t="s">
        <v>1154</v>
      </c>
      <c r="C335" s="123">
        <v>266988.14</v>
      </c>
      <c r="D335" s="123">
        <v>266988.14</v>
      </c>
      <c r="E335" s="123">
        <v>0</v>
      </c>
      <c r="F335" s="123">
        <v>0</v>
      </c>
    </row>
    <row r="336" spans="1:6">
      <c r="A336" s="65" t="s">
        <v>1540</v>
      </c>
      <c r="B336" s="65" t="s">
        <v>1541</v>
      </c>
      <c r="C336" s="123">
        <v>1090965.57</v>
      </c>
      <c r="D336" s="123">
        <v>1090965.57</v>
      </c>
      <c r="E336" s="123">
        <v>0</v>
      </c>
      <c r="F336" s="123">
        <v>0</v>
      </c>
    </row>
    <row r="337" spans="1:6">
      <c r="A337" s="65" t="s">
        <v>1155</v>
      </c>
      <c r="B337" s="65" t="s">
        <v>1156</v>
      </c>
      <c r="C337" s="123">
        <v>73040.929999999993</v>
      </c>
      <c r="D337" s="123">
        <v>73040.929999999993</v>
      </c>
      <c r="E337" s="123">
        <v>0</v>
      </c>
      <c r="F337" s="123">
        <v>0</v>
      </c>
    </row>
    <row r="338" spans="1:6">
      <c r="A338" s="65" t="s">
        <v>1157</v>
      </c>
      <c r="B338" s="65" t="s">
        <v>1158</v>
      </c>
      <c r="C338" s="123">
        <v>11063.78</v>
      </c>
      <c r="D338" s="123">
        <v>11063.78</v>
      </c>
      <c r="E338" s="123">
        <v>0</v>
      </c>
      <c r="F338" s="123">
        <v>0</v>
      </c>
    </row>
    <row r="339" spans="1:6">
      <c r="A339" s="65" t="s">
        <v>878</v>
      </c>
      <c r="B339" s="65" t="s">
        <v>879</v>
      </c>
      <c r="C339" s="123">
        <v>17311.66</v>
      </c>
      <c r="D339" s="123">
        <v>17311.66</v>
      </c>
      <c r="E339" s="123">
        <v>0</v>
      </c>
      <c r="F339" s="123">
        <v>0</v>
      </c>
    </row>
    <row r="340" spans="1:6">
      <c r="A340" s="65" t="s">
        <v>880</v>
      </c>
      <c r="B340" s="65" t="s">
        <v>881</v>
      </c>
      <c r="C340" s="123">
        <v>9746.5</v>
      </c>
      <c r="D340" s="123">
        <v>9746.5</v>
      </c>
      <c r="E340" s="123">
        <v>0</v>
      </c>
      <c r="F340" s="123">
        <v>0</v>
      </c>
    </row>
    <row r="341" spans="1:6">
      <c r="A341" s="65" t="s">
        <v>1159</v>
      </c>
      <c r="B341" s="65" t="s">
        <v>1160</v>
      </c>
      <c r="C341" s="123">
        <v>283000.53000000003</v>
      </c>
      <c r="D341" s="123">
        <v>283000.53000000003</v>
      </c>
      <c r="E341" s="123">
        <v>0</v>
      </c>
      <c r="F341" s="123">
        <v>0</v>
      </c>
    </row>
    <row r="342" spans="1:6">
      <c r="A342" s="65" t="s">
        <v>1161</v>
      </c>
      <c r="B342" s="65" t="s">
        <v>1162</v>
      </c>
      <c r="C342" s="123">
        <v>207137.44</v>
      </c>
      <c r="D342" s="123">
        <v>207137.44</v>
      </c>
      <c r="E342" s="123">
        <v>0</v>
      </c>
      <c r="F342" s="123">
        <v>0</v>
      </c>
    </row>
    <row r="343" spans="1:6">
      <c r="A343" s="65" t="s">
        <v>1163</v>
      </c>
      <c r="B343" s="65" t="s">
        <v>1164</v>
      </c>
      <c r="C343" s="123">
        <v>36214.82</v>
      </c>
      <c r="D343" s="123">
        <v>36214.82</v>
      </c>
      <c r="E343" s="123">
        <v>0</v>
      </c>
      <c r="F343" s="123">
        <v>0</v>
      </c>
    </row>
    <row r="344" spans="1:6">
      <c r="A344" s="65" t="s">
        <v>882</v>
      </c>
      <c r="B344" s="65" t="s">
        <v>883</v>
      </c>
      <c r="C344" s="123">
        <v>27491.9</v>
      </c>
      <c r="D344" s="123">
        <v>27491.9</v>
      </c>
      <c r="E344" s="123">
        <v>0</v>
      </c>
      <c r="F344" s="123">
        <v>0</v>
      </c>
    </row>
    <row r="345" spans="1:6">
      <c r="A345" s="65" t="s">
        <v>884</v>
      </c>
      <c r="B345" s="65" t="s">
        <v>885</v>
      </c>
      <c r="C345" s="123">
        <v>2369155.0499999998</v>
      </c>
      <c r="D345" s="123">
        <v>2369155.0499999998</v>
      </c>
      <c r="E345" s="123">
        <v>0</v>
      </c>
      <c r="F345" s="123">
        <v>0</v>
      </c>
    </row>
    <row r="346" spans="1:6">
      <c r="A346" s="65">
        <v>700</v>
      </c>
      <c r="B346" s="65" t="s">
        <v>545</v>
      </c>
      <c r="C346" s="123">
        <v>1276235</v>
      </c>
      <c r="D346" s="123">
        <v>0</v>
      </c>
      <c r="E346" s="123">
        <v>1276235</v>
      </c>
      <c r="F346" s="123">
        <v>0</v>
      </c>
    </row>
    <row r="347" spans="1:6">
      <c r="A347" s="65" t="s">
        <v>1165</v>
      </c>
      <c r="B347" s="65" t="s">
        <v>545</v>
      </c>
      <c r="C347" s="123">
        <v>1276235</v>
      </c>
      <c r="D347" s="123">
        <v>0</v>
      </c>
      <c r="E347" s="123">
        <v>1276235</v>
      </c>
      <c r="F347" s="123">
        <v>0</v>
      </c>
    </row>
    <row r="348" spans="1:6">
      <c r="A348" s="65" t="s">
        <v>1166</v>
      </c>
      <c r="B348" s="65" t="s">
        <v>1167</v>
      </c>
      <c r="C348" s="123">
        <v>1276235</v>
      </c>
      <c r="D348" s="123">
        <v>0</v>
      </c>
      <c r="E348" s="123">
        <v>1276235</v>
      </c>
      <c r="F348" s="123">
        <v>0</v>
      </c>
    </row>
    <row r="349" spans="1:6">
      <c r="A349" s="65">
        <v>701</v>
      </c>
      <c r="B349" s="65" t="s">
        <v>214</v>
      </c>
      <c r="C349" s="123">
        <v>0</v>
      </c>
      <c r="D349" s="123">
        <v>1276235</v>
      </c>
      <c r="E349" s="123">
        <v>0</v>
      </c>
      <c r="F349" s="123">
        <v>1276235</v>
      </c>
    </row>
    <row r="350" spans="1:6">
      <c r="A350" s="65" t="s">
        <v>1168</v>
      </c>
      <c r="B350" s="65" t="s">
        <v>214</v>
      </c>
      <c r="C350" s="123">
        <v>0</v>
      </c>
      <c r="D350" s="123">
        <v>1276235</v>
      </c>
      <c r="E350" s="123">
        <v>0</v>
      </c>
      <c r="F350" s="123">
        <v>1276235</v>
      </c>
    </row>
    <row r="351" spans="1:6">
      <c r="A351" s="65" t="s">
        <v>1169</v>
      </c>
      <c r="B351" s="65" t="s">
        <v>1167</v>
      </c>
      <c r="C351" s="123">
        <v>0</v>
      </c>
      <c r="D351" s="123">
        <v>1276235</v>
      </c>
      <c r="E351" s="123">
        <v>0</v>
      </c>
      <c r="F351" s="123">
        <v>1276235</v>
      </c>
    </row>
    <row r="352" spans="1:6">
      <c r="A352" s="65">
        <v>710</v>
      </c>
      <c r="B352" s="65" t="s">
        <v>215</v>
      </c>
      <c r="C352" s="123">
        <v>32567653.84</v>
      </c>
      <c r="D352" s="123">
        <v>0</v>
      </c>
      <c r="E352" s="123">
        <v>32567653.84</v>
      </c>
      <c r="F352" s="123">
        <v>0</v>
      </c>
    </row>
    <row r="353" spans="1:6">
      <c r="A353" s="65" t="s">
        <v>1170</v>
      </c>
      <c r="B353" s="65" t="s">
        <v>215</v>
      </c>
      <c r="C353" s="123">
        <v>32567653.84</v>
      </c>
      <c r="D353" s="123">
        <v>0</v>
      </c>
      <c r="E353" s="123">
        <v>32567653.84</v>
      </c>
      <c r="F353" s="123">
        <v>0</v>
      </c>
    </row>
    <row r="354" spans="1:6">
      <c r="A354" s="65" t="s">
        <v>1171</v>
      </c>
      <c r="B354" s="65" t="s">
        <v>1172</v>
      </c>
      <c r="C354" s="123">
        <v>32567653.84</v>
      </c>
      <c r="D354" s="123">
        <v>0</v>
      </c>
      <c r="E354" s="123">
        <v>32567653.84</v>
      </c>
      <c r="F354" s="123">
        <v>0</v>
      </c>
    </row>
    <row r="355" spans="1:6">
      <c r="A355" s="65">
        <v>711</v>
      </c>
      <c r="B355" s="65" t="s">
        <v>216</v>
      </c>
      <c r="C355" s="123">
        <v>0</v>
      </c>
      <c r="D355" s="123">
        <v>32567653.84</v>
      </c>
      <c r="E355" s="123">
        <v>0</v>
      </c>
      <c r="F355" s="123">
        <v>32567653.84</v>
      </c>
    </row>
    <row r="356" spans="1:6">
      <c r="A356" s="65" t="s">
        <v>1173</v>
      </c>
      <c r="B356" s="65" t="s">
        <v>216</v>
      </c>
      <c r="C356" s="123">
        <v>0</v>
      </c>
      <c r="D356" s="123">
        <v>32567653.84</v>
      </c>
      <c r="E356" s="123">
        <v>0</v>
      </c>
      <c r="F356" s="123">
        <v>32567653.84</v>
      </c>
    </row>
    <row r="357" spans="1:6">
      <c r="A357" s="65" t="s">
        <v>1174</v>
      </c>
      <c r="B357" s="65" t="s">
        <v>216</v>
      </c>
      <c r="C357" s="123">
        <v>0</v>
      </c>
      <c r="D357" s="123">
        <v>32567653.84</v>
      </c>
      <c r="E357" s="123">
        <v>0</v>
      </c>
      <c r="F357" s="123">
        <v>32567653.84</v>
      </c>
    </row>
    <row r="358" spans="1:6">
      <c r="A358" s="65">
        <v>720</v>
      </c>
      <c r="B358" s="65" t="s">
        <v>219</v>
      </c>
      <c r="C358" s="123">
        <v>5147009.5199999996</v>
      </c>
      <c r="D358" s="123">
        <v>0</v>
      </c>
      <c r="E358" s="123">
        <v>5147009.5199999996</v>
      </c>
      <c r="F358" s="123">
        <v>0</v>
      </c>
    </row>
    <row r="359" spans="1:6">
      <c r="A359" s="65" t="s">
        <v>1175</v>
      </c>
      <c r="B359" s="65" t="s">
        <v>1176</v>
      </c>
      <c r="C359" s="123">
        <v>5147009.5199999996</v>
      </c>
      <c r="D359" s="123">
        <v>0</v>
      </c>
      <c r="E359" s="123">
        <v>5147009.5199999996</v>
      </c>
      <c r="F359" s="123">
        <v>0</v>
      </c>
    </row>
    <row r="360" spans="1:6">
      <c r="A360" s="65" t="s">
        <v>1177</v>
      </c>
      <c r="B360" s="65" t="s">
        <v>1178</v>
      </c>
      <c r="C360" s="123">
        <v>4179552.8</v>
      </c>
      <c r="D360" s="123">
        <v>0</v>
      </c>
      <c r="E360" s="123">
        <v>4179552.8</v>
      </c>
      <c r="F360" s="123">
        <v>0</v>
      </c>
    </row>
    <row r="361" spans="1:6">
      <c r="A361" s="65" t="s">
        <v>1179</v>
      </c>
      <c r="B361" s="65" t="s">
        <v>1180</v>
      </c>
      <c r="C361" s="123">
        <v>910652.73</v>
      </c>
      <c r="D361" s="123">
        <v>0</v>
      </c>
      <c r="E361" s="123">
        <v>910652.73</v>
      </c>
      <c r="F361" s="123">
        <v>0</v>
      </c>
    </row>
    <row r="362" spans="1:6">
      <c r="A362" s="65" t="s">
        <v>1181</v>
      </c>
      <c r="B362" s="65" t="s">
        <v>1182</v>
      </c>
      <c r="C362" s="123">
        <v>56803.99</v>
      </c>
      <c r="D362" s="123">
        <v>0</v>
      </c>
      <c r="E362" s="123">
        <v>56803.99</v>
      </c>
      <c r="F362" s="123">
        <v>0</v>
      </c>
    </row>
    <row r="363" spans="1:6">
      <c r="A363" s="65">
        <v>721</v>
      </c>
      <c r="B363" s="65" t="s">
        <v>220</v>
      </c>
      <c r="C363" s="123">
        <v>0</v>
      </c>
      <c r="D363" s="123">
        <v>5147009.5199999996</v>
      </c>
      <c r="E363" s="123">
        <v>0</v>
      </c>
      <c r="F363" s="123">
        <v>5147009.5199999996</v>
      </c>
    </row>
    <row r="364" spans="1:6">
      <c r="A364" s="65" t="s">
        <v>1183</v>
      </c>
      <c r="B364" s="65" t="s">
        <v>220</v>
      </c>
      <c r="C364" s="123">
        <v>0</v>
      </c>
      <c r="D364" s="123">
        <v>5147009.5199999996</v>
      </c>
      <c r="E364" s="123">
        <v>0</v>
      </c>
      <c r="F364" s="123">
        <v>5147009.5199999996</v>
      </c>
    </row>
    <row r="365" spans="1:6">
      <c r="A365" s="65" t="s">
        <v>1184</v>
      </c>
      <c r="B365" s="65" t="s">
        <v>220</v>
      </c>
      <c r="C365" s="123">
        <v>0</v>
      </c>
      <c r="D365" s="123">
        <v>5147009.5199999996</v>
      </c>
      <c r="E365" s="123">
        <v>0</v>
      </c>
      <c r="F365" s="123">
        <v>5147009.5199999996</v>
      </c>
    </row>
    <row r="366" spans="1:6">
      <c r="A366" s="65">
        <v>730</v>
      </c>
      <c r="B366" s="65" t="s">
        <v>221</v>
      </c>
      <c r="C366" s="123">
        <v>4491486.47</v>
      </c>
      <c r="D366" s="123">
        <v>10030.75</v>
      </c>
      <c r="E366" s="123">
        <v>4481455.72</v>
      </c>
      <c r="F366" s="123">
        <v>0</v>
      </c>
    </row>
    <row r="367" spans="1:6">
      <c r="A367" s="65" t="s">
        <v>1185</v>
      </c>
      <c r="B367" s="65" t="s">
        <v>788</v>
      </c>
      <c r="C367" s="123">
        <v>1413054.64</v>
      </c>
      <c r="D367" s="123">
        <v>8730.75</v>
      </c>
      <c r="E367" s="123">
        <v>1404323.89</v>
      </c>
      <c r="F367" s="123">
        <v>0</v>
      </c>
    </row>
    <row r="368" spans="1:6">
      <c r="A368" s="65" t="s">
        <v>1186</v>
      </c>
      <c r="B368" s="65" t="s">
        <v>1187</v>
      </c>
      <c r="C368" s="123">
        <v>1392018.03</v>
      </c>
      <c r="D368" s="123">
        <v>8730.75</v>
      </c>
      <c r="E368" s="123">
        <v>1383287.28</v>
      </c>
      <c r="F368" s="123">
        <v>0</v>
      </c>
    </row>
    <row r="369" spans="1:6">
      <c r="A369" s="65" t="s">
        <v>1188</v>
      </c>
      <c r="B369" s="65" t="s">
        <v>1189</v>
      </c>
      <c r="C369" s="123">
        <v>17758.61</v>
      </c>
      <c r="D369" s="123">
        <v>0</v>
      </c>
      <c r="E369" s="123">
        <v>17758.61</v>
      </c>
      <c r="F369" s="123">
        <v>0</v>
      </c>
    </row>
    <row r="370" spans="1:6">
      <c r="A370" s="65" t="s">
        <v>1542</v>
      </c>
      <c r="B370" s="65" t="s">
        <v>1543</v>
      </c>
      <c r="C370" s="123">
        <v>478</v>
      </c>
      <c r="D370" s="123">
        <v>0</v>
      </c>
      <c r="E370" s="123">
        <v>478</v>
      </c>
      <c r="F370" s="123">
        <v>0</v>
      </c>
    </row>
    <row r="371" spans="1:6">
      <c r="A371" s="65" t="s">
        <v>1190</v>
      </c>
      <c r="B371" s="65" t="s">
        <v>1191</v>
      </c>
      <c r="C371" s="123">
        <v>2800</v>
      </c>
      <c r="D371" s="123">
        <v>0</v>
      </c>
      <c r="E371" s="123">
        <v>2800</v>
      </c>
      <c r="F371" s="123">
        <v>0</v>
      </c>
    </row>
    <row r="372" spans="1:6">
      <c r="A372" s="65" t="s">
        <v>1192</v>
      </c>
      <c r="B372" s="65" t="s">
        <v>713</v>
      </c>
      <c r="C372" s="123">
        <v>108045.1</v>
      </c>
      <c r="D372" s="123">
        <v>0</v>
      </c>
      <c r="E372" s="123">
        <v>108045.1</v>
      </c>
      <c r="F372" s="123">
        <v>0</v>
      </c>
    </row>
    <row r="373" spans="1:6">
      <c r="A373" s="65" t="s">
        <v>1193</v>
      </c>
      <c r="B373" s="65" t="s">
        <v>714</v>
      </c>
      <c r="C373" s="123">
        <v>90335</v>
      </c>
      <c r="D373" s="123">
        <v>0</v>
      </c>
      <c r="E373" s="123">
        <v>90335</v>
      </c>
      <c r="F373" s="123">
        <v>0</v>
      </c>
    </row>
    <row r="374" spans="1:6">
      <c r="A374" s="65" t="s">
        <v>1194</v>
      </c>
      <c r="B374" s="65" t="s">
        <v>1195</v>
      </c>
      <c r="C374" s="123">
        <v>17710.099999999999</v>
      </c>
      <c r="D374" s="123">
        <v>0</v>
      </c>
      <c r="E374" s="123">
        <v>17710.099999999999</v>
      </c>
      <c r="F374" s="123">
        <v>0</v>
      </c>
    </row>
    <row r="375" spans="1:6">
      <c r="A375" s="65" t="s">
        <v>1199</v>
      </c>
      <c r="B375" s="65" t="s">
        <v>715</v>
      </c>
      <c r="C375" s="123">
        <v>420046.51</v>
      </c>
      <c r="D375" s="123">
        <v>1300</v>
      </c>
      <c r="E375" s="123">
        <v>418746.51</v>
      </c>
      <c r="F375" s="123">
        <v>0</v>
      </c>
    </row>
    <row r="376" spans="1:6">
      <c r="A376" s="65" t="s">
        <v>1202</v>
      </c>
      <c r="B376" s="65" t="s">
        <v>1203</v>
      </c>
      <c r="C376" s="123">
        <v>54328.1</v>
      </c>
      <c r="D376" s="123">
        <v>0</v>
      </c>
      <c r="E376" s="123">
        <v>54328.1</v>
      </c>
      <c r="F376" s="123">
        <v>0</v>
      </c>
    </row>
    <row r="377" spans="1:6">
      <c r="A377" s="65" t="s">
        <v>1544</v>
      </c>
      <c r="B377" s="65" t="s">
        <v>1545</v>
      </c>
      <c r="C377" s="123">
        <v>10281.19</v>
      </c>
      <c r="D377" s="123">
        <v>0</v>
      </c>
      <c r="E377" s="123">
        <v>10281.19</v>
      </c>
      <c r="F377" s="123">
        <v>0</v>
      </c>
    </row>
    <row r="378" spans="1:6">
      <c r="A378" s="65" t="s">
        <v>1205</v>
      </c>
      <c r="B378" s="65" t="s">
        <v>1206</v>
      </c>
      <c r="C378" s="123">
        <v>355437.22</v>
      </c>
      <c r="D378" s="123">
        <v>1300</v>
      </c>
      <c r="E378" s="123">
        <v>354137.22</v>
      </c>
      <c r="F378" s="123">
        <v>0</v>
      </c>
    </row>
    <row r="379" spans="1:6">
      <c r="A379" s="65" t="s">
        <v>1209</v>
      </c>
      <c r="B379" s="65" t="s">
        <v>1210</v>
      </c>
      <c r="C379" s="123">
        <v>97944.52</v>
      </c>
      <c r="D379" s="123">
        <v>0</v>
      </c>
      <c r="E379" s="123">
        <v>97944.52</v>
      </c>
      <c r="F379" s="123">
        <v>0</v>
      </c>
    </row>
    <row r="380" spans="1:6">
      <c r="A380" s="65" t="s">
        <v>1211</v>
      </c>
      <c r="B380" s="65" t="s">
        <v>1212</v>
      </c>
      <c r="C380" s="123">
        <v>97944.52</v>
      </c>
      <c r="D380" s="123">
        <v>0</v>
      </c>
      <c r="E380" s="123">
        <v>97944.52</v>
      </c>
      <c r="F380" s="123">
        <v>0</v>
      </c>
    </row>
    <row r="381" spans="1:6">
      <c r="A381" s="65" t="s">
        <v>1215</v>
      </c>
      <c r="B381" s="65" t="s">
        <v>716</v>
      </c>
      <c r="C381" s="123">
        <v>237058.93</v>
      </c>
      <c r="D381" s="123">
        <v>0</v>
      </c>
      <c r="E381" s="123">
        <v>237058.93</v>
      </c>
      <c r="F381" s="123">
        <v>0</v>
      </c>
    </row>
    <row r="382" spans="1:6">
      <c r="A382" s="65" t="s">
        <v>1546</v>
      </c>
      <c r="B382" s="65" t="s">
        <v>791</v>
      </c>
      <c r="C382" s="123">
        <v>333.33</v>
      </c>
      <c r="D382" s="123">
        <v>0</v>
      </c>
      <c r="E382" s="123">
        <v>333.33</v>
      </c>
      <c r="F382" s="123">
        <v>0</v>
      </c>
    </row>
    <row r="383" spans="1:6">
      <c r="A383" s="65" t="s">
        <v>1217</v>
      </c>
      <c r="B383" s="65" t="s">
        <v>1218</v>
      </c>
      <c r="C383" s="123">
        <v>111011.05</v>
      </c>
      <c r="D383" s="123">
        <v>0</v>
      </c>
      <c r="E383" s="123">
        <v>111011.05</v>
      </c>
      <c r="F383" s="123">
        <v>0</v>
      </c>
    </row>
    <row r="384" spans="1:6">
      <c r="A384" s="65" t="s">
        <v>1547</v>
      </c>
      <c r="B384" s="65" t="s">
        <v>1548</v>
      </c>
      <c r="C384" s="123">
        <v>1525.43</v>
      </c>
      <c r="D384" s="123">
        <v>0</v>
      </c>
      <c r="E384" s="123">
        <v>1525.43</v>
      </c>
      <c r="F384" s="123">
        <v>0</v>
      </c>
    </row>
    <row r="385" spans="1:6">
      <c r="A385" s="65" t="s">
        <v>1549</v>
      </c>
      <c r="B385" s="65" t="s">
        <v>1550</v>
      </c>
      <c r="C385" s="123">
        <v>11496</v>
      </c>
      <c r="D385" s="123">
        <v>0</v>
      </c>
      <c r="E385" s="123">
        <v>11496</v>
      </c>
      <c r="F385" s="123">
        <v>0</v>
      </c>
    </row>
    <row r="386" spans="1:6">
      <c r="A386" s="65" t="s">
        <v>1551</v>
      </c>
      <c r="B386" s="65" t="s">
        <v>1552</v>
      </c>
      <c r="C386" s="123">
        <v>112693.12</v>
      </c>
      <c r="D386" s="123">
        <v>0</v>
      </c>
      <c r="E386" s="123">
        <v>112693.12</v>
      </c>
      <c r="F386" s="123">
        <v>0</v>
      </c>
    </row>
    <row r="387" spans="1:6">
      <c r="A387" s="65" t="s">
        <v>1553</v>
      </c>
      <c r="B387" s="65" t="s">
        <v>717</v>
      </c>
      <c r="C387" s="123">
        <v>302560</v>
      </c>
      <c r="D387" s="123">
        <v>0</v>
      </c>
      <c r="E387" s="123">
        <v>302560</v>
      </c>
      <c r="F387" s="123">
        <v>0</v>
      </c>
    </row>
    <row r="388" spans="1:6">
      <c r="A388" s="65" t="s">
        <v>1554</v>
      </c>
      <c r="B388" s="65" t="s">
        <v>1555</v>
      </c>
      <c r="C388" s="123">
        <v>48000</v>
      </c>
      <c r="D388" s="123">
        <v>0</v>
      </c>
      <c r="E388" s="123">
        <v>48000</v>
      </c>
      <c r="F388" s="123">
        <v>0</v>
      </c>
    </row>
    <row r="389" spans="1:6">
      <c r="A389" s="65" t="s">
        <v>1556</v>
      </c>
      <c r="B389" s="65" t="s">
        <v>1557</v>
      </c>
      <c r="C389" s="123">
        <v>254560</v>
      </c>
      <c r="D389" s="123">
        <v>0</v>
      </c>
      <c r="E389" s="123">
        <v>254560</v>
      </c>
      <c r="F389" s="123">
        <v>0</v>
      </c>
    </row>
    <row r="390" spans="1:6">
      <c r="A390" s="65" t="s">
        <v>1220</v>
      </c>
      <c r="B390" s="65" t="s">
        <v>718</v>
      </c>
      <c r="C390" s="123">
        <v>1566765</v>
      </c>
      <c r="D390" s="123">
        <v>0</v>
      </c>
      <c r="E390" s="123">
        <v>1566765</v>
      </c>
      <c r="F390" s="123">
        <v>0</v>
      </c>
    </row>
    <row r="391" spans="1:6">
      <c r="A391" s="65" t="s">
        <v>1221</v>
      </c>
      <c r="B391" s="65" t="s">
        <v>719</v>
      </c>
      <c r="C391" s="123">
        <v>1566765</v>
      </c>
      <c r="D391" s="123">
        <v>0</v>
      </c>
      <c r="E391" s="123">
        <v>1566765</v>
      </c>
      <c r="F391" s="123">
        <v>0</v>
      </c>
    </row>
    <row r="392" spans="1:6">
      <c r="A392" s="65" t="s">
        <v>1558</v>
      </c>
      <c r="B392" s="65" t="s">
        <v>720</v>
      </c>
      <c r="C392" s="123">
        <v>301.98</v>
      </c>
      <c r="D392" s="123">
        <v>0</v>
      </c>
      <c r="E392" s="123">
        <v>301.98</v>
      </c>
      <c r="F392" s="123">
        <v>0</v>
      </c>
    </row>
    <row r="393" spans="1:6">
      <c r="A393" s="65" t="s">
        <v>1559</v>
      </c>
      <c r="B393" s="65" t="s">
        <v>1272</v>
      </c>
      <c r="C393" s="123">
        <v>301.98</v>
      </c>
      <c r="D393" s="123">
        <v>0</v>
      </c>
      <c r="E393" s="123">
        <v>301.98</v>
      </c>
      <c r="F393" s="123">
        <v>0</v>
      </c>
    </row>
    <row r="394" spans="1:6">
      <c r="A394" s="65" t="s">
        <v>1222</v>
      </c>
      <c r="B394" s="65" t="s">
        <v>722</v>
      </c>
      <c r="C394" s="123">
        <v>345709.79</v>
      </c>
      <c r="D394" s="123">
        <v>0</v>
      </c>
      <c r="E394" s="123">
        <v>345709.79</v>
      </c>
      <c r="F394" s="123">
        <v>0</v>
      </c>
    </row>
    <row r="395" spans="1:6">
      <c r="A395" s="65" t="s">
        <v>1223</v>
      </c>
      <c r="B395" s="65" t="s">
        <v>1224</v>
      </c>
      <c r="C395" s="123">
        <v>180839.04000000001</v>
      </c>
      <c r="D395" s="123">
        <v>0</v>
      </c>
      <c r="E395" s="123">
        <v>180839.04000000001</v>
      </c>
      <c r="F395" s="123">
        <v>0</v>
      </c>
    </row>
    <row r="396" spans="1:6">
      <c r="A396" s="65" t="s">
        <v>1560</v>
      </c>
      <c r="B396" s="65" t="s">
        <v>723</v>
      </c>
      <c r="C396" s="123">
        <v>14309.88</v>
      </c>
      <c r="D396" s="123">
        <v>0</v>
      </c>
      <c r="E396" s="123">
        <v>14309.88</v>
      </c>
      <c r="F396" s="123">
        <v>0</v>
      </c>
    </row>
    <row r="397" spans="1:6">
      <c r="A397" s="65" t="s">
        <v>1225</v>
      </c>
      <c r="B397" s="65" t="s">
        <v>1226</v>
      </c>
      <c r="C397" s="123">
        <v>132002.04</v>
      </c>
      <c r="D397" s="123">
        <v>0</v>
      </c>
      <c r="E397" s="123">
        <v>132002.04</v>
      </c>
      <c r="F397" s="123">
        <v>0</v>
      </c>
    </row>
    <row r="398" spans="1:6">
      <c r="A398" s="65" t="s">
        <v>1561</v>
      </c>
      <c r="B398" s="65" t="s">
        <v>1562</v>
      </c>
      <c r="C398" s="123">
        <v>18558.830000000002</v>
      </c>
      <c r="D398" s="123">
        <v>0</v>
      </c>
      <c r="E398" s="123">
        <v>18558.830000000002</v>
      </c>
      <c r="F398" s="123">
        <v>0</v>
      </c>
    </row>
    <row r="399" spans="1:6">
      <c r="A399" s="65">
        <v>731</v>
      </c>
      <c r="B399" s="65" t="s">
        <v>556</v>
      </c>
      <c r="C399" s="123">
        <v>0</v>
      </c>
      <c r="D399" s="123">
        <v>4481455.72</v>
      </c>
      <c r="E399" s="123">
        <v>0</v>
      </c>
      <c r="F399" s="123">
        <v>4481455.72</v>
      </c>
    </row>
    <row r="400" spans="1:6">
      <c r="A400" s="65" t="s">
        <v>1228</v>
      </c>
      <c r="B400" s="65" t="s">
        <v>556</v>
      </c>
      <c r="C400" s="123">
        <v>0</v>
      </c>
      <c r="D400" s="123">
        <v>4481455.72</v>
      </c>
      <c r="E400" s="123">
        <v>0</v>
      </c>
      <c r="F400" s="123">
        <v>4481455.72</v>
      </c>
    </row>
    <row r="401" spans="1:6">
      <c r="A401" s="65" t="s">
        <v>1229</v>
      </c>
      <c r="B401" s="65" t="s">
        <v>556</v>
      </c>
      <c r="C401" s="123">
        <v>0</v>
      </c>
      <c r="D401" s="123">
        <v>4481455.72</v>
      </c>
      <c r="E401" s="123">
        <v>0</v>
      </c>
      <c r="F401" s="123">
        <v>4481455.72</v>
      </c>
    </row>
    <row r="402" spans="1:6">
      <c r="A402" s="65">
        <v>750</v>
      </c>
      <c r="B402" s="65" t="s">
        <v>557</v>
      </c>
      <c r="C402" s="123">
        <v>2017980.92</v>
      </c>
      <c r="D402" s="123">
        <v>0</v>
      </c>
      <c r="E402" s="123">
        <v>2017980.92</v>
      </c>
      <c r="F402" s="123">
        <v>0</v>
      </c>
    </row>
    <row r="403" spans="1:6">
      <c r="A403" s="65" t="s">
        <v>1230</v>
      </c>
      <c r="B403" s="65" t="s">
        <v>788</v>
      </c>
      <c r="C403" s="123">
        <v>11152</v>
      </c>
      <c r="D403" s="123">
        <v>0</v>
      </c>
      <c r="E403" s="123">
        <v>11152</v>
      </c>
      <c r="F403" s="123">
        <v>0</v>
      </c>
    </row>
    <row r="404" spans="1:6">
      <c r="A404" s="65" t="s">
        <v>1231</v>
      </c>
      <c r="B404" s="65" t="s">
        <v>1187</v>
      </c>
      <c r="C404" s="123">
        <v>11152</v>
      </c>
      <c r="D404" s="123">
        <v>0</v>
      </c>
      <c r="E404" s="123">
        <v>11152</v>
      </c>
      <c r="F404" s="123">
        <v>0</v>
      </c>
    </row>
    <row r="405" spans="1:6">
      <c r="A405" s="65" t="s">
        <v>1563</v>
      </c>
      <c r="B405" s="65" t="s">
        <v>1564</v>
      </c>
      <c r="C405" s="123">
        <v>1106939.9099999999</v>
      </c>
      <c r="D405" s="123">
        <v>0</v>
      </c>
      <c r="E405" s="123">
        <v>1106939.9099999999</v>
      </c>
      <c r="F405" s="123">
        <v>0</v>
      </c>
    </row>
    <row r="406" spans="1:6">
      <c r="A406" s="65" t="s">
        <v>1565</v>
      </c>
      <c r="B406" s="65" t="s">
        <v>1566</v>
      </c>
      <c r="C406" s="123">
        <v>903624.41</v>
      </c>
      <c r="D406" s="123">
        <v>0</v>
      </c>
      <c r="E406" s="123">
        <v>903624.41</v>
      </c>
      <c r="F406" s="123">
        <v>0</v>
      </c>
    </row>
    <row r="407" spans="1:6">
      <c r="A407" s="65" t="s">
        <v>1567</v>
      </c>
      <c r="B407" s="65" t="s">
        <v>1568</v>
      </c>
      <c r="C407" s="123">
        <v>185242.98</v>
      </c>
      <c r="D407" s="123">
        <v>0</v>
      </c>
      <c r="E407" s="123">
        <v>185242.98</v>
      </c>
      <c r="F407" s="123">
        <v>0</v>
      </c>
    </row>
    <row r="408" spans="1:6">
      <c r="A408" s="65" t="s">
        <v>1569</v>
      </c>
      <c r="B408" s="65" t="s">
        <v>1570</v>
      </c>
      <c r="C408" s="123">
        <v>18072.52</v>
      </c>
      <c r="D408" s="123">
        <v>0</v>
      </c>
      <c r="E408" s="123">
        <v>18072.52</v>
      </c>
      <c r="F408" s="123">
        <v>0</v>
      </c>
    </row>
    <row r="409" spans="1:6">
      <c r="A409" s="65" t="s">
        <v>1232</v>
      </c>
      <c r="B409" s="65" t="s">
        <v>713</v>
      </c>
      <c r="C409" s="123">
        <v>50767.5</v>
      </c>
      <c r="D409" s="123">
        <v>0</v>
      </c>
      <c r="E409" s="123">
        <v>50767.5</v>
      </c>
      <c r="F409" s="123">
        <v>0</v>
      </c>
    </row>
    <row r="410" spans="1:6">
      <c r="A410" s="65" t="s">
        <v>1233</v>
      </c>
      <c r="B410" s="65" t="s">
        <v>714</v>
      </c>
      <c r="C410" s="123">
        <v>50767.5</v>
      </c>
      <c r="D410" s="123">
        <v>0</v>
      </c>
      <c r="E410" s="123">
        <v>50767.5</v>
      </c>
      <c r="F410" s="123">
        <v>0</v>
      </c>
    </row>
    <row r="411" spans="1:6">
      <c r="A411" s="65" t="s">
        <v>1234</v>
      </c>
      <c r="B411" s="65" t="s">
        <v>715</v>
      </c>
      <c r="C411" s="123">
        <v>12914.66</v>
      </c>
      <c r="D411" s="123">
        <v>0</v>
      </c>
      <c r="E411" s="123">
        <v>12914.66</v>
      </c>
      <c r="F411" s="123">
        <v>0</v>
      </c>
    </row>
    <row r="412" spans="1:6">
      <c r="A412" s="65" t="s">
        <v>1235</v>
      </c>
      <c r="B412" s="65" t="s">
        <v>1203</v>
      </c>
      <c r="C412" s="123">
        <v>9448.7999999999993</v>
      </c>
      <c r="D412" s="123">
        <v>0</v>
      </c>
      <c r="E412" s="123">
        <v>9448.7999999999993</v>
      </c>
      <c r="F412" s="123">
        <v>0</v>
      </c>
    </row>
    <row r="413" spans="1:6">
      <c r="A413" s="65" t="s">
        <v>1236</v>
      </c>
      <c r="B413" s="65" t="s">
        <v>825</v>
      </c>
      <c r="C413" s="123">
        <v>3465.86</v>
      </c>
      <c r="D413" s="123">
        <v>0</v>
      </c>
      <c r="E413" s="123">
        <v>3465.86</v>
      </c>
      <c r="F413" s="123">
        <v>0</v>
      </c>
    </row>
    <row r="414" spans="1:6">
      <c r="A414" s="65" t="s">
        <v>1237</v>
      </c>
      <c r="B414" s="65" t="s">
        <v>1210</v>
      </c>
      <c r="C414" s="123">
        <v>8535.85</v>
      </c>
      <c r="D414" s="123">
        <v>0</v>
      </c>
      <c r="E414" s="123">
        <v>8535.85</v>
      </c>
      <c r="F414" s="123">
        <v>0</v>
      </c>
    </row>
    <row r="415" spans="1:6">
      <c r="A415" s="65" t="s">
        <v>1571</v>
      </c>
      <c r="B415" s="65" t="s">
        <v>1572</v>
      </c>
      <c r="C415" s="123">
        <v>8535.85</v>
      </c>
      <c r="D415" s="123">
        <v>0</v>
      </c>
      <c r="E415" s="123">
        <v>8535.85</v>
      </c>
      <c r="F415" s="123">
        <v>0</v>
      </c>
    </row>
    <row r="416" spans="1:6">
      <c r="A416" s="65" t="s">
        <v>1238</v>
      </c>
      <c r="B416" s="65" t="s">
        <v>716</v>
      </c>
      <c r="C416" s="123">
        <v>61346.239999999998</v>
      </c>
      <c r="D416" s="123">
        <v>0</v>
      </c>
      <c r="E416" s="123">
        <v>61346.239999999998</v>
      </c>
      <c r="F416" s="123">
        <v>0</v>
      </c>
    </row>
    <row r="417" spans="1:6">
      <c r="A417" s="65" t="s">
        <v>1573</v>
      </c>
      <c r="B417" s="65" t="s">
        <v>1548</v>
      </c>
      <c r="C417" s="123">
        <v>4316.4799999999996</v>
      </c>
      <c r="D417" s="123">
        <v>0</v>
      </c>
      <c r="E417" s="123">
        <v>4316.4799999999996</v>
      </c>
      <c r="F417" s="123">
        <v>0</v>
      </c>
    </row>
    <row r="418" spans="1:6">
      <c r="A418" s="65" t="s">
        <v>1239</v>
      </c>
      <c r="B418" s="65" t="s">
        <v>1219</v>
      </c>
      <c r="C418" s="123">
        <v>28284.76</v>
      </c>
      <c r="D418" s="123">
        <v>0</v>
      </c>
      <c r="E418" s="123">
        <v>28284.76</v>
      </c>
      <c r="F418" s="123">
        <v>0</v>
      </c>
    </row>
    <row r="419" spans="1:6">
      <c r="A419" s="65" t="s">
        <v>1574</v>
      </c>
      <c r="B419" s="65" t="s">
        <v>1552</v>
      </c>
      <c r="C419" s="123">
        <v>28745</v>
      </c>
      <c r="D419" s="123">
        <v>0</v>
      </c>
      <c r="E419" s="123">
        <v>28745</v>
      </c>
      <c r="F419" s="123">
        <v>0</v>
      </c>
    </row>
    <row r="420" spans="1:6">
      <c r="A420" s="65" t="s">
        <v>1240</v>
      </c>
      <c r="B420" s="65" t="s">
        <v>717</v>
      </c>
      <c r="C420" s="123">
        <v>502769.21</v>
      </c>
      <c r="D420" s="123">
        <v>0</v>
      </c>
      <c r="E420" s="123">
        <v>502769.21</v>
      </c>
      <c r="F420" s="123">
        <v>0</v>
      </c>
    </row>
    <row r="421" spans="1:6">
      <c r="A421" s="65" t="s">
        <v>1575</v>
      </c>
      <c r="B421" s="65" t="s">
        <v>726</v>
      </c>
      <c r="C421" s="123">
        <v>456400.58</v>
      </c>
      <c r="D421" s="123">
        <v>0</v>
      </c>
      <c r="E421" s="123">
        <v>456400.58</v>
      </c>
      <c r="F421" s="123">
        <v>0</v>
      </c>
    </row>
    <row r="422" spans="1:6">
      <c r="A422" s="65" t="s">
        <v>1241</v>
      </c>
      <c r="B422" s="65" t="s">
        <v>1242</v>
      </c>
      <c r="C422" s="123">
        <v>46368.63</v>
      </c>
      <c r="D422" s="123">
        <v>0</v>
      </c>
      <c r="E422" s="123">
        <v>46368.63</v>
      </c>
      <c r="F422" s="123">
        <v>0</v>
      </c>
    </row>
    <row r="423" spans="1:6">
      <c r="A423" s="65" t="s">
        <v>1243</v>
      </c>
      <c r="B423" s="65" t="s">
        <v>718</v>
      </c>
      <c r="C423" s="123">
        <v>100000</v>
      </c>
      <c r="D423" s="123">
        <v>0</v>
      </c>
      <c r="E423" s="123">
        <v>100000</v>
      </c>
      <c r="F423" s="123">
        <v>0</v>
      </c>
    </row>
    <row r="424" spans="1:6">
      <c r="A424" s="65" t="s">
        <v>1576</v>
      </c>
      <c r="B424" s="65" t="s">
        <v>1577</v>
      </c>
      <c r="C424" s="123">
        <v>100000</v>
      </c>
      <c r="D424" s="123">
        <v>0</v>
      </c>
      <c r="E424" s="123">
        <v>100000</v>
      </c>
      <c r="F424" s="123">
        <v>0</v>
      </c>
    </row>
    <row r="425" spans="1:6">
      <c r="A425" s="65" t="s">
        <v>1578</v>
      </c>
      <c r="B425" s="65" t="s">
        <v>720</v>
      </c>
      <c r="C425" s="123">
        <v>3324.55</v>
      </c>
      <c r="D425" s="123">
        <v>0</v>
      </c>
      <c r="E425" s="123">
        <v>3324.55</v>
      </c>
      <c r="F425" s="123">
        <v>0</v>
      </c>
    </row>
    <row r="426" spans="1:6">
      <c r="A426" s="65" t="s">
        <v>1579</v>
      </c>
      <c r="B426" s="65" t="s">
        <v>721</v>
      </c>
      <c r="C426" s="123">
        <v>2413.83</v>
      </c>
      <c r="D426" s="123">
        <v>0</v>
      </c>
      <c r="E426" s="123">
        <v>2413.83</v>
      </c>
      <c r="F426" s="123">
        <v>0</v>
      </c>
    </row>
    <row r="427" spans="1:6">
      <c r="A427" s="65" t="s">
        <v>1580</v>
      </c>
      <c r="B427" s="65" t="s">
        <v>789</v>
      </c>
      <c r="C427" s="123">
        <v>910.72</v>
      </c>
      <c r="D427" s="123">
        <v>0</v>
      </c>
      <c r="E427" s="123">
        <v>910.72</v>
      </c>
      <c r="F427" s="123">
        <v>0</v>
      </c>
    </row>
    <row r="428" spans="1:6">
      <c r="A428" s="65" t="s">
        <v>1244</v>
      </c>
      <c r="B428" s="65" t="s">
        <v>722</v>
      </c>
      <c r="C428" s="123">
        <v>160231</v>
      </c>
      <c r="D428" s="123">
        <v>0</v>
      </c>
      <c r="E428" s="123">
        <v>160231</v>
      </c>
      <c r="F428" s="123">
        <v>0</v>
      </c>
    </row>
    <row r="429" spans="1:6">
      <c r="A429" s="65" t="s">
        <v>1581</v>
      </c>
      <c r="B429" s="65" t="s">
        <v>1224</v>
      </c>
      <c r="C429" s="123">
        <v>3781.92</v>
      </c>
      <c r="D429" s="123">
        <v>0</v>
      </c>
      <c r="E429" s="123">
        <v>3781.92</v>
      </c>
      <c r="F429" s="123">
        <v>0</v>
      </c>
    </row>
    <row r="430" spans="1:6">
      <c r="A430" s="65" t="s">
        <v>1582</v>
      </c>
      <c r="B430" s="65" t="s">
        <v>723</v>
      </c>
      <c r="C430" s="123">
        <v>12878.94</v>
      </c>
      <c r="D430" s="123">
        <v>0</v>
      </c>
      <c r="E430" s="123">
        <v>12878.94</v>
      </c>
      <c r="F430" s="123">
        <v>0</v>
      </c>
    </row>
    <row r="431" spans="1:6">
      <c r="A431" s="65" t="s">
        <v>1583</v>
      </c>
      <c r="B431" s="65" t="s">
        <v>1226</v>
      </c>
      <c r="C431" s="123">
        <v>143280.04</v>
      </c>
      <c r="D431" s="123">
        <v>0</v>
      </c>
      <c r="E431" s="123">
        <v>143280.04</v>
      </c>
      <c r="F431" s="123">
        <v>0</v>
      </c>
    </row>
    <row r="432" spans="1:6">
      <c r="A432" s="65" t="s">
        <v>1245</v>
      </c>
      <c r="B432" s="65" t="s">
        <v>725</v>
      </c>
      <c r="C432" s="123">
        <v>290.10000000000002</v>
      </c>
      <c r="D432" s="123">
        <v>0</v>
      </c>
      <c r="E432" s="123">
        <v>290.10000000000002</v>
      </c>
      <c r="F432" s="123">
        <v>0</v>
      </c>
    </row>
    <row r="433" spans="1:6">
      <c r="A433" s="65">
        <v>751</v>
      </c>
      <c r="B433" s="65" t="s">
        <v>558</v>
      </c>
      <c r="C433" s="123">
        <v>0</v>
      </c>
      <c r="D433" s="123">
        <v>2017980.92</v>
      </c>
      <c r="E433" s="123">
        <v>0</v>
      </c>
      <c r="F433" s="123">
        <v>2017980.92</v>
      </c>
    </row>
    <row r="434" spans="1:6">
      <c r="A434" s="65" t="s">
        <v>1246</v>
      </c>
      <c r="B434" s="65" t="s">
        <v>558</v>
      </c>
      <c r="C434" s="123">
        <v>0</v>
      </c>
      <c r="D434" s="123">
        <v>2017980.92</v>
      </c>
      <c r="E434" s="123">
        <v>0</v>
      </c>
      <c r="F434" s="123">
        <v>2017980.92</v>
      </c>
    </row>
    <row r="435" spans="1:6">
      <c r="A435" s="65" t="s">
        <v>1247</v>
      </c>
      <c r="B435" s="65" t="s">
        <v>558</v>
      </c>
      <c r="C435" s="123">
        <v>0</v>
      </c>
      <c r="D435" s="123">
        <v>2017980.92</v>
      </c>
      <c r="E435" s="123">
        <v>0</v>
      </c>
      <c r="F435" s="123">
        <v>2017980.92</v>
      </c>
    </row>
    <row r="436" spans="1:6">
      <c r="A436" s="65">
        <v>760</v>
      </c>
      <c r="B436" s="65" t="s">
        <v>559</v>
      </c>
      <c r="C436" s="123">
        <v>4115122.91</v>
      </c>
      <c r="D436" s="123">
        <v>0</v>
      </c>
      <c r="E436" s="123">
        <v>4115122.91</v>
      </c>
      <c r="F436" s="123">
        <v>0</v>
      </c>
    </row>
    <row r="437" spans="1:6">
      <c r="A437" s="65" t="s">
        <v>1584</v>
      </c>
      <c r="B437" s="65" t="s">
        <v>788</v>
      </c>
      <c r="C437" s="123">
        <v>365</v>
      </c>
      <c r="D437" s="123">
        <v>0</v>
      </c>
      <c r="E437" s="123">
        <v>365</v>
      </c>
      <c r="F437" s="123">
        <v>0</v>
      </c>
    </row>
    <row r="438" spans="1:6">
      <c r="A438" s="65" t="s">
        <v>1585</v>
      </c>
      <c r="B438" s="65" t="s">
        <v>1189</v>
      </c>
      <c r="C438" s="123">
        <v>365</v>
      </c>
      <c r="D438" s="123">
        <v>0</v>
      </c>
      <c r="E438" s="123">
        <v>365</v>
      </c>
      <c r="F438" s="123">
        <v>0</v>
      </c>
    </row>
    <row r="439" spans="1:6">
      <c r="A439" s="65" t="s">
        <v>1586</v>
      </c>
      <c r="B439" s="65" t="s">
        <v>1564</v>
      </c>
      <c r="C439" s="123">
        <v>2564267.9700000002</v>
      </c>
      <c r="D439" s="123">
        <v>0</v>
      </c>
      <c r="E439" s="123">
        <v>2564267.9700000002</v>
      </c>
      <c r="F439" s="123">
        <v>0</v>
      </c>
    </row>
    <row r="440" spans="1:6">
      <c r="A440" s="65" t="s">
        <v>1587</v>
      </c>
      <c r="B440" s="65" t="s">
        <v>1566</v>
      </c>
      <c r="C440" s="123">
        <v>2092425.69</v>
      </c>
      <c r="D440" s="123">
        <v>0</v>
      </c>
      <c r="E440" s="123">
        <v>2092425.69</v>
      </c>
      <c r="F440" s="123">
        <v>0</v>
      </c>
    </row>
    <row r="441" spans="1:6">
      <c r="A441" s="65" t="s">
        <v>1588</v>
      </c>
      <c r="B441" s="65" t="s">
        <v>1568</v>
      </c>
      <c r="C441" s="123">
        <v>431040.11</v>
      </c>
      <c r="D441" s="123">
        <v>0</v>
      </c>
      <c r="E441" s="123">
        <v>431040.11</v>
      </c>
      <c r="F441" s="123">
        <v>0</v>
      </c>
    </row>
    <row r="442" spans="1:6">
      <c r="A442" s="65" t="s">
        <v>1589</v>
      </c>
      <c r="B442" s="65" t="s">
        <v>1570</v>
      </c>
      <c r="C442" s="123">
        <v>40802.17</v>
      </c>
      <c r="D442" s="123">
        <v>0</v>
      </c>
      <c r="E442" s="123">
        <v>40802.17</v>
      </c>
      <c r="F442" s="123">
        <v>0</v>
      </c>
    </row>
    <row r="443" spans="1:6">
      <c r="A443" s="65" t="s">
        <v>1590</v>
      </c>
      <c r="B443" s="65" t="s">
        <v>713</v>
      </c>
      <c r="C443" s="123">
        <v>112907.83</v>
      </c>
      <c r="D443" s="123">
        <v>0</v>
      </c>
      <c r="E443" s="123">
        <v>112907.83</v>
      </c>
      <c r="F443" s="123">
        <v>0</v>
      </c>
    </row>
    <row r="444" spans="1:6">
      <c r="A444" s="65" t="s">
        <v>1591</v>
      </c>
      <c r="B444" s="65" t="s">
        <v>714</v>
      </c>
      <c r="C444" s="123">
        <v>112907.83</v>
      </c>
      <c r="D444" s="123">
        <v>0</v>
      </c>
      <c r="E444" s="123">
        <v>112907.83</v>
      </c>
      <c r="F444" s="123">
        <v>0</v>
      </c>
    </row>
    <row r="445" spans="1:6">
      <c r="A445" s="65" t="s">
        <v>1592</v>
      </c>
      <c r="B445" s="65" t="s">
        <v>715</v>
      </c>
      <c r="C445" s="123">
        <v>32727.35</v>
      </c>
      <c r="D445" s="123">
        <v>0</v>
      </c>
      <c r="E445" s="123">
        <v>32727.35</v>
      </c>
      <c r="F445" s="123">
        <v>0</v>
      </c>
    </row>
    <row r="446" spans="1:6">
      <c r="A446" s="65" t="s">
        <v>1593</v>
      </c>
      <c r="B446" s="65" t="s">
        <v>1594</v>
      </c>
      <c r="C446" s="123">
        <v>4533.59</v>
      </c>
      <c r="D446" s="123">
        <v>0</v>
      </c>
      <c r="E446" s="123">
        <v>4533.59</v>
      </c>
      <c r="F446" s="123">
        <v>0</v>
      </c>
    </row>
    <row r="447" spans="1:6">
      <c r="A447" s="65" t="s">
        <v>1595</v>
      </c>
      <c r="B447" s="65" t="s">
        <v>1596</v>
      </c>
      <c r="C447" s="123">
        <v>11932.56</v>
      </c>
      <c r="D447" s="123">
        <v>0</v>
      </c>
      <c r="E447" s="123">
        <v>11932.56</v>
      </c>
      <c r="F447" s="123">
        <v>0</v>
      </c>
    </row>
    <row r="448" spans="1:6">
      <c r="A448" s="65" t="s">
        <v>1597</v>
      </c>
      <c r="B448" s="65" t="s">
        <v>1203</v>
      </c>
      <c r="C448" s="123">
        <v>11810.16</v>
      </c>
      <c r="D448" s="123">
        <v>0</v>
      </c>
      <c r="E448" s="123">
        <v>11810.16</v>
      </c>
      <c r="F448" s="123">
        <v>0</v>
      </c>
    </row>
    <row r="449" spans="1:6">
      <c r="A449" s="65" t="s">
        <v>1598</v>
      </c>
      <c r="B449" s="65" t="s">
        <v>1599</v>
      </c>
      <c r="C449" s="123">
        <v>490.64</v>
      </c>
      <c r="D449" s="123">
        <v>0</v>
      </c>
      <c r="E449" s="123">
        <v>490.64</v>
      </c>
      <c r="F449" s="123">
        <v>0</v>
      </c>
    </row>
    <row r="450" spans="1:6">
      <c r="A450" s="65" t="s">
        <v>1600</v>
      </c>
      <c r="B450" s="65" t="s">
        <v>1601</v>
      </c>
      <c r="C450" s="123">
        <v>3960.4</v>
      </c>
      <c r="D450" s="123">
        <v>0</v>
      </c>
      <c r="E450" s="123">
        <v>3960.4</v>
      </c>
      <c r="F450" s="123">
        <v>0</v>
      </c>
    </row>
    <row r="451" spans="1:6">
      <c r="A451" s="65" t="s">
        <v>1602</v>
      </c>
      <c r="B451" s="65" t="s">
        <v>1210</v>
      </c>
      <c r="C451" s="123">
        <v>203099.51</v>
      </c>
      <c r="D451" s="123">
        <v>0</v>
      </c>
      <c r="E451" s="123">
        <v>203099.51</v>
      </c>
      <c r="F451" s="123">
        <v>0</v>
      </c>
    </row>
    <row r="452" spans="1:6">
      <c r="A452" s="65" t="s">
        <v>1603</v>
      </c>
      <c r="B452" s="65" t="s">
        <v>1214</v>
      </c>
      <c r="C452" s="123">
        <v>203099.51</v>
      </c>
      <c r="D452" s="123">
        <v>0</v>
      </c>
      <c r="E452" s="123">
        <v>203099.51</v>
      </c>
      <c r="F452" s="123">
        <v>0</v>
      </c>
    </row>
    <row r="453" spans="1:6">
      <c r="A453" s="65" t="s">
        <v>1604</v>
      </c>
      <c r="B453" s="65" t="s">
        <v>716</v>
      </c>
      <c r="C453" s="123">
        <v>238519.91</v>
      </c>
      <c r="D453" s="123">
        <v>0</v>
      </c>
      <c r="E453" s="123">
        <v>238519.91</v>
      </c>
      <c r="F453" s="123">
        <v>0</v>
      </c>
    </row>
    <row r="454" spans="1:6">
      <c r="A454" s="65" t="s">
        <v>1605</v>
      </c>
      <c r="B454" s="65" t="s">
        <v>791</v>
      </c>
      <c r="C454" s="123">
        <v>35423.49</v>
      </c>
      <c r="D454" s="123">
        <v>0</v>
      </c>
      <c r="E454" s="123">
        <v>35423.49</v>
      </c>
      <c r="F454" s="123">
        <v>0</v>
      </c>
    </row>
    <row r="455" spans="1:6">
      <c r="A455" s="65" t="s">
        <v>1606</v>
      </c>
      <c r="B455" s="65" t="s">
        <v>1548</v>
      </c>
      <c r="C455" s="123">
        <v>21582.42</v>
      </c>
      <c r="D455" s="123">
        <v>0</v>
      </c>
      <c r="E455" s="123">
        <v>21582.42</v>
      </c>
      <c r="F455" s="123">
        <v>0</v>
      </c>
    </row>
    <row r="456" spans="1:6">
      <c r="A456" s="65" t="s">
        <v>1607</v>
      </c>
      <c r="B456" s="65" t="s">
        <v>1552</v>
      </c>
      <c r="C456" s="123">
        <v>181514</v>
      </c>
      <c r="D456" s="123">
        <v>0</v>
      </c>
      <c r="E456" s="123">
        <v>181514</v>
      </c>
      <c r="F456" s="123">
        <v>0</v>
      </c>
    </row>
    <row r="457" spans="1:6">
      <c r="A457" s="65" t="s">
        <v>1608</v>
      </c>
      <c r="B457" s="65" t="s">
        <v>717</v>
      </c>
      <c r="C457" s="123">
        <v>168530.02</v>
      </c>
      <c r="D457" s="123">
        <v>0</v>
      </c>
      <c r="E457" s="123">
        <v>168530.02</v>
      </c>
      <c r="F457" s="123">
        <v>0</v>
      </c>
    </row>
    <row r="458" spans="1:6">
      <c r="A458" s="65" t="s">
        <v>1609</v>
      </c>
      <c r="B458" s="65" t="s">
        <v>726</v>
      </c>
      <c r="C458" s="123">
        <v>126585.81</v>
      </c>
      <c r="D458" s="123">
        <v>0</v>
      </c>
      <c r="E458" s="123">
        <v>126585.81</v>
      </c>
      <c r="F458" s="123">
        <v>0</v>
      </c>
    </row>
    <row r="459" spans="1:6">
      <c r="A459" s="65" t="s">
        <v>1610</v>
      </c>
      <c r="B459" s="65" t="s">
        <v>1242</v>
      </c>
      <c r="C459" s="123">
        <v>35300</v>
      </c>
      <c r="D459" s="123">
        <v>0</v>
      </c>
      <c r="E459" s="123">
        <v>35300</v>
      </c>
      <c r="F459" s="123">
        <v>0</v>
      </c>
    </row>
    <row r="460" spans="1:6">
      <c r="A460" s="65" t="s">
        <v>1611</v>
      </c>
      <c r="B460" s="65" t="s">
        <v>1270</v>
      </c>
      <c r="C460" s="123">
        <v>6644.21</v>
      </c>
      <c r="D460" s="123">
        <v>0</v>
      </c>
      <c r="E460" s="123">
        <v>6644.21</v>
      </c>
      <c r="F460" s="123">
        <v>0</v>
      </c>
    </row>
    <row r="461" spans="1:6">
      <c r="A461" s="65" t="s">
        <v>1612</v>
      </c>
      <c r="B461" s="65" t="s">
        <v>718</v>
      </c>
      <c r="C461" s="123">
        <v>7050.34</v>
      </c>
      <c r="D461" s="123">
        <v>0</v>
      </c>
      <c r="E461" s="123">
        <v>7050.34</v>
      </c>
      <c r="F461" s="123">
        <v>0</v>
      </c>
    </row>
    <row r="462" spans="1:6">
      <c r="A462" s="65" t="s">
        <v>1613</v>
      </c>
      <c r="B462" s="65" t="s">
        <v>737</v>
      </c>
      <c r="C462" s="123">
        <v>7050.34</v>
      </c>
      <c r="D462" s="123">
        <v>0</v>
      </c>
      <c r="E462" s="123">
        <v>7050.34</v>
      </c>
      <c r="F462" s="123">
        <v>0</v>
      </c>
    </row>
    <row r="463" spans="1:6">
      <c r="A463" s="65" t="s">
        <v>1614</v>
      </c>
      <c r="B463" s="65" t="s">
        <v>720</v>
      </c>
      <c r="C463" s="123">
        <v>124452.99</v>
      </c>
      <c r="D463" s="123">
        <v>0</v>
      </c>
      <c r="E463" s="123">
        <v>124452.99</v>
      </c>
      <c r="F463" s="123">
        <v>0</v>
      </c>
    </row>
    <row r="464" spans="1:6">
      <c r="A464" s="65" t="s">
        <v>1615</v>
      </c>
      <c r="B464" s="65" t="s">
        <v>1616</v>
      </c>
      <c r="C464" s="123">
        <v>1269.3399999999999</v>
      </c>
      <c r="D464" s="123">
        <v>0</v>
      </c>
      <c r="E464" s="123">
        <v>1269.3399999999999</v>
      </c>
      <c r="F464" s="123">
        <v>0</v>
      </c>
    </row>
    <row r="465" spans="1:6">
      <c r="A465" s="65" t="s">
        <v>1617</v>
      </c>
      <c r="B465" s="65" t="s">
        <v>721</v>
      </c>
      <c r="C465" s="123">
        <v>34777.86</v>
      </c>
      <c r="D465" s="123">
        <v>0</v>
      </c>
      <c r="E465" s="123">
        <v>34777.86</v>
      </c>
      <c r="F465" s="123">
        <v>0</v>
      </c>
    </row>
    <row r="466" spans="1:6">
      <c r="A466" s="65" t="s">
        <v>1618</v>
      </c>
      <c r="B466" s="65" t="s">
        <v>724</v>
      </c>
      <c r="C466" s="123">
        <v>1387.12</v>
      </c>
      <c r="D466" s="123">
        <v>0</v>
      </c>
      <c r="E466" s="123">
        <v>1387.12</v>
      </c>
      <c r="F466" s="123">
        <v>0</v>
      </c>
    </row>
    <row r="467" spans="1:6">
      <c r="A467" s="65" t="s">
        <v>1619</v>
      </c>
      <c r="B467" s="65" t="s">
        <v>1620</v>
      </c>
      <c r="C467" s="123">
        <v>2989.16</v>
      </c>
      <c r="D467" s="123">
        <v>0</v>
      </c>
      <c r="E467" s="123">
        <v>2989.16</v>
      </c>
      <c r="F467" s="123">
        <v>0</v>
      </c>
    </row>
    <row r="468" spans="1:6">
      <c r="A468" s="65" t="s">
        <v>1621</v>
      </c>
      <c r="B468" s="65" t="s">
        <v>789</v>
      </c>
      <c r="C468" s="123">
        <v>80504.960000000006</v>
      </c>
      <c r="D468" s="123">
        <v>0</v>
      </c>
      <c r="E468" s="123">
        <v>80504.960000000006</v>
      </c>
      <c r="F468" s="123">
        <v>0</v>
      </c>
    </row>
    <row r="469" spans="1:6">
      <c r="A469" s="65" t="s">
        <v>1622</v>
      </c>
      <c r="B469" s="65" t="s">
        <v>1272</v>
      </c>
      <c r="C469" s="123">
        <v>3524.55</v>
      </c>
      <c r="D469" s="123">
        <v>0</v>
      </c>
      <c r="E469" s="123">
        <v>3524.55</v>
      </c>
      <c r="F469" s="123">
        <v>0</v>
      </c>
    </row>
    <row r="470" spans="1:6">
      <c r="A470" s="65" t="s">
        <v>1623</v>
      </c>
      <c r="B470" s="65" t="s">
        <v>1624</v>
      </c>
      <c r="C470" s="123">
        <v>190129.95</v>
      </c>
      <c r="D470" s="123">
        <v>0</v>
      </c>
      <c r="E470" s="123">
        <v>190129.95</v>
      </c>
      <c r="F470" s="123">
        <v>0</v>
      </c>
    </row>
    <row r="471" spans="1:6">
      <c r="A471" s="65" t="s">
        <v>1625</v>
      </c>
      <c r="B471" s="65" t="s">
        <v>1626</v>
      </c>
      <c r="C471" s="123">
        <v>406.53</v>
      </c>
      <c r="D471" s="123">
        <v>0</v>
      </c>
      <c r="E471" s="123">
        <v>406.53</v>
      </c>
      <c r="F471" s="123">
        <v>0</v>
      </c>
    </row>
    <row r="472" spans="1:6">
      <c r="A472" s="65" t="s">
        <v>1627</v>
      </c>
      <c r="B472" s="65" t="s">
        <v>1628</v>
      </c>
      <c r="C472" s="123">
        <v>5073.42</v>
      </c>
      <c r="D472" s="123">
        <v>0</v>
      </c>
      <c r="E472" s="123">
        <v>5073.42</v>
      </c>
      <c r="F472" s="123">
        <v>0</v>
      </c>
    </row>
    <row r="473" spans="1:6">
      <c r="A473" s="65" t="s">
        <v>1629</v>
      </c>
      <c r="B473" s="65" t="s">
        <v>1630</v>
      </c>
      <c r="C473" s="123">
        <v>184650</v>
      </c>
      <c r="D473" s="123">
        <v>0</v>
      </c>
      <c r="E473" s="123">
        <v>184650</v>
      </c>
      <c r="F473" s="123">
        <v>0</v>
      </c>
    </row>
    <row r="474" spans="1:6">
      <c r="A474" s="65" t="s">
        <v>1631</v>
      </c>
      <c r="B474" s="65" t="s">
        <v>722</v>
      </c>
      <c r="C474" s="123">
        <v>473072.04</v>
      </c>
      <c r="D474" s="123">
        <v>0</v>
      </c>
      <c r="E474" s="123">
        <v>473072.04</v>
      </c>
      <c r="F474" s="123">
        <v>0</v>
      </c>
    </row>
    <row r="475" spans="1:6">
      <c r="A475" s="65" t="s">
        <v>1632</v>
      </c>
      <c r="B475" s="65" t="s">
        <v>1633</v>
      </c>
      <c r="C475" s="123">
        <v>432649.92</v>
      </c>
      <c r="D475" s="123">
        <v>0</v>
      </c>
      <c r="E475" s="123">
        <v>432649.92</v>
      </c>
      <c r="F475" s="123">
        <v>0</v>
      </c>
    </row>
    <row r="476" spans="1:6">
      <c r="A476" s="65" t="s">
        <v>1634</v>
      </c>
      <c r="B476" s="65" t="s">
        <v>723</v>
      </c>
      <c r="C476" s="123">
        <v>39604.32</v>
      </c>
      <c r="D476" s="123">
        <v>0</v>
      </c>
      <c r="E476" s="123">
        <v>39604.32</v>
      </c>
      <c r="F476" s="123">
        <v>0</v>
      </c>
    </row>
    <row r="477" spans="1:6">
      <c r="A477" s="65" t="s">
        <v>1635</v>
      </c>
      <c r="B477" s="65" t="s">
        <v>725</v>
      </c>
      <c r="C477" s="123">
        <v>817.8</v>
      </c>
      <c r="D477" s="123">
        <v>0</v>
      </c>
      <c r="E477" s="123">
        <v>817.8</v>
      </c>
      <c r="F477" s="123">
        <v>0</v>
      </c>
    </row>
    <row r="478" spans="1:6">
      <c r="A478" s="65">
        <v>761</v>
      </c>
      <c r="B478" s="65" t="s">
        <v>560</v>
      </c>
      <c r="C478" s="123">
        <v>0</v>
      </c>
      <c r="D478" s="123">
        <v>4115122.91</v>
      </c>
      <c r="E478" s="123">
        <v>0</v>
      </c>
      <c r="F478" s="123">
        <v>4115122.91</v>
      </c>
    </row>
    <row r="479" spans="1:6">
      <c r="A479" s="65" t="s">
        <v>1636</v>
      </c>
      <c r="B479" s="65" t="s">
        <v>560</v>
      </c>
      <c r="C479" s="123">
        <v>0</v>
      </c>
      <c r="D479" s="123">
        <v>4115122.91</v>
      </c>
      <c r="E479" s="123">
        <v>0</v>
      </c>
      <c r="F479" s="123">
        <v>4115122.91</v>
      </c>
    </row>
    <row r="480" spans="1:6">
      <c r="A480" s="65" t="s">
        <v>1637</v>
      </c>
      <c r="B480" s="65" t="s">
        <v>560</v>
      </c>
      <c r="C480" s="123">
        <v>0</v>
      </c>
      <c r="D480" s="123">
        <v>4115122.91</v>
      </c>
      <c r="E480" s="123">
        <v>0</v>
      </c>
      <c r="F480" s="123">
        <v>4115122.91</v>
      </c>
    </row>
    <row r="481" spans="1:6">
      <c r="A481" s="65">
        <v>770</v>
      </c>
      <c r="B481" s="65" t="s">
        <v>38</v>
      </c>
      <c r="C481" s="123">
        <v>6374244.7400000002</v>
      </c>
      <c r="D481" s="123">
        <v>780</v>
      </c>
      <c r="E481" s="123">
        <v>6373464.7400000002</v>
      </c>
      <c r="F481" s="123">
        <v>0</v>
      </c>
    </row>
    <row r="482" spans="1:6">
      <c r="A482" s="65" t="s">
        <v>1248</v>
      </c>
      <c r="B482" s="65" t="s">
        <v>788</v>
      </c>
      <c r="C482" s="123">
        <v>15916.33</v>
      </c>
      <c r="D482" s="123">
        <v>0</v>
      </c>
      <c r="E482" s="123">
        <v>15916.33</v>
      </c>
      <c r="F482" s="123">
        <v>0</v>
      </c>
    </row>
    <row r="483" spans="1:6">
      <c r="A483" s="65" t="s">
        <v>1638</v>
      </c>
      <c r="B483" s="65" t="s">
        <v>1187</v>
      </c>
      <c r="C483" s="123">
        <v>3238.56</v>
      </c>
      <c r="D483" s="123">
        <v>0</v>
      </c>
      <c r="E483" s="123">
        <v>3238.56</v>
      </c>
      <c r="F483" s="123">
        <v>0</v>
      </c>
    </row>
    <row r="484" spans="1:6">
      <c r="A484" s="65" t="s">
        <v>1639</v>
      </c>
      <c r="B484" s="65" t="s">
        <v>1543</v>
      </c>
      <c r="C484" s="123">
        <v>12677.77</v>
      </c>
      <c r="D484" s="123">
        <v>0</v>
      </c>
      <c r="E484" s="123">
        <v>12677.77</v>
      </c>
      <c r="F484" s="123">
        <v>0</v>
      </c>
    </row>
    <row r="485" spans="1:6">
      <c r="A485" s="65" t="s">
        <v>1640</v>
      </c>
      <c r="B485" s="65" t="s">
        <v>1564</v>
      </c>
      <c r="C485" s="123">
        <v>3450287.28</v>
      </c>
      <c r="D485" s="123">
        <v>0</v>
      </c>
      <c r="E485" s="123">
        <v>3450287.28</v>
      </c>
      <c r="F485" s="123">
        <v>0</v>
      </c>
    </row>
    <row r="486" spans="1:6">
      <c r="A486" s="65" t="s">
        <v>1641</v>
      </c>
      <c r="B486" s="65" t="s">
        <v>1566</v>
      </c>
      <c r="C486" s="123">
        <v>3134338.57</v>
      </c>
      <c r="D486" s="123">
        <v>0</v>
      </c>
      <c r="E486" s="123">
        <v>3134338.57</v>
      </c>
      <c r="F486" s="123">
        <v>0</v>
      </c>
    </row>
    <row r="487" spans="1:6">
      <c r="A487" s="65" t="s">
        <v>1642</v>
      </c>
      <c r="B487" s="65" t="s">
        <v>1568</v>
      </c>
      <c r="C487" s="123">
        <v>289297.07</v>
      </c>
      <c r="D487" s="123">
        <v>0</v>
      </c>
      <c r="E487" s="123">
        <v>289297.07</v>
      </c>
      <c r="F487" s="123">
        <v>0</v>
      </c>
    </row>
    <row r="488" spans="1:6">
      <c r="A488" s="65" t="s">
        <v>1643</v>
      </c>
      <c r="B488" s="65" t="s">
        <v>1570</v>
      </c>
      <c r="C488" s="123">
        <v>26651.64</v>
      </c>
      <c r="D488" s="123">
        <v>0</v>
      </c>
      <c r="E488" s="123">
        <v>26651.64</v>
      </c>
      <c r="F488" s="123">
        <v>0</v>
      </c>
    </row>
    <row r="489" spans="1:6">
      <c r="A489" s="65" t="s">
        <v>1249</v>
      </c>
      <c r="B489" s="65" t="s">
        <v>713</v>
      </c>
      <c r="C489" s="123">
        <v>424170.23999999999</v>
      </c>
      <c r="D489" s="123">
        <v>0</v>
      </c>
      <c r="E489" s="123">
        <v>424170.23999999999</v>
      </c>
      <c r="F489" s="123">
        <v>0</v>
      </c>
    </row>
    <row r="490" spans="1:6">
      <c r="A490" s="65" t="s">
        <v>1250</v>
      </c>
      <c r="B490" s="65" t="s">
        <v>714</v>
      </c>
      <c r="C490" s="123">
        <v>377515.19</v>
      </c>
      <c r="D490" s="123">
        <v>0</v>
      </c>
      <c r="E490" s="123">
        <v>377515.19</v>
      </c>
      <c r="F490" s="123">
        <v>0</v>
      </c>
    </row>
    <row r="491" spans="1:6">
      <c r="A491" s="65" t="s">
        <v>1251</v>
      </c>
      <c r="B491" s="65" t="s">
        <v>1196</v>
      </c>
      <c r="C491" s="123">
        <v>16274.87</v>
      </c>
      <c r="D491" s="123">
        <v>0</v>
      </c>
      <c r="E491" s="123">
        <v>16274.87</v>
      </c>
      <c r="F491" s="123">
        <v>0</v>
      </c>
    </row>
    <row r="492" spans="1:6">
      <c r="A492" s="65" t="s">
        <v>1252</v>
      </c>
      <c r="B492" s="65" t="s">
        <v>1197</v>
      </c>
      <c r="C492" s="123">
        <v>580.17999999999995</v>
      </c>
      <c r="D492" s="123">
        <v>0</v>
      </c>
      <c r="E492" s="123">
        <v>580.17999999999995</v>
      </c>
      <c r="F492" s="123">
        <v>0</v>
      </c>
    </row>
    <row r="493" spans="1:6">
      <c r="A493" s="65" t="s">
        <v>1253</v>
      </c>
      <c r="B493" s="65" t="s">
        <v>1198</v>
      </c>
      <c r="C493" s="123">
        <v>29800</v>
      </c>
      <c r="D493" s="123">
        <v>0</v>
      </c>
      <c r="E493" s="123">
        <v>29800</v>
      </c>
      <c r="F493" s="123">
        <v>0</v>
      </c>
    </row>
    <row r="494" spans="1:6">
      <c r="A494" s="65" t="s">
        <v>727</v>
      </c>
      <c r="B494" s="65" t="s">
        <v>715</v>
      </c>
      <c r="C494" s="123">
        <v>496549.76</v>
      </c>
      <c r="D494" s="123">
        <v>0</v>
      </c>
      <c r="E494" s="123">
        <v>496549.76</v>
      </c>
      <c r="F494" s="123">
        <v>0</v>
      </c>
    </row>
    <row r="495" spans="1:6">
      <c r="A495" s="65" t="s">
        <v>1254</v>
      </c>
      <c r="B495" s="65" t="s">
        <v>1255</v>
      </c>
      <c r="C495" s="123">
        <v>57.96</v>
      </c>
      <c r="D495" s="123">
        <v>0</v>
      </c>
      <c r="E495" s="123">
        <v>57.96</v>
      </c>
      <c r="F495" s="123">
        <v>0</v>
      </c>
    </row>
    <row r="496" spans="1:6">
      <c r="A496" s="65" t="s">
        <v>728</v>
      </c>
      <c r="B496" s="65" t="s">
        <v>729</v>
      </c>
      <c r="C496" s="123">
        <v>30919.35</v>
      </c>
      <c r="D496" s="123">
        <v>0</v>
      </c>
      <c r="E496" s="123">
        <v>30919.35</v>
      </c>
      <c r="F496" s="123">
        <v>0</v>
      </c>
    </row>
    <row r="497" spans="1:6">
      <c r="A497" s="65" t="s">
        <v>1256</v>
      </c>
      <c r="B497" s="65" t="s">
        <v>1257</v>
      </c>
      <c r="C497" s="123">
        <v>4384.05</v>
      </c>
      <c r="D497" s="123">
        <v>0</v>
      </c>
      <c r="E497" s="123">
        <v>4384.05</v>
      </c>
      <c r="F497" s="123">
        <v>0</v>
      </c>
    </row>
    <row r="498" spans="1:6">
      <c r="A498" s="65" t="s">
        <v>1644</v>
      </c>
      <c r="B498" s="65" t="s">
        <v>1594</v>
      </c>
      <c r="C498" s="123">
        <v>28939.14</v>
      </c>
      <c r="D498" s="123">
        <v>0</v>
      </c>
      <c r="E498" s="123">
        <v>28939.14</v>
      </c>
      <c r="F498" s="123">
        <v>0</v>
      </c>
    </row>
    <row r="499" spans="1:6">
      <c r="A499" s="65" t="s">
        <v>1645</v>
      </c>
      <c r="B499" s="65" t="s">
        <v>1596</v>
      </c>
      <c r="C499" s="123">
        <v>48912.22</v>
      </c>
      <c r="D499" s="123">
        <v>0</v>
      </c>
      <c r="E499" s="123">
        <v>48912.22</v>
      </c>
      <c r="F499" s="123">
        <v>0</v>
      </c>
    </row>
    <row r="500" spans="1:6">
      <c r="A500" s="65" t="s">
        <v>1258</v>
      </c>
      <c r="B500" s="65" t="s">
        <v>1200</v>
      </c>
      <c r="C500" s="123">
        <v>8959.0400000000009</v>
      </c>
      <c r="D500" s="123">
        <v>0</v>
      </c>
      <c r="E500" s="123">
        <v>8959.0400000000009</v>
      </c>
      <c r="F500" s="123">
        <v>0</v>
      </c>
    </row>
    <row r="501" spans="1:6">
      <c r="A501" s="65" t="s">
        <v>1646</v>
      </c>
      <c r="B501" s="65" t="s">
        <v>1201</v>
      </c>
      <c r="C501" s="123">
        <v>74247.12</v>
      </c>
      <c r="D501" s="123">
        <v>0</v>
      </c>
      <c r="E501" s="123">
        <v>74247.12</v>
      </c>
      <c r="F501" s="123">
        <v>0</v>
      </c>
    </row>
    <row r="502" spans="1:6">
      <c r="A502" s="65" t="s">
        <v>799</v>
      </c>
      <c r="B502" s="65" t="s">
        <v>1203</v>
      </c>
      <c r="C502" s="123">
        <v>125263.72</v>
      </c>
      <c r="D502" s="123">
        <v>0</v>
      </c>
      <c r="E502" s="123">
        <v>125263.72</v>
      </c>
      <c r="F502" s="123">
        <v>0</v>
      </c>
    </row>
    <row r="503" spans="1:6">
      <c r="A503" s="65" t="s">
        <v>1259</v>
      </c>
      <c r="B503" s="65" t="s">
        <v>1260</v>
      </c>
      <c r="C503" s="123">
        <v>1750</v>
      </c>
      <c r="D503" s="123">
        <v>0</v>
      </c>
      <c r="E503" s="123">
        <v>1750</v>
      </c>
      <c r="F503" s="123">
        <v>0</v>
      </c>
    </row>
    <row r="504" spans="1:6">
      <c r="A504" s="65" t="s">
        <v>1261</v>
      </c>
      <c r="B504" s="65" t="s">
        <v>1262</v>
      </c>
      <c r="C504" s="123">
        <v>58260</v>
      </c>
      <c r="D504" s="123">
        <v>0</v>
      </c>
      <c r="E504" s="123">
        <v>58260</v>
      </c>
      <c r="F504" s="123">
        <v>0</v>
      </c>
    </row>
    <row r="505" spans="1:6">
      <c r="A505" s="65" t="s">
        <v>1263</v>
      </c>
      <c r="B505" s="65" t="s">
        <v>1204</v>
      </c>
      <c r="C505" s="123">
        <v>8050</v>
      </c>
      <c r="D505" s="123">
        <v>0</v>
      </c>
      <c r="E505" s="123">
        <v>8050</v>
      </c>
      <c r="F505" s="123">
        <v>0</v>
      </c>
    </row>
    <row r="506" spans="1:6">
      <c r="A506" s="65" t="s">
        <v>777</v>
      </c>
      <c r="B506" s="65" t="s">
        <v>778</v>
      </c>
      <c r="C506" s="123">
        <v>116.63</v>
      </c>
      <c r="D506" s="123">
        <v>0</v>
      </c>
      <c r="E506" s="123">
        <v>116.63</v>
      </c>
      <c r="F506" s="123">
        <v>0</v>
      </c>
    </row>
    <row r="507" spans="1:6">
      <c r="A507" s="65" t="s">
        <v>1647</v>
      </c>
      <c r="B507" s="65" t="s">
        <v>1206</v>
      </c>
      <c r="C507" s="123">
        <v>21898.13</v>
      </c>
      <c r="D507" s="123">
        <v>0</v>
      </c>
      <c r="E507" s="123">
        <v>21898.13</v>
      </c>
      <c r="F507" s="123">
        <v>0</v>
      </c>
    </row>
    <row r="508" spans="1:6">
      <c r="A508" s="65" t="s">
        <v>824</v>
      </c>
      <c r="B508" s="65" t="s">
        <v>825</v>
      </c>
      <c r="C508" s="123">
        <v>30211.41</v>
      </c>
      <c r="D508" s="123">
        <v>0</v>
      </c>
      <c r="E508" s="123">
        <v>30211.41</v>
      </c>
      <c r="F508" s="123">
        <v>0</v>
      </c>
    </row>
    <row r="509" spans="1:6">
      <c r="A509" s="65" t="s">
        <v>1264</v>
      </c>
      <c r="B509" s="65" t="s">
        <v>1207</v>
      </c>
      <c r="C509" s="123">
        <v>39428.550000000003</v>
      </c>
      <c r="D509" s="123">
        <v>0</v>
      </c>
      <c r="E509" s="123">
        <v>39428.550000000003</v>
      </c>
      <c r="F509" s="123">
        <v>0</v>
      </c>
    </row>
    <row r="510" spans="1:6">
      <c r="A510" s="65" t="s">
        <v>730</v>
      </c>
      <c r="B510" s="65" t="s">
        <v>731</v>
      </c>
      <c r="C510" s="123">
        <v>14452.44</v>
      </c>
      <c r="D510" s="123">
        <v>0</v>
      </c>
      <c r="E510" s="123">
        <v>14452.44</v>
      </c>
      <c r="F510" s="123">
        <v>0</v>
      </c>
    </row>
    <row r="511" spans="1:6">
      <c r="A511" s="65" t="s">
        <v>1648</v>
      </c>
      <c r="B511" s="65" t="s">
        <v>1208</v>
      </c>
      <c r="C511" s="123">
        <v>700</v>
      </c>
      <c r="D511" s="123">
        <v>0</v>
      </c>
      <c r="E511" s="123">
        <v>700</v>
      </c>
      <c r="F511" s="123">
        <v>0</v>
      </c>
    </row>
    <row r="512" spans="1:6">
      <c r="A512" s="65" t="s">
        <v>1265</v>
      </c>
      <c r="B512" s="65" t="s">
        <v>1210</v>
      </c>
      <c r="C512" s="123">
        <v>48059.61</v>
      </c>
      <c r="D512" s="123">
        <v>0</v>
      </c>
      <c r="E512" s="123">
        <v>48059.61</v>
      </c>
      <c r="F512" s="123">
        <v>0</v>
      </c>
    </row>
    <row r="513" spans="1:6">
      <c r="A513" s="65" t="s">
        <v>1266</v>
      </c>
      <c r="B513" s="65" t="s">
        <v>1212</v>
      </c>
      <c r="C513" s="123">
        <v>37263.97</v>
      </c>
      <c r="D513" s="123">
        <v>0</v>
      </c>
      <c r="E513" s="123">
        <v>37263.97</v>
      </c>
      <c r="F513" s="123">
        <v>0</v>
      </c>
    </row>
    <row r="514" spans="1:6">
      <c r="A514" s="65" t="s">
        <v>1267</v>
      </c>
      <c r="B514" s="65" t="s">
        <v>1213</v>
      </c>
      <c r="C514" s="123">
        <v>10795.64</v>
      </c>
      <c r="D514" s="123">
        <v>0</v>
      </c>
      <c r="E514" s="123">
        <v>10795.64</v>
      </c>
      <c r="F514" s="123">
        <v>0</v>
      </c>
    </row>
    <row r="515" spans="1:6">
      <c r="A515" s="65" t="s">
        <v>732</v>
      </c>
      <c r="B515" s="65" t="s">
        <v>716</v>
      </c>
      <c r="C515" s="123">
        <v>83163.12</v>
      </c>
      <c r="D515" s="123">
        <v>780</v>
      </c>
      <c r="E515" s="123">
        <v>82383.12</v>
      </c>
      <c r="F515" s="123">
        <v>0</v>
      </c>
    </row>
    <row r="516" spans="1:6">
      <c r="A516" s="65" t="s">
        <v>1268</v>
      </c>
      <c r="B516" s="65" t="s">
        <v>1216</v>
      </c>
      <c r="C516" s="123">
        <v>18688.5</v>
      </c>
      <c r="D516" s="123">
        <v>780</v>
      </c>
      <c r="E516" s="123">
        <v>17908.5</v>
      </c>
      <c r="F516" s="123">
        <v>0</v>
      </c>
    </row>
    <row r="517" spans="1:6">
      <c r="A517" s="65" t="s">
        <v>790</v>
      </c>
      <c r="B517" s="65" t="s">
        <v>791</v>
      </c>
      <c r="C517" s="123">
        <v>22733.69</v>
      </c>
      <c r="D517" s="123">
        <v>0</v>
      </c>
      <c r="E517" s="123">
        <v>22733.69</v>
      </c>
      <c r="F517" s="123">
        <v>0</v>
      </c>
    </row>
    <row r="518" spans="1:6">
      <c r="A518" s="65" t="s">
        <v>1649</v>
      </c>
      <c r="B518" s="65" t="s">
        <v>1548</v>
      </c>
      <c r="C518" s="123">
        <v>36740.93</v>
      </c>
      <c r="D518" s="123">
        <v>0</v>
      </c>
      <c r="E518" s="123">
        <v>36740.93</v>
      </c>
      <c r="F518" s="123">
        <v>0</v>
      </c>
    </row>
    <row r="519" spans="1:6">
      <c r="A519" s="65" t="s">
        <v>1650</v>
      </c>
      <c r="B519" s="65" t="s">
        <v>1552</v>
      </c>
      <c r="C519" s="123">
        <v>5000</v>
      </c>
      <c r="D519" s="123">
        <v>0</v>
      </c>
      <c r="E519" s="123">
        <v>5000</v>
      </c>
      <c r="F519" s="123">
        <v>0</v>
      </c>
    </row>
    <row r="520" spans="1:6">
      <c r="A520" s="65" t="s">
        <v>733</v>
      </c>
      <c r="B520" s="65" t="s">
        <v>717</v>
      </c>
      <c r="C520" s="123">
        <v>349427.59</v>
      </c>
      <c r="D520" s="123">
        <v>0</v>
      </c>
      <c r="E520" s="123">
        <v>349427.59</v>
      </c>
      <c r="F520" s="123">
        <v>0</v>
      </c>
    </row>
    <row r="521" spans="1:6">
      <c r="A521" s="65" t="s">
        <v>887</v>
      </c>
      <c r="B521" s="65" t="s">
        <v>888</v>
      </c>
      <c r="C521" s="123">
        <v>84000</v>
      </c>
      <c r="D521" s="123">
        <v>0</v>
      </c>
      <c r="E521" s="123">
        <v>84000</v>
      </c>
      <c r="F521" s="123">
        <v>0</v>
      </c>
    </row>
    <row r="522" spans="1:6">
      <c r="A522" s="65" t="s">
        <v>734</v>
      </c>
      <c r="B522" s="65" t="s">
        <v>726</v>
      </c>
      <c r="C522" s="123">
        <v>251027.59</v>
      </c>
      <c r="D522" s="123">
        <v>0</v>
      </c>
      <c r="E522" s="123">
        <v>251027.59</v>
      </c>
      <c r="F522" s="123">
        <v>0</v>
      </c>
    </row>
    <row r="523" spans="1:6">
      <c r="A523" s="65" t="s">
        <v>1269</v>
      </c>
      <c r="B523" s="65" t="s">
        <v>1270</v>
      </c>
      <c r="C523" s="123">
        <v>14400</v>
      </c>
      <c r="D523" s="123">
        <v>0</v>
      </c>
      <c r="E523" s="123">
        <v>14400</v>
      </c>
      <c r="F523" s="123">
        <v>0</v>
      </c>
    </row>
    <row r="524" spans="1:6">
      <c r="A524" s="65" t="s">
        <v>735</v>
      </c>
      <c r="B524" s="65" t="s">
        <v>718</v>
      </c>
      <c r="C524" s="123">
        <v>914857.41</v>
      </c>
      <c r="D524" s="123">
        <v>0</v>
      </c>
      <c r="E524" s="123">
        <v>914857.41</v>
      </c>
      <c r="F524" s="123">
        <v>0</v>
      </c>
    </row>
    <row r="525" spans="1:6">
      <c r="A525" s="65" t="s">
        <v>736</v>
      </c>
      <c r="B525" s="65" t="s">
        <v>719</v>
      </c>
      <c r="C525" s="123">
        <v>820735</v>
      </c>
      <c r="D525" s="123">
        <v>0</v>
      </c>
      <c r="E525" s="123">
        <v>820735</v>
      </c>
      <c r="F525" s="123">
        <v>0</v>
      </c>
    </row>
    <row r="526" spans="1:6">
      <c r="A526" s="65" t="s">
        <v>1271</v>
      </c>
      <c r="B526" s="65" t="s">
        <v>737</v>
      </c>
      <c r="C526" s="123">
        <v>94122.41</v>
      </c>
      <c r="D526" s="123">
        <v>0</v>
      </c>
      <c r="E526" s="123">
        <v>94122.41</v>
      </c>
      <c r="F526" s="123">
        <v>0</v>
      </c>
    </row>
    <row r="527" spans="1:6">
      <c r="A527" s="65" t="s">
        <v>738</v>
      </c>
      <c r="B527" s="65" t="s">
        <v>720</v>
      </c>
      <c r="C527" s="123">
        <v>124591.02</v>
      </c>
      <c r="D527" s="123">
        <v>0</v>
      </c>
      <c r="E527" s="123">
        <v>124591.02</v>
      </c>
      <c r="F527" s="123">
        <v>0</v>
      </c>
    </row>
    <row r="528" spans="1:6">
      <c r="A528" s="65" t="s">
        <v>1651</v>
      </c>
      <c r="B528" s="65" t="s">
        <v>1616</v>
      </c>
      <c r="C528" s="123">
        <v>4093.67</v>
      </c>
      <c r="D528" s="123">
        <v>0</v>
      </c>
      <c r="E528" s="123">
        <v>4093.67</v>
      </c>
      <c r="F528" s="123">
        <v>0</v>
      </c>
    </row>
    <row r="529" spans="1:6">
      <c r="A529" s="65" t="s">
        <v>739</v>
      </c>
      <c r="B529" s="65" t="s">
        <v>721</v>
      </c>
      <c r="C529" s="123">
        <v>1653.78</v>
      </c>
      <c r="D529" s="123">
        <v>0</v>
      </c>
      <c r="E529" s="123">
        <v>1653.78</v>
      </c>
      <c r="F529" s="123">
        <v>0</v>
      </c>
    </row>
    <row r="530" spans="1:6">
      <c r="A530" s="65" t="s">
        <v>740</v>
      </c>
      <c r="B530" s="65" t="s">
        <v>724</v>
      </c>
      <c r="C530" s="123">
        <v>1141.57</v>
      </c>
      <c r="D530" s="123">
        <v>0</v>
      </c>
      <c r="E530" s="123">
        <v>1141.57</v>
      </c>
      <c r="F530" s="123">
        <v>0</v>
      </c>
    </row>
    <row r="531" spans="1:6">
      <c r="A531" s="65" t="s">
        <v>1652</v>
      </c>
      <c r="B531" s="65" t="s">
        <v>1620</v>
      </c>
      <c r="C531" s="123">
        <v>113285</v>
      </c>
      <c r="D531" s="123">
        <v>0</v>
      </c>
      <c r="E531" s="123">
        <v>113285</v>
      </c>
      <c r="F531" s="123">
        <v>0</v>
      </c>
    </row>
    <row r="532" spans="1:6">
      <c r="A532" s="65" t="s">
        <v>889</v>
      </c>
      <c r="B532" s="65" t="s">
        <v>886</v>
      </c>
      <c r="C532" s="123">
        <v>4417</v>
      </c>
      <c r="D532" s="123">
        <v>0</v>
      </c>
      <c r="E532" s="123">
        <v>4417</v>
      </c>
      <c r="F532" s="123">
        <v>0</v>
      </c>
    </row>
    <row r="533" spans="1:6">
      <c r="A533" s="65" t="s">
        <v>741</v>
      </c>
      <c r="B533" s="65" t="s">
        <v>742</v>
      </c>
      <c r="C533" s="123">
        <v>84347.44</v>
      </c>
      <c r="D533" s="123">
        <v>0</v>
      </c>
      <c r="E533" s="123">
        <v>84347.44</v>
      </c>
      <c r="F533" s="123">
        <v>0</v>
      </c>
    </row>
    <row r="534" spans="1:6">
      <c r="A534" s="65" t="s">
        <v>743</v>
      </c>
      <c r="B534" s="65" t="s">
        <v>744</v>
      </c>
      <c r="C534" s="123">
        <v>9424.06</v>
      </c>
      <c r="D534" s="123">
        <v>0</v>
      </c>
      <c r="E534" s="123">
        <v>9424.06</v>
      </c>
      <c r="F534" s="123">
        <v>0</v>
      </c>
    </row>
    <row r="535" spans="1:6">
      <c r="A535" s="65" t="s">
        <v>745</v>
      </c>
      <c r="B535" s="65" t="s">
        <v>746</v>
      </c>
      <c r="C535" s="123">
        <v>74923.38</v>
      </c>
      <c r="D535" s="123">
        <v>0</v>
      </c>
      <c r="E535" s="123">
        <v>74923.38</v>
      </c>
      <c r="F535" s="123">
        <v>0</v>
      </c>
    </row>
    <row r="536" spans="1:6">
      <c r="A536" s="65" t="s">
        <v>1653</v>
      </c>
      <c r="B536" s="65" t="s">
        <v>1624</v>
      </c>
      <c r="C536" s="123">
        <v>138056.62</v>
      </c>
      <c r="D536" s="123">
        <v>0</v>
      </c>
      <c r="E536" s="123">
        <v>138056.62</v>
      </c>
      <c r="F536" s="123">
        <v>0</v>
      </c>
    </row>
    <row r="537" spans="1:6">
      <c r="A537" s="65" t="s">
        <v>1654</v>
      </c>
      <c r="B537" s="65" t="s">
        <v>1630</v>
      </c>
      <c r="C537" s="123">
        <v>138056.62</v>
      </c>
      <c r="D537" s="123">
        <v>0</v>
      </c>
      <c r="E537" s="123">
        <v>138056.62</v>
      </c>
      <c r="F537" s="123">
        <v>0</v>
      </c>
    </row>
    <row r="538" spans="1:6">
      <c r="A538" s="65" t="s">
        <v>747</v>
      </c>
      <c r="B538" s="65" t="s">
        <v>722</v>
      </c>
      <c r="C538" s="123">
        <v>244818.32</v>
      </c>
      <c r="D538" s="123">
        <v>0</v>
      </c>
      <c r="E538" s="123">
        <v>244818.32</v>
      </c>
      <c r="F538" s="123">
        <v>0</v>
      </c>
    </row>
    <row r="539" spans="1:6">
      <c r="A539" s="65" t="s">
        <v>1655</v>
      </c>
      <c r="B539" s="65" t="s">
        <v>1633</v>
      </c>
      <c r="C539" s="123">
        <v>143278.38</v>
      </c>
      <c r="D539" s="123">
        <v>0</v>
      </c>
      <c r="E539" s="123">
        <v>143278.38</v>
      </c>
      <c r="F539" s="123">
        <v>0</v>
      </c>
    </row>
    <row r="540" spans="1:6">
      <c r="A540" s="65" t="s">
        <v>748</v>
      </c>
      <c r="B540" s="65" t="s">
        <v>723</v>
      </c>
      <c r="C540" s="123">
        <v>56139.51</v>
      </c>
      <c r="D540" s="123">
        <v>0</v>
      </c>
      <c r="E540" s="123">
        <v>56139.51</v>
      </c>
      <c r="F540" s="123">
        <v>0</v>
      </c>
    </row>
    <row r="541" spans="1:6">
      <c r="A541" s="65" t="s">
        <v>749</v>
      </c>
      <c r="B541" s="65" t="s">
        <v>725</v>
      </c>
      <c r="C541" s="123">
        <v>37224.480000000003</v>
      </c>
      <c r="D541" s="123">
        <v>0</v>
      </c>
      <c r="E541" s="123">
        <v>37224.480000000003</v>
      </c>
      <c r="F541" s="123">
        <v>0</v>
      </c>
    </row>
    <row r="542" spans="1:6">
      <c r="A542" s="65" t="s">
        <v>1273</v>
      </c>
      <c r="B542" s="65" t="s">
        <v>1227</v>
      </c>
      <c r="C542" s="123">
        <v>5675.94</v>
      </c>
      <c r="D542" s="123">
        <v>0</v>
      </c>
      <c r="E542" s="123">
        <v>5675.94</v>
      </c>
      <c r="F542" s="123">
        <v>0</v>
      </c>
    </row>
    <row r="543" spans="1:6">
      <c r="A543" s="65" t="s">
        <v>1656</v>
      </c>
      <c r="B543" s="65" t="s">
        <v>1562</v>
      </c>
      <c r="C543" s="123">
        <v>2500.0100000000002</v>
      </c>
      <c r="D543" s="123">
        <v>0</v>
      </c>
      <c r="E543" s="123">
        <v>2500.0100000000002</v>
      </c>
      <c r="F543" s="123">
        <v>0</v>
      </c>
    </row>
    <row r="544" spans="1:6">
      <c r="A544" s="65">
        <v>771</v>
      </c>
      <c r="B544" s="65" t="s">
        <v>561</v>
      </c>
      <c r="C544" s="123">
        <v>0</v>
      </c>
      <c r="D544" s="123">
        <v>6373464.7400000002</v>
      </c>
      <c r="E544" s="123">
        <v>0</v>
      </c>
      <c r="F544" s="123">
        <v>6373464.7400000002</v>
      </c>
    </row>
    <row r="545" spans="1:6">
      <c r="A545" s="65" t="s">
        <v>750</v>
      </c>
      <c r="B545" s="65" t="s">
        <v>561</v>
      </c>
      <c r="C545" s="123">
        <v>0</v>
      </c>
      <c r="D545" s="123">
        <v>6373464.7400000002</v>
      </c>
      <c r="E545" s="123">
        <v>0</v>
      </c>
      <c r="F545" s="123">
        <v>6373464.7400000002</v>
      </c>
    </row>
    <row r="546" spans="1:6">
      <c r="A546" s="65" t="s">
        <v>751</v>
      </c>
      <c r="B546" s="65" t="s">
        <v>561</v>
      </c>
      <c r="C546" s="123">
        <v>0</v>
      </c>
      <c r="D546" s="123">
        <v>6373464.7400000002</v>
      </c>
      <c r="E546" s="123">
        <v>0</v>
      </c>
      <c r="F546" s="123">
        <v>6373464.7400000002</v>
      </c>
    </row>
    <row r="547" spans="1:6">
      <c r="A547" s="65">
        <v>780</v>
      </c>
      <c r="B547" s="65" t="s">
        <v>39</v>
      </c>
      <c r="C547" s="123">
        <v>39194.32</v>
      </c>
      <c r="D547" s="123">
        <v>344.73</v>
      </c>
      <c r="E547" s="123">
        <v>38849.589999999997</v>
      </c>
      <c r="F547" s="123">
        <v>0</v>
      </c>
    </row>
    <row r="548" spans="1:6">
      <c r="A548" s="65" t="s">
        <v>752</v>
      </c>
      <c r="B548" s="65" t="s">
        <v>753</v>
      </c>
      <c r="C548" s="123">
        <v>39194.32</v>
      </c>
      <c r="D548" s="123">
        <v>344.73</v>
      </c>
      <c r="E548" s="123">
        <v>38849.589999999997</v>
      </c>
      <c r="F548" s="123">
        <v>0</v>
      </c>
    </row>
    <row r="549" spans="1:6">
      <c r="A549" s="65" t="s">
        <v>1657</v>
      </c>
      <c r="B549" s="65" t="s">
        <v>539</v>
      </c>
      <c r="C549" s="123">
        <v>59.97</v>
      </c>
      <c r="D549" s="123">
        <v>0</v>
      </c>
      <c r="E549" s="123">
        <v>59.97</v>
      </c>
      <c r="F549" s="123">
        <v>0</v>
      </c>
    </row>
    <row r="550" spans="1:6">
      <c r="A550" s="65" t="s">
        <v>1658</v>
      </c>
      <c r="B550" s="65" t="s">
        <v>1659</v>
      </c>
      <c r="C550" s="123">
        <v>39134.35</v>
      </c>
      <c r="D550" s="123">
        <v>344.73</v>
      </c>
      <c r="E550" s="123">
        <v>38789.620000000003</v>
      </c>
      <c r="F550" s="123">
        <v>0</v>
      </c>
    </row>
    <row r="551" spans="1:6">
      <c r="A551" s="65">
        <v>781</v>
      </c>
      <c r="B551" s="65" t="s">
        <v>40</v>
      </c>
      <c r="C551" s="123">
        <v>0</v>
      </c>
      <c r="D551" s="123">
        <v>38849.589999999997</v>
      </c>
      <c r="E551" s="123">
        <v>0</v>
      </c>
      <c r="F551" s="123">
        <v>38849.589999999997</v>
      </c>
    </row>
    <row r="552" spans="1:6">
      <c r="A552" s="65" t="s">
        <v>754</v>
      </c>
      <c r="B552" s="65" t="s">
        <v>40</v>
      </c>
      <c r="C552" s="123">
        <v>0</v>
      </c>
      <c r="D552" s="123">
        <v>38849.589999999997</v>
      </c>
      <c r="E552" s="123">
        <v>0</v>
      </c>
      <c r="F552" s="123">
        <v>38849.589999999997</v>
      </c>
    </row>
    <row r="553" spans="1:6">
      <c r="A553" s="65" t="s">
        <v>755</v>
      </c>
      <c r="B553" s="65" t="s">
        <v>756</v>
      </c>
      <c r="C553" s="123">
        <v>0</v>
      </c>
      <c r="D553" s="123">
        <v>38849.589999999997</v>
      </c>
      <c r="E553" s="123">
        <v>0</v>
      </c>
      <c r="F553" s="123">
        <v>38849.589999999997</v>
      </c>
    </row>
    <row r="554" spans="1:6">
      <c r="A554" s="65" t="s">
        <v>41</v>
      </c>
      <c r="B554" s="65"/>
      <c r="C554" s="123">
        <v>597064122.40999997</v>
      </c>
      <c r="D554" s="123">
        <v>597064122.40999997</v>
      </c>
      <c r="E554" s="123">
        <v>169416447.34</v>
      </c>
      <c r="F554" s="123">
        <v>169416447.34</v>
      </c>
    </row>
  </sheetData>
  <mergeCells count="3">
    <mergeCell ref="A1:F1"/>
    <mergeCell ref="A2:F2"/>
    <mergeCell ref="A3:F3"/>
  </mergeCells>
  <pageMargins left="0.4" right="0.36"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Y150"/>
  <sheetViews>
    <sheetView topLeftCell="A127" workbookViewId="0">
      <selection activeCell="G151" sqref="G151"/>
    </sheetView>
  </sheetViews>
  <sheetFormatPr defaultRowHeight="13.2"/>
  <cols>
    <col min="1" max="1" width="13.109375" style="37" customWidth="1"/>
    <col min="2" max="2" width="10.6640625" style="37" bestFit="1" customWidth="1"/>
    <col min="3" max="3" width="10.88671875" style="37" bestFit="1" customWidth="1"/>
    <col min="4" max="4" width="19.33203125" style="37" bestFit="1" customWidth="1"/>
    <col min="5" max="5" width="15.6640625" style="37" bestFit="1" customWidth="1"/>
    <col min="6" max="6" width="11" style="37" bestFit="1" customWidth="1"/>
    <col min="7" max="7" width="36.109375" style="37" bestFit="1" customWidth="1"/>
    <col min="8" max="8" width="10.109375" style="37" bestFit="1" customWidth="1"/>
    <col min="9" max="9" width="11.6640625" style="37" bestFit="1" customWidth="1"/>
    <col min="10" max="10" width="9.109375" style="37" bestFit="1" customWidth="1"/>
    <col min="11" max="11" width="4" style="37" bestFit="1" customWidth="1"/>
    <col min="12" max="13" width="10" style="37" bestFit="1" customWidth="1"/>
    <col min="14" max="14" width="5.44140625" style="37" bestFit="1" customWidth="1"/>
    <col min="15" max="16" width="9.88671875" style="37" bestFit="1" customWidth="1"/>
    <col min="17" max="17" width="11.44140625" style="37" bestFit="1" customWidth="1"/>
    <col min="18" max="18" width="11.5546875" style="37" bestFit="1" customWidth="1"/>
    <col min="19" max="19" width="16.5546875" style="37" bestFit="1" customWidth="1"/>
    <col min="20" max="20" width="9.21875" style="37" bestFit="1" customWidth="1"/>
    <col min="21" max="21" width="14.6640625" style="37" bestFit="1" customWidth="1"/>
    <col min="22" max="22" width="10.6640625" style="37" bestFit="1" customWidth="1"/>
    <col min="23" max="23" width="10" style="37" bestFit="1" customWidth="1"/>
    <col min="24" max="24" width="8.6640625" style="37" bestFit="1" customWidth="1"/>
    <col min="25" max="25" width="10.33203125" style="37" bestFit="1" customWidth="1"/>
    <col min="26" max="16384" width="8.88671875" style="37"/>
  </cols>
  <sheetData>
    <row r="1" spans="1:25">
      <c r="A1" s="37" t="s">
        <v>809</v>
      </c>
    </row>
    <row r="3" spans="1:25">
      <c r="A3" s="37" t="s">
        <v>593</v>
      </c>
      <c r="B3" s="37" t="s">
        <v>594</v>
      </c>
      <c r="C3" s="37" t="s">
        <v>11</v>
      </c>
      <c r="D3" s="37" t="s">
        <v>12</v>
      </c>
      <c r="E3" s="37" t="s">
        <v>595</v>
      </c>
      <c r="F3" s="37" t="s">
        <v>596</v>
      </c>
      <c r="G3" s="37" t="s">
        <v>597</v>
      </c>
      <c r="H3" s="37" t="s">
        <v>598</v>
      </c>
      <c r="I3" s="37" t="s">
        <v>599</v>
      </c>
      <c r="J3" s="37" t="s">
        <v>600</v>
      </c>
      <c r="K3" s="37" t="s">
        <v>601</v>
      </c>
      <c r="L3" s="37" t="s">
        <v>602</v>
      </c>
      <c r="M3" s="37" t="s">
        <v>603</v>
      </c>
      <c r="N3" s="37" t="s">
        <v>604</v>
      </c>
      <c r="O3" s="37" t="s">
        <v>605</v>
      </c>
      <c r="P3" s="37" t="s">
        <v>606</v>
      </c>
      <c r="Q3" s="37" t="s">
        <v>607</v>
      </c>
      <c r="R3" s="37" t="s">
        <v>608</v>
      </c>
      <c r="S3" s="37" t="s">
        <v>609</v>
      </c>
      <c r="T3" s="37" t="s">
        <v>610</v>
      </c>
      <c r="U3" s="37" t="s">
        <v>611</v>
      </c>
      <c r="V3" s="37" t="s">
        <v>1274</v>
      </c>
      <c r="W3" s="37" t="s">
        <v>612</v>
      </c>
      <c r="X3" s="37" t="s">
        <v>613</v>
      </c>
      <c r="Y3" s="37" t="s">
        <v>614</v>
      </c>
    </row>
    <row r="4" spans="1:25">
      <c r="A4" s="54">
        <v>45292</v>
      </c>
      <c r="G4" s="37" t="s">
        <v>810</v>
      </c>
      <c r="H4" s="37">
        <v>0</v>
      </c>
      <c r="I4" s="37">
        <v>0</v>
      </c>
      <c r="J4" s="37">
        <v>0</v>
      </c>
      <c r="O4" s="37">
        <v>0</v>
      </c>
      <c r="P4" s="37">
        <v>0</v>
      </c>
      <c r="Q4" s="37">
        <v>0</v>
      </c>
      <c r="R4" s="37">
        <v>0</v>
      </c>
      <c r="T4" s="37">
        <v>0</v>
      </c>
    </row>
    <row r="5" spans="1:25">
      <c r="A5" s="54">
        <v>45293</v>
      </c>
      <c r="B5" s="37" t="s">
        <v>1661</v>
      </c>
      <c r="C5" s="37" t="s">
        <v>1658</v>
      </c>
      <c r="D5" s="37" t="s">
        <v>1659</v>
      </c>
      <c r="E5" s="37" t="s">
        <v>1275</v>
      </c>
      <c r="F5" s="37" t="s">
        <v>782</v>
      </c>
      <c r="G5" s="37" t="s">
        <v>1662</v>
      </c>
      <c r="H5" s="37">
        <v>438.74</v>
      </c>
      <c r="I5" s="37">
        <v>0</v>
      </c>
      <c r="J5" s="37">
        <v>438.74</v>
      </c>
      <c r="K5" s="37" t="s">
        <v>615</v>
      </c>
      <c r="O5" s="37">
        <v>0</v>
      </c>
      <c r="P5" s="37">
        <v>0</v>
      </c>
      <c r="Q5" s="37">
        <v>0</v>
      </c>
      <c r="R5" s="37">
        <v>0</v>
      </c>
      <c r="S5" s="37" t="s">
        <v>1663</v>
      </c>
      <c r="T5" s="37">
        <v>23</v>
      </c>
      <c r="U5" s="37" t="s">
        <v>1276</v>
      </c>
      <c r="V5" s="37" t="s">
        <v>1664</v>
      </c>
    </row>
    <row r="6" spans="1:25">
      <c r="A6" s="54">
        <v>45295</v>
      </c>
      <c r="B6" s="37" t="s">
        <v>1665</v>
      </c>
      <c r="C6" s="37" t="s">
        <v>1658</v>
      </c>
      <c r="D6" s="37" t="s">
        <v>1659</v>
      </c>
      <c r="E6" s="37" t="s">
        <v>1275</v>
      </c>
      <c r="F6" s="37" t="s">
        <v>782</v>
      </c>
      <c r="G6" s="37" t="s">
        <v>1666</v>
      </c>
      <c r="H6" s="37">
        <v>0.26</v>
      </c>
      <c r="I6" s="37">
        <v>0</v>
      </c>
      <c r="J6" s="37">
        <v>439</v>
      </c>
      <c r="K6" s="37" t="s">
        <v>615</v>
      </c>
      <c r="O6" s="37">
        <v>0</v>
      </c>
      <c r="P6" s="37">
        <v>0</v>
      </c>
      <c r="Q6" s="37">
        <v>0</v>
      </c>
      <c r="R6" s="37">
        <v>0</v>
      </c>
      <c r="S6" s="37" t="s">
        <v>1667</v>
      </c>
      <c r="T6" s="37">
        <v>81</v>
      </c>
      <c r="U6" s="37" t="s">
        <v>1276</v>
      </c>
      <c r="V6" s="37" t="s">
        <v>1664</v>
      </c>
    </row>
    <row r="7" spans="1:25">
      <c r="A7" s="54">
        <v>45300</v>
      </c>
      <c r="B7" s="37" t="s">
        <v>1668</v>
      </c>
      <c r="C7" s="37" t="s">
        <v>1658</v>
      </c>
      <c r="D7" s="37" t="s">
        <v>1659</v>
      </c>
      <c r="F7" s="37" t="s">
        <v>782</v>
      </c>
      <c r="G7" s="37" t="s">
        <v>1669</v>
      </c>
      <c r="H7" s="37">
        <v>359.19</v>
      </c>
      <c r="I7" s="37">
        <v>0</v>
      </c>
      <c r="J7" s="37">
        <v>798.19</v>
      </c>
      <c r="K7" s="37" t="s">
        <v>615</v>
      </c>
      <c r="N7" s="37" t="s">
        <v>1670</v>
      </c>
      <c r="O7" s="37">
        <v>29.932700000000001</v>
      </c>
      <c r="P7" s="37">
        <v>12</v>
      </c>
      <c r="Q7" s="37">
        <v>0</v>
      </c>
      <c r="R7" s="37">
        <v>12</v>
      </c>
      <c r="S7" s="37" t="s">
        <v>1671</v>
      </c>
      <c r="T7" s="37">
        <v>190</v>
      </c>
      <c r="U7" s="37" t="s">
        <v>1276</v>
      </c>
      <c r="V7" s="37" t="s">
        <v>1664</v>
      </c>
    </row>
    <row r="8" spans="1:25">
      <c r="A8" s="54">
        <v>45310</v>
      </c>
      <c r="B8" s="37" t="s">
        <v>1672</v>
      </c>
      <c r="C8" s="37" t="s">
        <v>1658</v>
      </c>
      <c r="D8" s="37" t="s">
        <v>1659</v>
      </c>
      <c r="F8" s="37" t="s">
        <v>782</v>
      </c>
      <c r="G8" s="37" t="s">
        <v>1673</v>
      </c>
      <c r="H8" s="37">
        <v>0.26</v>
      </c>
      <c r="I8" s="37">
        <v>0</v>
      </c>
      <c r="J8" s="37">
        <v>798.45</v>
      </c>
      <c r="K8" s="37" t="s">
        <v>615</v>
      </c>
      <c r="O8" s="37">
        <v>0</v>
      </c>
      <c r="P8" s="37">
        <v>0</v>
      </c>
      <c r="Q8" s="37">
        <v>0</v>
      </c>
      <c r="R8" s="37">
        <v>12</v>
      </c>
      <c r="S8" s="37" t="s">
        <v>1674</v>
      </c>
      <c r="T8" s="37">
        <v>380</v>
      </c>
      <c r="V8" s="37" t="s">
        <v>1664</v>
      </c>
    </row>
    <row r="9" spans="1:25">
      <c r="A9" s="54">
        <v>45310</v>
      </c>
      <c r="B9" s="37" t="s">
        <v>1672</v>
      </c>
      <c r="C9" s="37" t="s">
        <v>1658</v>
      </c>
      <c r="D9" s="37" t="s">
        <v>1659</v>
      </c>
      <c r="F9" s="37" t="s">
        <v>782</v>
      </c>
      <c r="G9" s="37" t="s">
        <v>1673</v>
      </c>
      <c r="H9" s="37">
        <v>0.26</v>
      </c>
      <c r="I9" s="37">
        <v>0</v>
      </c>
      <c r="J9" s="37">
        <v>798.71</v>
      </c>
      <c r="K9" s="37" t="s">
        <v>615</v>
      </c>
      <c r="O9" s="37">
        <v>0</v>
      </c>
      <c r="P9" s="37">
        <v>0</v>
      </c>
      <c r="Q9" s="37">
        <v>0</v>
      </c>
      <c r="R9" s="37">
        <v>12</v>
      </c>
      <c r="S9" s="37" t="s">
        <v>1674</v>
      </c>
      <c r="T9" s="37">
        <v>380</v>
      </c>
      <c r="V9" s="37" t="s">
        <v>1664</v>
      </c>
    </row>
    <row r="10" spans="1:25">
      <c r="A10" s="54">
        <v>45315</v>
      </c>
      <c r="B10" s="37" t="s">
        <v>1675</v>
      </c>
      <c r="C10" s="37" t="s">
        <v>1658</v>
      </c>
      <c r="D10" s="37" t="s">
        <v>1659</v>
      </c>
      <c r="E10" s="37" t="s">
        <v>1275</v>
      </c>
      <c r="F10" s="37" t="s">
        <v>782</v>
      </c>
      <c r="G10" s="37" t="s">
        <v>1676</v>
      </c>
      <c r="H10" s="37">
        <v>394.14</v>
      </c>
      <c r="I10" s="37">
        <v>0</v>
      </c>
      <c r="J10" s="38">
        <v>1192.8499999999999</v>
      </c>
      <c r="K10" s="37" t="s">
        <v>615</v>
      </c>
      <c r="N10" s="37" t="s">
        <v>1677</v>
      </c>
      <c r="O10" s="37">
        <v>30.3184</v>
      </c>
      <c r="P10" s="37">
        <v>13</v>
      </c>
      <c r="Q10" s="37">
        <v>0</v>
      </c>
      <c r="R10" s="37">
        <v>25</v>
      </c>
      <c r="S10" s="37" t="s">
        <v>1678</v>
      </c>
      <c r="T10" s="37">
        <v>487</v>
      </c>
      <c r="U10" s="37" t="s">
        <v>1276</v>
      </c>
      <c r="V10" s="37" t="s">
        <v>1664</v>
      </c>
    </row>
    <row r="11" spans="1:25">
      <c r="A11" s="54">
        <v>45317</v>
      </c>
      <c r="B11" s="37" t="s">
        <v>1679</v>
      </c>
      <c r="C11" s="37" t="s">
        <v>1658</v>
      </c>
      <c r="D11" s="37" t="s">
        <v>1659</v>
      </c>
      <c r="E11" s="37" t="s">
        <v>1275</v>
      </c>
      <c r="F11" s="37" t="s">
        <v>782</v>
      </c>
      <c r="G11" s="37" t="s">
        <v>1680</v>
      </c>
      <c r="H11" s="37">
        <v>0.26</v>
      </c>
      <c r="I11" s="37">
        <v>0</v>
      </c>
      <c r="J11" s="38">
        <v>1193.1099999999999</v>
      </c>
      <c r="K11" s="37" t="s">
        <v>615</v>
      </c>
      <c r="O11" s="37">
        <v>0</v>
      </c>
      <c r="P11" s="37">
        <v>0</v>
      </c>
      <c r="Q11" s="37">
        <v>0</v>
      </c>
      <c r="R11" s="37">
        <v>25</v>
      </c>
      <c r="S11" s="37" t="s">
        <v>1681</v>
      </c>
      <c r="T11" s="37">
        <v>524</v>
      </c>
      <c r="U11" s="37" t="s">
        <v>1276</v>
      </c>
      <c r="V11" s="37" t="s">
        <v>1664</v>
      </c>
    </row>
    <row r="12" spans="1:25">
      <c r="A12" s="54">
        <v>45317</v>
      </c>
      <c r="B12" s="37" t="s">
        <v>1679</v>
      </c>
      <c r="C12" s="37" t="s">
        <v>1658</v>
      </c>
      <c r="D12" s="37" t="s">
        <v>1659</v>
      </c>
      <c r="E12" s="37" t="s">
        <v>1275</v>
      </c>
      <c r="F12" s="37" t="s">
        <v>782</v>
      </c>
      <c r="G12" s="37" t="s">
        <v>1680</v>
      </c>
      <c r="H12" s="37">
        <v>1.1399999999999999</v>
      </c>
      <c r="I12" s="37">
        <v>0</v>
      </c>
      <c r="J12" s="38">
        <v>1194.25</v>
      </c>
      <c r="K12" s="37" t="s">
        <v>615</v>
      </c>
      <c r="O12" s="37">
        <v>0</v>
      </c>
      <c r="P12" s="37">
        <v>0</v>
      </c>
      <c r="Q12" s="37">
        <v>0</v>
      </c>
      <c r="R12" s="37">
        <v>25</v>
      </c>
      <c r="S12" s="37" t="s">
        <v>1681</v>
      </c>
      <c r="T12" s="37">
        <v>524</v>
      </c>
      <c r="U12" s="37" t="s">
        <v>1276</v>
      </c>
      <c r="V12" s="37" t="s">
        <v>1664</v>
      </c>
    </row>
    <row r="13" spans="1:25">
      <c r="A13" s="54">
        <v>45320</v>
      </c>
      <c r="B13" s="37" t="s">
        <v>1682</v>
      </c>
      <c r="C13" s="37" t="s">
        <v>1658</v>
      </c>
      <c r="D13" s="37" t="s">
        <v>1659</v>
      </c>
      <c r="F13" s="37" t="s">
        <v>782</v>
      </c>
      <c r="G13" s="37" t="s">
        <v>1683</v>
      </c>
      <c r="H13" s="37">
        <v>590.62</v>
      </c>
      <c r="I13" s="37">
        <v>0</v>
      </c>
      <c r="J13" s="38">
        <v>1784.87</v>
      </c>
      <c r="K13" s="37" t="s">
        <v>615</v>
      </c>
      <c r="O13" s="37">
        <v>0</v>
      </c>
      <c r="P13" s="37">
        <v>0</v>
      </c>
      <c r="Q13" s="37">
        <v>0</v>
      </c>
      <c r="R13" s="37">
        <v>25</v>
      </c>
      <c r="S13" s="37" t="s">
        <v>1684</v>
      </c>
      <c r="T13" s="37">
        <v>542</v>
      </c>
      <c r="V13" s="37" t="s">
        <v>1685</v>
      </c>
    </row>
    <row r="14" spans="1:25">
      <c r="A14" s="54">
        <v>45321</v>
      </c>
      <c r="B14" s="37" t="s">
        <v>1686</v>
      </c>
      <c r="C14" s="37" t="s">
        <v>1658</v>
      </c>
      <c r="D14" s="37" t="s">
        <v>1659</v>
      </c>
      <c r="E14" s="37" t="s">
        <v>1275</v>
      </c>
      <c r="F14" s="37" t="s">
        <v>782</v>
      </c>
      <c r="G14" s="37" t="s">
        <v>1680</v>
      </c>
      <c r="H14" s="37">
        <v>30.88</v>
      </c>
      <c r="I14" s="37">
        <v>0</v>
      </c>
      <c r="J14" s="38">
        <v>1815.75</v>
      </c>
      <c r="K14" s="37" t="s">
        <v>615</v>
      </c>
      <c r="O14" s="37">
        <v>0</v>
      </c>
      <c r="P14" s="37">
        <v>0</v>
      </c>
      <c r="Q14" s="37">
        <v>0</v>
      </c>
      <c r="R14" s="37">
        <v>25</v>
      </c>
      <c r="S14" s="37" t="s">
        <v>1686</v>
      </c>
      <c r="T14" s="37">
        <v>583</v>
      </c>
      <c r="U14" s="37" t="s">
        <v>1276</v>
      </c>
      <c r="V14" s="37" t="s">
        <v>1664</v>
      </c>
    </row>
    <row r="15" spans="1:25">
      <c r="A15" s="54">
        <v>45321</v>
      </c>
      <c r="B15" s="37" t="s">
        <v>1686</v>
      </c>
      <c r="C15" s="37" t="s">
        <v>1658</v>
      </c>
      <c r="D15" s="37" t="s">
        <v>1659</v>
      </c>
      <c r="E15" s="37" t="s">
        <v>1275</v>
      </c>
      <c r="F15" s="37" t="s">
        <v>782</v>
      </c>
      <c r="G15" s="37" t="s">
        <v>1680</v>
      </c>
      <c r="H15" s="37">
        <v>30.88</v>
      </c>
      <c r="I15" s="37">
        <v>0</v>
      </c>
      <c r="J15" s="38">
        <v>1846.63</v>
      </c>
      <c r="K15" s="37" t="s">
        <v>615</v>
      </c>
      <c r="O15" s="37">
        <v>0</v>
      </c>
      <c r="P15" s="37">
        <v>0</v>
      </c>
      <c r="Q15" s="37">
        <v>0</v>
      </c>
      <c r="R15" s="37">
        <v>25</v>
      </c>
      <c r="S15" s="37" t="s">
        <v>1686</v>
      </c>
      <c r="T15" s="37">
        <v>583</v>
      </c>
      <c r="U15" s="37" t="s">
        <v>1276</v>
      </c>
      <c r="V15" s="37" t="s">
        <v>1664</v>
      </c>
    </row>
    <row r="16" spans="1:25">
      <c r="A16" s="54">
        <v>45321</v>
      </c>
      <c r="B16" s="37" t="s">
        <v>1686</v>
      </c>
      <c r="C16" s="37" t="s">
        <v>1658</v>
      </c>
      <c r="D16" s="37" t="s">
        <v>1659</v>
      </c>
      <c r="E16" s="37" t="s">
        <v>1275</v>
      </c>
      <c r="F16" s="37" t="s">
        <v>782</v>
      </c>
      <c r="G16" s="37" t="s">
        <v>1680</v>
      </c>
      <c r="H16" s="37">
        <v>30.88</v>
      </c>
      <c r="I16" s="37">
        <v>0</v>
      </c>
      <c r="J16" s="38">
        <v>1877.51</v>
      </c>
      <c r="K16" s="37" t="s">
        <v>615</v>
      </c>
      <c r="O16" s="37">
        <v>0</v>
      </c>
      <c r="P16" s="37">
        <v>0</v>
      </c>
      <c r="Q16" s="37">
        <v>0</v>
      </c>
      <c r="R16" s="37">
        <v>25</v>
      </c>
      <c r="S16" s="37" t="s">
        <v>1686</v>
      </c>
      <c r="T16" s="37">
        <v>583</v>
      </c>
      <c r="U16" s="37" t="s">
        <v>1276</v>
      </c>
      <c r="V16" s="37" t="s">
        <v>1664</v>
      </c>
    </row>
    <row r="17" spans="1:22">
      <c r="A17" s="54">
        <v>45321</v>
      </c>
      <c r="B17" s="37" t="s">
        <v>1686</v>
      </c>
      <c r="C17" s="37" t="s">
        <v>1658</v>
      </c>
      <c r="D17" s="37" t="s">
        <v>1659</v>
      </c>
      <c r="E17" s="37" t="s">
        <v>1275</v>
      </c>
      <c r="F17" s="37" t="s">
        <v>782</v>
      </c>
      <c r="G17" s="37" t="s">
        <v>1680</v>
      </c>
      <c r="H17" s="37">
        <v>30.88</v>
      </c>
      <c r="I17" s="37">
        <v>0</v>
      </c>
      <c r="J17" s="38">
        <v>1908.39</v>
      </c>
      <c r="K17" s="37" t="s">
        <v>615</v>
      </c>
      <c r="O17" s="37">
        <v>0</v>
      </c>
      <c r="P17" s="37">
        <v>0</v>
      </c>
      <c r="Q17" s="37">
        <v>0</v>
      </c>
      <c r="R17" s="37">
        <v>25</v>
      </c>
      <c r="S17" s="37" t="s">
        <v>1686</v>
      </c>
      <c r="T17" s="37">
        <v>583</v>
      </c>
      <c r="U17" s="37" t="s">
        <v>1276</v>
      </c>
      <c r="V17" s="37" t="s">
        <v>1664</v>
      </c>
    </row>
    <row r="18" spans="1:22">
      <c r="A18" s="54">
        <v>45324</v>
      </c>
      <c r="B18" s="37" t="s">
        <v>1687</v>
      </c>
      <c r="C18" s="37" t="s">
        <v>1658</v>
      </c>
      <c r="D18" s="37" t="s">
        <v>1659</v>
      </c>
      <c r="F18" s="37" t="s">
        <v>782</v>
      </c>
      <c r="G18" s="37" t="s">
        <v>1683</v>
      </c>
      <c r="H18" s="37">
        <v>183.75</v>
      </c>
      <c r="I18" s="37">
        <v>0</v>
      </c>
      <c r="J18" s="38">
        <v>2092.14</v>
      </c>
      <c r="K18" s="37" t="s">
        <v>615</v>
      </c>
      <c r="O18" s="37">
        <v>0</v>
      </c>
      <c r="P18" s="37">
        <v>0</v>
      </c>
      <c r="Q18" s="37">
        <v>0</v>
      </c>
      <c r="R18" s="37">
        <v>25</v>
      </c>
      <c r="S18" s="37" t="s">
        <v>1688</v>
      </c>
      <c r="T18" s="37">
        <v>768</v>
      </c>
      <c r="V18" s="37" t="s">
        <v>1685</v>
      </c>
    </row>
    <row r="19" spans="1:22">
      <c r="A19" s="54">
        <v>45328</v>
      </c>
      <c r="B19" s="37" t="s">
        <v>1300</v>
      </c>
      <c r="C19" s="37" t="s">
        <v>1658</v>
      </c>
      <c r="D19" s="37" t="s">
        <v>1659</v>
      </c>
      <c r="E19" s="37" t="s">
        <v>1275</v>
      </c>
      <c r="F19" s="37" t="s">
        <v>782</v>
      </c>
      <c r="G19" s="37" t="s">
        <v>1662</v>
      </c>
      <c r="H19" s="37">
        <v>572.07000000000005</v>
      </c>
      <c r="I19" s="37">
        <v>0</v>
      </c>
      <c r="J19" s="38">
        <v>2664.21</v>
      </c>
      <c r="K19" s="37" t="s">
        <v>615</v>
      </c>
      <c r="O19" s="37">
        <v>0</v>
      </c>
      <c r="P19" s="37">
        <v>0</v>
      </c>
      <c r="Q19" s="37">
        <v>0</v>
      </c>
      <c r="R19" s="37">
        <v>25</v>
      </c>
      <c r="S19" s="37" t="s">
        <v>1689</v>
      </c>
      <c r="T19" s="37">
        <v>798</v>
      </c>
      <c r="U19" s="37" t="s">
        <v>1276</v>
      </c>
      <c r="V19" s="37" t="s">
        <v>1664</v>
      </c>
    </row>
    <row r="20" spans="1:22">
      <c r="A20" s="54">
        <v>45328</v>
      </c>
      <c r="B20" s="37" t="s">
        <v>1301</v>
      </c>
      <c r="C20" s="37" t="s">
        <v>1658</v>
      </c>
      <c r="D20" s="37" t="s">
        <v>1659</v>
      </c>
      <c r="E20" s="37" t="s">
        <v>1275</v>
      </c>
      <c r="F20" s="37" t="s">
        <v>782</v>
      </c>
      <c r="G20" s="37" t="s">
        <v>1662</v>
      </c>
      <c r="H20" s="37">
        <v>28.6</v>
      </c>
      <c r="I20" s="37">
        <v>0</v>
      </c>
      <c r="J20" s="38">
        <v>2692.81</v>
      </c>
      <c r="K20" s="37" t="s">
        <v>615</v>
      </c>
      <c r="O20" s="37">
        <v>0</v>
      </c>
      <c r="P20" s="37">
        <v>0</v>
      </c>
      <c r="Q20" s="37">
        <v>0</v>
      </c>
      <c r="R20" s="37">
        <v>25</v>
      </c>
      <c r="S20" s="37" t="s">
        <v>838</v>
      </c>
      <c r="T20" s="37">
        <v>799</v>
      </c>
      <c r="U20" s="37" t="s">
        <v>1276</v>
      </c>
      <c r="V20" s="37" t="s">
        <v>1664</v>
      </c>
    </row>
    <row r="21" spans="1:22">
      <c r="A21" s="54">
        <v>45335</v>
      </c>
      <c r="B21" s="37" t="s">
        <v>1690</v>
      </c>
      <c r="C21" s="37" t="s">
        <v>1658</v>
      </c>
      <c r="D21" s="37" t="s">
        <v>1659</v>
      </c>
      <c r="F21" s="37" t="s">
        <v>782</v>
      </c>
      <c r="G21" s="37" t="s">
        <v>1691</v>
      </c>
      <c r="H21" s="38">
        <v>1325.34</v>
      </c>
      <c r="I21" s="37">
        <v>0</v>
      </c>
      <c r="J21" s="38">
        <v>4018.15</v>
      </c>
      <c r="K21" s="37" t="s">
        <v>615</v>
      </c>
      <c r="N21" s="37" t="s">
        <v>811</v>
      </c>
      <c r="O21" s="37">
        <v>33.133499999999998</v>
      </c>
      <c r="P21" s="37">
        <v>40</v>
      </c>
      <c r="Q21" s="37">
        <v>0</v>
      </c>
      <c r="R21" s="37">
        <v>65</v>
      </c>
      <c r="S21" s="37" t="s">
        <v>1692</v>
      </c>
      <c r="T21" s="37">
        <v>949</v>
      </c>
      <c r="V21" s="37" t="s">
        <v>1664</v>
      </c>
    </row>
    <row r="22" spans="1:22">
      <c r="A22" s="54">
        <v>45345</v>
      </c>
      <c r="B22" s="37" t="s">
        <v>1693</v>
      </c>
      <c r="C22" s="37" t="s">
        <v>1658</v>
      </c>
      <c r="D22" s="37" t="s">
        <v>1659</v>
      </c>
      <c r="F22" s="37" t="s">
        <v>782</v>
      </c>
      <c r="G22" s="37" t="s">
        <v>1673</v>
      </c>
      <c r="H22" s="37">
        <v>0.26</v>
      </c>
      <c r="I22" s="37">
        <v>0</v>
      </c>
      <c r="J22" s="38">
        <v>4018.41</v>
      </c>
      <c r="K22" s="37" t="s">
        <v>615</v>
      </c>
      <c r="O22" s="37">
        <v>0</v>
      </c>
      <c r="P22" s="37">
        <v>0</v>
      </c>
      <c r="Q22" s="37">
        <v>0</v>
      </c>
      <c r="R22" s="37">
        <v>65</v>
      </c>
      <c r="S22" s="37" t="s">
        <v>1694</v>
      </c>
      <c r="T22" s="37">
        <v>1128</v>
      </c>
      <c r="V22" s="37" t="s">
        <v>1664</v>
      </c>
    </row>
    <row r="23" spans="1:22">
      <c r="A23" s="54">
        <v>45345</v>
      </c>
      <c r="B23" s="37" t="s">
        <v>1693</v>
      </c>
      <c r="C23" s="37" t="s">
        <v>1658</v>
      </c>
      <c r="D23" s="37" t="s">
        <v>1659</v>
      </c>
      <c r="F23" s="37" t="s">
        <v>782</v>
      </c>
      <c r="G23" s="37" t="s">
        <v>1673</v>
      </c>
      <c r="H23" s="37">
        <v>0.26</v>
      </c>
      <c r="I23" s="37">
        <v>0</v>
      </c>
      <c r="J23" s="38">
        <v>4018.67</v>
      </c>
      <c r="K23" s="37" t="s">
        <v>615</v>
      </c>
      <c r="O23" s="37">
        <v>0</v>
      </c>
      <c r="P23" s="37">
        <v>0</v>
      </c>
      <c r="Q23" s="37">
        <v>0</v>
      </c>
      <c r="R23" s="37">
        <v>65</v>
      </c>
      <c r="S23" s="37" t="s">
        <v>1694</v>
      </c>
      <c r="T23" s="37">
        <v>1128</v>
      </c>
      <c r="V23" s="37" t="s">
        <v>1664</v>
      </c>
    </row>
    <row r="24" spans="1:22">
      <c r="A24" s="54">
        <v>45345</v>
      </c>
      <c r="B24" s="37" t="s">
        <v>1693</v>
      </c>
      <c r="C24" s="37" t="s">
        <v>1658</v>
      </c>
      <c r="D24" s="37" t="s">
        <v>1659</v>
      </c>
      <c r="F24" s="37" t="s">
        <v>782</v>
      </c>
      <c r="G24" s="37" t="s">
        <v>1673</v>
      </c>
      <c r="H24" s="37">
        <v>0.26</v>
      </c>
      <c r="I24" s="37">
        <v>0</v>
      </c>
      <c r="J24" s="38">
        <v>4018.93</v>
      </c>
      <c r="K24" s="37" t="s">
        <v>615</v>
      </c>
      <c r="O24" s="37">
        <v>0</v>
      </c>
      <c r="P24" s="37">
        <v>0</v>
      </c>
      <c r="Q24" s="37">
        <v>0</v>
      </c>
      <c r="R24" s="37">
        <v>65</v>
      </c>
      <c r="S24" s="37" t="s">
        <v>1694</v>
      </c>
      <c r="T24" s="37">
        <v>1128</v>
      </c>
      <c r="V24" s="37" t="s">
        <v>1664</v>
      </c>
    </row>
    <row r="25" spans="1:22">
      <c r="A25" s="54">
        <v>45345</v>
      </c>
      <c r="B25" s="37" t="s">
        <v>1693</v>
      </c>
      <c r="C25" s="37" t="s">
        <v>1658</v>
      </c>
      <c r="D25" s="37" t="s">
        <v>1659</v>
      </c>
      <c r="F25" s="37" t="s">
        <v>782</v>
      </c>
      <c r="G25" s="37" t="s">
        <v>1673</v>
      </c>
      <c r="H25" s="37">
        <v>0.26</v>
      </c>
      <c r="I25" s="37">
        <v>0</v>
      </c>
      <c r="J25" s="38">
        <v>4019.19</v>
      </c>
      <c r="K25" s="37" t="s">
        <v>615</v>
      </c>
      <c r="O25" s="37">
        <v>0</v>
      </c>
      <c r="P25" s="37">
        <v>0</v>
      </c>
      <c r="Q25" s="37">
        <v>0</v>
      </c>
      <c r="R25" s="37">
        <v>65</v>
      </c>
      <c r="S25" s="37" t="s">
        <v>1694</v>
      </c>
      <c r="T25" s="37">
        <v>1128</v>
      </c>
      <c r="V25" s="37" t="s">
        <v>1664</v>
      </c>
    </row>
    <row r="26" spans="1:22">
      <c r="A26" s="54">
        <v>45345</v>
      </c>
      <c r="B26" s="37" t="s">
        <v>1693</v>
      </c>
      <c r="C26" s="37" t="s">
        <v>1658</v>
      </c>
      <c r="D26" s="37" t="s">
        <v>1659</v>
      </c>
      <c r="F26" s="37" t="s">
        <v>782</v>
      </c>
      <c r="G26" s="37" t="s">
        <v>1673</v>
      </c>
      <c r="H26" s="37">
        <v>0.26</v>
      </c>
      <c r="I26" s="37">
        <v>0</v>
      </c>
      <c r="J26" s="38">
        <v>4019.45</v>
      </c>
      <c r="K26" s="37" t="s">
        <v>615</v>
      </c>
      <c r="O26" s="37">
        <v>0</v>
      </c>
      <c r="P26" s="37">
        <v>0</v>
      </c>
      <c r="Q26" s="37">
        <v>0</v>
      </c>
      <c r="R26" s="37">
        <v>65</v>
      </c>
      <c r="S26" s="37" t="s">
        <v>1694</v>
      </c>
      <c r="T26" s="37">
        <v>1128</v>
      </c>
      <c r="V26" s="37" t="s">
        <v>1664</v>
      </c>
    </row>
    <row r="27" spans="1:22">
      <c r="A27" s="54">
        <v>45345</v>
      </c>
      <c r="B27" s="37" t="s">
        <v>1693</v>
      </c>
      <c r="C27" s="37" t="s">
        <v>1658</v>
      </c>
      <c r="D27" s="37" t="s">
        <v>1659</v>
      </c>
      <c r="F27" s="37" t="s">
        <v>782</v>
      </c>
      <c r="G27" s="37" t="s">
        <v>1673</v>
      </c>
      <c r="H27" s="37">
        <v>0.26</v>
      </c>
      <c r="I27" s="37">
        <v>0</v>
      </c>
      <c r="J27" s="38">
        <v>4019.71</v>
      </c>
      <c r="K27" s="37" t="s">
        <v>615</v>
      </c>
      <c r="O27" s="37">
        <v>0</v>
      </c>
      <c r="P27" s="37">
        <v>0</v>
      </c>
      <c r="Q27" s="37">
        <v>0</v>
      </c>
      <c r="R27" s="37">
        <v>65</v>
      </c>
      <c r="S27" s="37" t="s">
        <v>1694</v>
      </c>
      <c r="T27" s="37">
        <v>1128</v>
      </c>
      <c r="V27" s="37" t="s">
        <v>1664</v>
      </c>
    </row>
    <row r="28" spans="1:22">
      <c r="A28" s="54">
        <v>45345</v>
      </c>
      <c r="B28" s="37" t="s">
        <v>1693</v>
      </c>
      <c r="C28" s="37" t="s">
        <v>1658</v>
      </c>
      <c r="D28" s="37" t="s">
        <v>1659</v>
      </c>
      <c r="F28" s="37" t="s">
        <v>782</v>
      </c>
      <c r="G28" s="37" t="s">
        <v>1673</v>
      </c>
      <c r="H28" s="37">
        <v>0.26</v>
      </c>
      <c r="I28" s="37">
        <v>0</v>
      </c>
      <c r="J28" s="38">
        <v>4019.97</v>
      </c>
      <c r="K28" s="37" t="s">
        <v>615</v>
      </c>
      <c r="O28" s="37">
        <v>0</v>
      </c>
      <c r="P28" s="37">
        <v>0</v>
      </c>
      <c r="Q28" s="37">
        <v>0</v>
      </c>
      <c r="R28" s="37">
        <v>65</v>
      </c>
      <c r="S28" s="37" t="s">
        <v>1694</v>
      </c>
      <c r="T28" s="37">
        <v>1128</v>
      </c>
      <c r="V28" s="37" t="s">
        <v>1664</v>
      </c>
    </row>
    <row r="29" spans="1:22">
      <c r="A29" s="54">
        <v>45345</v>
      </c>
      <c r="B29" s="37" t="s">
        <v>1693</v>
      </c>
      <c r="C29" s="37" t="s">
        <v>1658</v>
      </c>
      <c r="D29" s="37" t="s">
        <v>1659</v>
      </c>
      <c r="F29" s="37" t="s">
        <v>782</v>
      </c>
      <c r="G29" s="37" t="s">
        <v>1673</v>
      </c>
      <c r="H29" s="37">
        <v>0.26</v>
      </c>
      <c r="I29" s="37">
        <v>0</v>
      </c>
      <c r="J29" s="38">
        <v>4020.23</v>
      </c>
      <c r="K29" s="37" t="s">
        <v>615</v>
      </c>
      <c r="O29" s="37">
        <v>0</v>
      </c>
      <c r="P29" s="37">
        <v>0</v>
      </c>
      <c r="Q29" s="37">
        <v>0</v>
      </c>
      <c r="R29" s="37">
        <v>65</v>
      </c>
      <c r="S29" s="37" t="s">
        <v>1694</v>
      </c>
      <c r="T29" s="37">
        <v>1128</v>
      </c>
      <c r="V29" s="37" t="s">
        <v>1664</v>
      </c>
    </row>
    <row r="30" spans="1:22">
      <c r="A30" s="54">
        <v>45345</v>
      </c>
      <c r="B30" s="37" t="s">
        <v>1693</v>
      </c>
      <c r="C30" s="37" t="s">
        <v>1658</v>
      </c>
      <c r="D30" s="37" t="s">
        <v>1659</v>
      </c>
      <c r="F30" s="37" t="s">
        <v>782</v>
      </c>
      <c r="G30" s="37" t="s">
        <v>1673</v>
      </c>
      <c r="H30" s="37">
        <v>0.26</v>
      </c>
      <c r="I30" s="37">
        <v>0</v>
      </c>
      <c r="J30" s="38">
        <v>4020.49</v>
      </c>
      <c r="K30" s="37" t="s">
        <v>615</v>
      </c>
      <c r="O30" s="37">
        <v>0</v>
      </c>
      <c r="P30" s="37">
        <v>0</v>
      </c>
      <c r="Q30" s="37">
        <v>0</v>
      </c>
      <c r="R30" s="37">
        <v>65</v>
      </c>
      <c r="S30" s="37" t="s">
        <v>1694</v>
      </c>
      <c r="T30" s="37">
        <v>1128</v>
      </c>
      <c r="V30" s="37" t="s">
        <v>1664</v>
      </c>
    </row>
    <row r="31" spans="1:22">
      <c r="A31" s="54">
        <v>45345</v>
      </c>
      <c r="B31" s="37" t="s">
        <v>1693</v>
      </c>
      <c r="C31" s="37" t="s">
        <v>1658</v>
      </c>
      <c r="D31" s="37" t="s">
        <v>1659</v>
      </c>
      <c r="F31" s="37" t="s">
        <v>782</v>
      </c>
      <c r="G31" s="37" t="s">
        <v>1673</v>
      </c>
      <c r="H31" s="37">
        <v>0.26</v>
      </c>
      <c r="I31" s="37">
        <v>0</v>
      </c>
      <c r="J31" s="38">
        <v>4020.75</v>
      </c>
      <c r="K31" s="37" t="s">
        <v>615</v>
      </c>
      <c r="O31" s="37">
        <v>0</v>
      </c>
      <c r="P31" s="37">
        <v>0</v>
      </c>
      <c r="Q31" s="37">
        <v>0</v>
      </c>
      <c r="R31" s="37">
        <v>65</v>
      </c>
      <c r="S31" s="37" t="s">
        <v>1694</v>
      </c>
      <c r="T31" s="37">
        <v>1128</v>
      </c>
      <c r="V31" s="37" t="s">
        <v>1664</v>
      </c>
    </row>
    <row r="32" spans="1:22">
      <c r="A32" s="54">
        <v>45345</v>
      </c>
      <c r="B32" s="37" t="s">
        <v>1693</v>
      </c>
      <c r="C32" s="37" t="s">
        <v>1658</v>
      </c>
      <c r="D32" s="37" t="s">
        <v>1659</v>
      </c>
      <c r="F32" s="37" t="s">
        <v>782</v>
      </c>
      <c r="G32" s="37" t="s">
        <v>1673</v>
      </c>
      <c r="H32" s="37">
        <v>0.26</v>
      </c>
      <c r="I32" s="37">
        <v>0</v>
      </c>
      <c r="J32" s="38">
        <v>4021.01</v>
      </c>
      <c r="K32" s="37" t="s">
        <v>615</v>
      </c>
      <c r="O32" s="37">
        <v>0</v>
      </c>
      <c r="P32" s="37">
        <v>0</v>
      </c>
      <c r="Q32" s="37">
        <v>0</v>
      </c>
      <c r="R32" s="37">
        <v>65</v>
      </c>
      <c r="S32" s="37" t="s">
        <v>1694</v>
      </c>
      <c r="T32" s="37">
        <v>1128</v>
      </c>
      <c r="V32" s="37" t="s">
        <v>1664</v>
      </c>
    </row>
    <row r="33" spans="1:22">
      <c r="A33" s="54">
        <v>45345</v>
      </c>
      <c r="B33" s="37" t="s">
        <v>1693</v>
      </c>
      <c r="C33" s="37" t="s">
        <v>1658</v>
      </c>
      <c r="D33" s="37" t="s">
        <v>1659</v>
      </c>
      <c r="F33" s="37" t="s">
        <v>782</v>
      </c>
      <c r="G33" s="37" t="s">
        <v>1673</v>
      </c>
      <c r="H33" s="37">
        <v>0.26</v>
      </c>
      <c r="I33" s="37">
        <v>0</v>
      </c>
      <c r="J33" s="38">
        <v>4021.27</v>
      </c>
      <c r="K33" s="37" t="s">
        <v>615</v>
      </c>
      <c r="O33" s="37">
        <v>0</v>
      </c>
      <c r="P33" s="37">
        <v>0</v>
      </c>
      <c r="Q33" s="37">
        <v>0</v>
      </c>
      <c r="R33" s="37">
        <v>65</v>
      </c>
      <c r="S33" s="37" t="s">
        <v>1694</v>
      </c>
      <c r="T33" s="37">
        <v>1128</v>
      </c>
      <c r="V33" s="37" t="s">
        <v>1664</v>
      </c>
    </row>
    <row r="34" spans="1:22">
      <c r="A34" s="54">
        <v>45345</v>
      </c>
      <c r="B34" s="37" t="s">
        <v>1695</v>
      </c>
      <c r="C34" s="37" t="s">
        <v>1658</v>
      </c>
      <c r="D34" s="37" t="s">
        <v>1659</v>
      </c>
      <c r="F34" s="37" t="s">
        <v>782</v>
      </c>
      <c r="G34" s="37" t="s">
        <v>1696</v>
      </c>
      <c r="H34" s="37">
        <v>0.28000000000000003</v>
      </c>
      <c r="I34" s="37">
        <v>0</v>
      </c>
      <c r="J34" s="38">
        <v>4021.55</v>
      </c>
      <c r="K34" s="37" t="s">
        <v>615</v>
      </c>
      <c r="O34" s="37">
        <v>0</v>
      </c>
      <c r="P34" s="37">
        <v>0</v>
      </c>
      <c r="Q34" s="37">
        <v>0</v>
      </c>
      <c r="R34" s="37">
        <v>65</v>
      </c>
      <c r="S34" s="37" t="s">
        <v>1697</v>
      </c>
      <c r="T34" s="37">
        <v>1143</v>
      </c>
      <c r="V34" s="37" t="s">
        <v>1664</v>
      </c>
    </row>
    <row r="35" spans="1:22">
      <c r="A35" s="54">
        <v>45345</v>
      </c>
      <c r="B35" s="37" t="s">
        <v>1698</v>
      </c>
      <c r="C35" s="37" t="s">
        <v>1658</v>
      </c>
      <c r="D35" s="37" t="s">
        <v>1659</v>
      </c>
      <c r="F35" s="37" t="s">
        <v>782</v>
      </c>
      <c r="G35" s="37" t="s">
        <v>1662</v>
      </c>
      <c r="H35" s="37">
        <v>0.28999999999999998</v>
      </c>
      <c r="I35" s="37">
        <v>0</v>
      </c>
      <c r="J35" s="38">
        <v>4021.84</v>
      </c>
      <c r="K35" s="37" t="s">
        <v>615</v>
      </c>
      <c r="O35" s="37">
        <v>0</v>
      </c>
      <c r="P35" s="37">
        <v>0</v>
      </c>
      <c r="Q35" s="37">
        <v>0</v>
      </c>
      <c r="R35" s="37">
        <v>65</v>
      </c>
      <c r="S35" s="37" t="s">
        <v>1695</v>
      </c>
      <c r="T35" s="37">
        <v>1144</v>
      </c>
      <c r="V35" s="37" t="s">
        <v>1664</v>
      </c>
    </row>
    <row r="36" spans="1:22">
      <c r="A36" s="54">
        <v>45345</v>
      </c>
      <c r="B36" s="37" t="s">
        <v>1699</v>
      </c>
      <c r="C36" s="37" t="s">
        <v>1658</v>
      </c>
      <c r="D36" s="37" t="s">
        <v>1659</v>
      </c>
      <c r="F36" s="37" t="s">
        <v>782</v>
      </c>
      <c r="G36" s="37" t="s">
        <v>1662</v>
      </c>
      <c r="H36" s="37">
        <v>0.42</v>
      </c>
      <c r="I36" s="37">
        <v>0</v>
      </c>
      <c r="J36" s="38">
        <v>4022.26</v>
      </c>
      <c r="K36" s="37" t="s">
        <v>615</v>
      </c>
      <c r="O36" s="37">
        <v>0</v>
      </c>
      <c r="P36" s="37">
        <v>0</v>
      </c>
      <c r="Q36" s="37">
        <v>0</v>
      </c>
      <c r="R36" s="37">
        <v>65</v>
      </c>
      <c r="S36" s="37" t="s">
        <v>1698</v>
      </c>
      <c r="T36" s="37">
        <v>1146</v>
      </c>
      <c r="V36" s="37" t="s">
        <v>1664</v>
      </c>
    </row>
    <row r="37" spans="1:22">
      <c r="A37" s="54">
        <v>45345</v>
      </c>
      <c r="B37" s="37" t="s">
        <v>1700</v>
      </c>
      <c r="C37" s="37" t="s">
        <v>1658</v>
      </c>
      <c r="D37" s="37" t="s">
        <v>1659</v>
      </c>
      <c r="F37" s="37" t="s">
        <v>782</v>
      </c>
      <c r="G37" s="37" t="s">
        <v>1662</v>
      </c>
      <c r="H37" s="37">
        <v>0.51</v>
      </c>
      <c r="I37" s="37">
        <v>0</v>
      </c>
      <c r="J37" s="38">
        <v>4022.77</v>
      </c>
      <c r="K37" s="37" t="s">
        <v>615</v>
      </c>
      <c r="O37" s="37">
        <v>0</v>
      </c>
      <c r="P37" s="37">
        <v>0</v>
      </c>
      <c r="Q37" s="37">
        <v>0</v>
      </c>
      <c r="R37" s="37">
        <v>65</v>
      </c>
      <c r="S37" s="37" t="s">
        <v>1701</v>
      </c>
      <c r="T37" s="37">
        <v>1147</v>
      </c>
      <c r="V37" s="37" t="s">
        <v>1664</v>
      </c>
    </row>
    <row r="38" spans="1:22">
      <c r="A38" s="54">
        <v>45345</v>
      </c>
      <c r="B38" s="37" t="s">
        <v>1702</v>
      </c>
      <c r="C38" s="37" t="s">
        <v>1658</v>
      </c>
      <c r="D38" s="37" t="s">
        <v>1659</v>
      </c>
      <c r="F38" s="37" t="s">
        <v>782</v>
      </c>
      <c r="G38" s="37" t="s">
        <v>1662</v>
      </c>
      <c r="H38" s="37">
        <v>0.53</v>
      </c>
      <c r="I38" s="37">
        <v>0</v>
      </c>
      <c r="J38" s="38">
        <v>4023.3</v>
      </c>
      <c r="K38" s="37" t="s">
        <v>615</v>
      </c>
      <c r="O38" s="37">
        <v>0</v>
      </c>
      <c r="P38" s="37">
        <v>0</v>
      </c>
      <c r="Q38" s="37">
        <v>0</v>
      </c>
      <c r="R38" s="37">
        <v>65</v>
      </c>
      <c r="S38" s="37" t="s">
        <v>1699</v>
      </c>
      <c r="T38" s="37">
        <v>1148</v>
      </c>
      <c r="V38" s="37" t="s">
        <v>1664</v>
      </c>
    </row>
    <row r="39" spans="1:22">
      <c r="A39" s="54">
        <v>45345</v>
      </c>
      <c r="B39" s="37" t="s">
        <v>1703</v>
      </c>
      <c r="C39" s="37" t="s">
        <v>1658</v>
      </c>
      <c r="D39" s="37" t="s">
        <v>1659</v>
      </c>
      <c r="F39" s="37" t="s">
        <v>782</v>
      </c>
      <c r="G39" s="37" t="s">
        <v>1662</v>
      </c>
      <c r="H39" s="37">
        <v>0.53</v>
      </c>
      <c r="I39" s="37">
        <v>0</v>
      </c>
      <c r="J39" s="38">
        <v>4023.83</v>
      </c>
      <c r="K39" s="37" t="s">
        <v>615</v>
      </c>
      <c r="O39" s="37">
        <v>0</v>
      </c>
      <c r="P39" s="37">
        <v>0</v>
      </c>
      <c r="Q39" s="37">
        <v>0</v>
      </c>
      <c r="R39" s="37">
        <v>65</v>
      </c>
      <c r="S39" s="37" t="s">
        <v>1700</v>
      </c>
      <c r="T39" s="37">
        <v>1150</v>
      </c>
      <c r="V39" s="37" t="s">
        <v>1664</v>
      </c>
    </row>
    <row r="40" spans="1:22">
      <c r="A40" s="54">
        <v>45345</v>
      </c>
      <c r="B40" s="37" t="s">
        <v>1704</v>
      </c>
      <c r="C40" s="37" t="s">
        <v>1658</v>
      </c>
      <c r="D40" s="37" t="s">
        <v>1659</v>
      </c>
      <c r="F40" s="37" t="s">
        <v>782</v>
      </c>
      <c r="G40" s="37" t="s">
        <v>1662</v>
      </c>
      <c r="H40" s="37">
        <v>0.26</v>
      </c>
      <c r="I40" s="37">
        <v>0</v>
      </c>
      <c r="J40" s="38">
        <v>4024.09</v>
      </c>
      <c r="K40" s="37" t="s">
        <v>615</v>
      </c>
      <c r="O40" s="37">
        <v>0</v>
      </c>
      <c r="P40" s="37">
        <v>0</v>
      </c>
      <c r="Q40" s="37">
        <v>0</v>
      </c>
      <c r="R40" s="37">
        <v>65</v>
      </c>
      <c r="S40" s="37" t="s">
        <v>1705</v>
      </c>
      <c r="T40" s="37">
        <v>1153</v>
      </c>
      <c r="V40" s="37" t="s">
        <v>1664</v>
      </c>
    </row>
    <row r="41" spans="1:22">
      <c r="A41" s="54">
        <v>45345</v>
      </c>
      <c r="B41" s="37" t="s">
        <v>1706</v>
      </c>
      <c r="C41" s="37" t="s">
        <v>1658</v>
      </c>
      <c r="D41" s="37" t="s">
        <v>1659</v>
      </c>
      <c r="F41" s="37" t="s">
        <v>782</v>
      </c>
      <c r="G41" s="37" t="s">
        <v>1662</v>
      </c>
      <c r="H41" s="37">
        <v>0.26</v>
      </c>
      <c r="I41" s="37">
        <v>0</v>
      </c>
      <c r="J41" s="38">
        <v>4024.35</v>
      </c>
      <c r="K41" s="37" t="s">
        <v>615</v>
      </c>
      <c r="O41" s="37">
        <v>0</v>
      </c>
      <c r="P41" s="37">
        <v>0</v>
      </c>
      <c r="Q41" s="37">
        <v>0</v>
      </c>
      <c r="R41" s="37">
        <v>65</v>
      </c>
      <c r="S41" s="37" t="s">
        <v>1703</v>
      </c>
      <c r="T41" s="37">
        <v>1154</v>
      </c>
      <c r="V41" s="37" t="s">
        <v>1664</v>
      </c>
    </row>
    <row r="42" spans="1:22">
      <c r="A42" s="54">
        <v>45345</v>
      </c>
      <c r="B42" s="37" t="s">
        <v>1707</v>
      </c>
      <c r="C42" s="37" t="s">
        <v>1658</v>
      </c>
      <c r="D42" s="37" t="s">
        <v>1659</v>
      </c>
      <c r="F42" s="37" t="s">
        <v>782</v>
      </c>
      <c r="G42" s="37" t="s">
        <v>1662</v>
      </c>
      <c r="H42" s="37">
        <v>0.89</v>
      </c>
      <c r="I42" s="37">
        <v>0</v>
      </c>
      <c r="J42" s="38">
        <v>4025.24</v>
      </c>
      <c r="K42" s="37" t="s">
        <v>615</v>
      </c>
      <c r="O42" s="37">
        <v>0</v>
      </c>
      <c r="P42" s="37">
        <v>0</v>
      </c>
      <c r="Q42" s="37">
        <v>0</v>
      </c>
      <c r="R42" s="37">
        <v>65</v>
      </c>
      <c r="S42" s="37" t="s">
        <v>1704</v>
      </c>
      <c r="T42" s="37">
        <v>1157</v>
      </c>
      <c r="V42" s="37" t="s">
        <v>1664</v>
      </c>
    </row>
    <row r="43" spans="1:22">
      <c r="A43" s="54">
        <v>45345</v>
      </c>
      <c r="B43" s="37" t="s">
        <v>1708</v>
      </c>
      <c r="C43" s="37" t="s">
        <v>1658</v>
      </c>
      <c r="D43" s="37" t="s">
        <v>1659</v>
      </c>
      <c r="F43" s="37" t="s">
        <v>782</v>
      </c>
      <c r="G43" s="37" t="s">
        <v>1662</v>
      </c>
      <c r="H43" s="37">
        <v>1.2</v>
      </c>
      <c r="I43" s="37">
        <v>0</v>
      </c>
      <c r="J43" s="38">
        <v>4026.44</v>
      </c>
      <c r="K43" s="37" t="s">
        <v>615</v>
      </c>
      <c r="O43" s="37">
        <v>0</v>
      </c>
      <c r="P43" s="37">
        <v>0</v>
      </c>
      <c r="Q43" s="37">
        <v>0</v>
      </c>
      <c r="R43" s="37">
        <v>65</v>
      </c>
      <c r="S43" s="37" t="s">
        <v>1706</v>
      </c>
      <c r="T43" s="37">
        <v>1158</v>
      </c>
      <c r="V43" s="37" t="s">
        <v>1664</v>
      </c>
    </row>
    <row r="44" spans="1:22">
      <c r="A44" s="54">
        <v>45345</v>
      </c>
      <c r="B44" s="37" t="s">
        <v>1709</v>
      </c>
      <c r="C44" s="37" t="s">
        <v>1658</v>
      </c>
      <c r="D44" s="37" t="s">
        <v>1659</v>
      </c>
      <c r="F44" s="37" t="s">
        <v>782</v>
      </c>
      <c r="G44" s="37" t="s">
        <v>1662</v>
      </c>
      <c r="H44" s="37">
        <v>0.26</v>
      </c>
      <c r="I44" s="37">
        <v>0</v>
      </c>
      <c r="J44" s="38">
        <v>4026.7</v>
      </c>
      <c r="K44" s="37" t="s">
        <v>615</v>
      </c>
      <c r="O44" s="37">
        <v>0</v>
      </c>
      <c r="P44" s="37">
        <v>0</v>
      </c>
      <c r="Q44" s="37">
        <v>0</v>
      </c>
      <c r="R44" s="37">
        <v>65</v>
      </c>
      <c r="S44" s="37" t="s">
        <v>1710</v>
      </c>
      <c r="T44" s="37">
        <v>1159</v>
      </c>
      <c r="V44" s="37" t="s">
        <v>1664</v>
      </c>
    </row>
    <row r="45" spans="1:22">
      <c r="A45" s="54">
        <v>45345</v>
      </c>
      <c r="B45" s="37" t="s">
        <v>1711</v>
      </c>
      <c r="C45" s="37" t="s">
        <v>1658</v>
      </c>
      <c r="D45" s="37" t="s">
        <v>1659</v>
      </c>
      <c r="F45" s="37" t="s">
        <v>782</v>
      </c>
      <c r="G45" s="37" t="s">
        <v>1662</v>
      </c>
      <c r="H45" s="37">
        <v>0.26</v>
      </c>
      <c r="I45" s="37">
        <v>0</v>
      </c>
      <c r="J45" s="38">
        <v>4026.96</v>
      </c>
      <c r="K45" s="37" t="s">
        <v>615</v>
      </c>
      <c r="O45" s="37">
        <v>0</v>
      </c>
      <c r="P45" s="37">
        <v>0</v>
      </c>
      <c r="Q45" s="37">
        <v>0</v>
      </c>
      <c r="R45" s="37">
        <v>65</v>
      </c>
      <c r="S45" s="37" t="s">
        <v>1712</v>
      </c>
      <c r="T45" s="37">
        <v>1160</v>
      </c>
      <c r="V45" s="37" t="s">
        <v>1664</v>
      </c>
    </row>
    <row r="46" spans="1:22">
      <c r="A46" s="54">
        <v>45345</v>
      </c>
      <c r="B46" s="37" t="s">
        <v>1713</v>
      </c>
      <c r="C46" s="37" t="s">
        <v>1658</v>
      </c>
      <c r="D46" s="37" t="s">
        <v>1659</v>
      </c>
      <c r="F46" s="37" t="s">
        <v>782</v>
      </c>
      <c r="G46" s="37" t="s">
        <v>1662</v>
      </c>
      <c r="H46" s="37">
        <v>0.26</v>
      </c>
      <c r="I46" s="37">
        <v>0</v>
      </c>
      <c r="J46" s="38">
        <v>4027.22</v>
      </c>
      <c r="K46" s="37" t="s">
        <v>615</v>
      </c>
      <c r="O46" s="37">
        <v>0</v>
      </c>
      <c r="P46" s="37">
        <v>0</v>
      </c>
      <c r="Q46" s="37">
        <v>0</v>
      </c>
      <c r="R46" s="37">
        <v>65</v>
      </c>
      <c r="S46" s="37" t="s">
        <v>1707</v>
      </c>
      <c r="T46" s="37">
        <v>1161</v>
      </c>
      <c r="V46" s="37" t="s">
        <v>1664</v>
      </c>
    </row>
    <row r="47" spans="1:22">
      <c r="A47" s="54">
        <v>45350</v>
      </c>
      <c r="B47" s="37" t="s">
        <v>1714</v>
      </c>
      <c r="C47" s="37" t="s">
        <v>1657</v>
      </c>
      <c r="D47" s="37" t="s">
        <v>539</v>
      </c>
      <c r="F47" s="37" t="s">
        <v>782</v>
      </c>
      <c r="G47" s="37" t="s">
        <v>1715</v>
      </c>
      <c r="H47" s="37">
        <v>59.71</v>
      </c>
      <c r="I47" s="37">
        <v>0</v>
      </c>
      <c r="J47" s="38">
        <v>4086.93</v>
      </c>
      <c r="K47" s="37" t="s">
        <v>615</v>
      </c>
      <c r="O47" s="37">
        <v>0</v>
      </c>
      <c r="P47" s="37">
        <v>0</v>
      </c>
      <c r="Q47" s="37">
        <v>0</v>
      </c>
      <c r="R47" s="37">
        <v>0</v>
      </c>
      <c r="S47" s="37" t="s">
        <v>1716</v>
      </c>
      <c r="T47" s="37">
        <v>1218</v>
      </c>
      <c r="V47" s="37" t="s">
        <v>1664</v>
      </c>
    </row>
    <row r="48" spans="1:22">
      <c r="A48" s="54">
        <v>45350</v>
      </c>
      <c r="B48" s="37" t="s">
        <v>1717</v>
      </c>
      <c r="C48" s="37" t="s">
        <v>1658</v>
      </c>
      <c r="D48" s="37" t="s">
        <v>1659</v>
      </c>
      <c r="E48" s="37" t="s">
        <v>1275</v>
      </c>
      <c r="F48" s="37" t="s">
        <v>782</v>
      </c>
      <c r="G48" s="37" t="s">
        <v>1718</v>
      </c>
      <c r="H48" s="37">
        <v>183.75</v>
      </c>
      <c r="I48" s="37">
        <v>0</v>
      </c>
      <c r="J48" s="38">
        <v>4270.68</v>
      </c>
      <c r="K48" s="37" t="s">
        <v>615</v>
      </c>
      <c r="O48" s="37">
        <v>0</v>
      </c>
      <c r="P48" s="37">
        <v>0</v>
      </c>
      <c r="Q48" s="37">
        <v>0</v>
      </c>
      <c r="R48" s="37">
        <v>65</v>
      </c>
      <c r="S48" s="37" t="s">
        <v>1719</v>
      </c>
      <c r="T48" s="37">
        <v>1224</v>
      </c>
      <c r="U48" s="37" t="s">
        <v>1276</v>
      </c>
      <c r="V48" s="37" t="s">
        <v>1685</v>
      </c>
    </row>
    <row r="49" spans="1:22">
      <c r="A49" s="54">
        <v>45350</v>
      </c>
      <c r="B49" s="37" t="s">
        <v>1717</v>
      </c>
      <c r="C49" s="37" t="s">
        <v>1658</v>
      </c>
      <c r="D49" s="37" t="s">
        <v>1659</v>
      </c>
      <c r="E49" s="37" t="s">
        <v>1275</v>
      </c>
      <c r="F49" s="37" t="s">
        <v>782</v>
      </c>
      <c r="G49" s="37" t="s">
        <v>1718</v>
      </c>
      <c r="H49" s="37">
        <v>183.75</v>
      </c>
      <c r="I49" s="37">
        <v>0</v>
      </c>
      <c r="J49" s="38">
        <v>4454.43</v>
      </c>
      <c r="K49" s="37" t="s">
        <v>615</v>
      </c>
      <c r="O49" s="37">
        <v>0</v>
      </c>
      <c r="P49" s="37">
        <v>0</v>
      </c>
      <c r="Q49" s="37">
        <v>0</v>
      </c>
      <c r="R49" s="37">
        <v>65</v>
      </c>
      <c r="S49" s="37" t="s">
        <v>1719</v>
      </c>
      <c r="T49" s="37">
        <v>1224</v>
      </c>
      <c r="U49" s="37" t="s">
        <v>1276</v>
      </c>
      <c r="V49" s="37" t="s">
        <v>1685</v>
      </c>
    </row>
    <row r="50" spans="1:22">
      <c r="A50" s="54">
        <v>45352</v>
      </c>
      <c r="B50" s="37" t="s">
        <v>1720</v>
      </c>
      <c r="C50" s="37" t="s">
        <v>1658</v>
      </c>
      <c r="D50" s="37" t="s">
        <v>1659</v>
      </c>
      <c r="F50" s="37" t="s">
        <v>782</v>
      </c>
      <c r="G50" s="37" t="s">
        <v>1721</v>
      </c>
      <c r="H50" s="37">
        <v>31.87</v>
      </c>
      <c r="I50" s="37">
        <v>0</v>
      </c>
      <c r="J50" s="38">
        <v>4486.3</v>
      </c>
      <c r="K50" s="37" t="s">
        <v>615</v>
      </c>
      <c r="O50" s="37">
        <v>0</v>
      </c>
      <c r="P50" s="37">
        <v>0</v>
      </c>
      <c r="Q50" s="37">
        <v>0</v>
      </c>
      <c r="R50" s="37">
        <v>65</v>
      </c>
      <c r="S50" s="37" t="s">
        <v>1722</v>
      </c>
      <c r="T50" s="37">
        <v>1325</v>
      </c>
      <c r="V50" s="37" t="s">
        <v>1664</v>
      </c>
    </row>
    <row r="51" spans="1:22">
      <c r="A51" s="54">
        <v>45352</v>
      </c>
      <c r="B51" s="37" t="s">
        <v>1720</v>
      </c>
      <c r="C51" s="37" t="s">
        <v>1658</v>
      </c>
      <c r="D51" s="37" t="s">
        <v>1659</v>
      </c>
      <c r="F51" s="37" t="s">
        <v>782</v>
      </c>
      <c r="G51" s="37" t="s">
        <v>1721</v>
      </c>
      <c r="H51" s="37">
        <v>31.87</v>
      </c>
      <c r="I51" s="37">
        <v>0</v>
      </c>
      <c r="J51" s="38">
        <v>4518.17</v>
      </c>
      <c r="K51" s="37" t="s">
        <v>615</v>
      </c>
      <c r="O51" s="37">
        <v>0</v>
      </c>
      <c r="P51" s="37">
        <v>0</v>
      </c>
      <c r="Q51" s="37">
        <v>0</v>
      </c>
      <c r="R51" s="37">
        <v>65</v>
      </c>
      <c r="S51" s="37" t="s">
        <v>1722</v>
      </c>
      <c r="T51" s="37">
        <v>1325</v>
      </c>
      <c r="V51" s="37" t="s">
        <v>1664</v>
      </c>
    </row>
    <row r="52" spans="1:22">
      <c r="A52" s="54">
        <v>45352</v>
      </c>
      <c r="B52" s="37" t="s">
        <v>1720</v>
      </c>
      <c r="C52" s="37" t="s">
        <v>1658</v>
      </c>
      <c r="D52" s="37" t="s">
        <v>1659</v>
      </c>
      <c r="F52" s="37" t="s">
        <v>782</v>
      </c>
      <c r="G52" s="37" t="s">
        <v>1721</v>
      </c>
      <c r="H52" s="37">
        <v>31.87</v>
      </c>
      <c r="I52" s="37">
        <v>0</v>
      </c>
      <c r="J52" s="38">
        <v>4550.04</v>
      </c>
      <c r="K52" s="37" t="s">
        <v>615</v>
      </c>
      <c r="O52" s="37">
        <v>0</v>
      </c>
      <c r="P52" s="37">
        <v>0</v>
      </c>
      <c r="Q52" s="37">
        <v>0</v>
      </c>
      <c r="R52" s="37">
        <v>65</v>
      </c>
      <c r="S52" s="37" t="s">
        <v>1722</v>
      </c>
      <c r="T52" s="37">
        <v>1325</v>
      </c>
      <c r="V52" s="37" t="s">
        <v>1664</v>
      </c>
    </row>
    <row r="53" spans="1:22">
      <c r="A53" s="54">
        <v>45352</v>
      </c>
      <c r="B53" s="37" t="s">
        <v>1723</v>
      </c>
      <c r="C53" s="37" t="s">
        <v>1658</v>
      </c>
      <c r="D53" s="37" t="s">
        <v>1659</v>
      </c>
      <c r="F53" s="37" t="s">
        <v>782</v>
      </c>
      <c r="G53" s="37" t="s">
        <v>1724</v>
      </c>
      <c r="H53" s="37">
        <v>0</v>
      </c>
      <c r="I53" s="37">
        <v>159.22</v>
      </c>
      <c r="J53" s="38">
        <v>4390.82</v>
      </c>
      <c r="K53" s="37" t="s">
        <v>615</v>
      </c>
      <c r="N53" s="37" t="s">
        <v>1677</v>
      </c>
      <c r="O53" s="37">
        <v>31.159700000000001</v>
      </c>
      <c r="P53" s="37">
        <v>0</v>
      </c>
      <c r="Q53" s="37">
        <v>5.1100000000000003</v>
      </c>
      <c r="R53" s="37">
        <v>59.89</v>
      </c>
      <c r="S53" s="37" t="s">
        <v>1725</v>
      </c>
      <c r="T53" s="37">
        <v>1332</v>
      </c>
      <c r="V53" s="37" t="s">
        <v>1664</v>
      </c>
    </row>
    <row r="54" spans="1:22">
      <c r="A54" s="54">
        <v>45352</v>
      </c>
      <c r="B54" s="37" t="s">
        <v>1726</v>
      </c>
      <c r="C54" s="37" t="s">
        <v>1658</v>
      </c>
      <c r="D54" s="37" t="s">
        <v>1659</v>
      </c>
      <c r="F54" s="37" t="s">
        <v>782</v>
      </c>
      <c r="G54" s="37" t="s">
        <v>1727</v>
      </c>
      <c r="H54" s="37">
        <v>118.19</v>
      </c>
      <c r="I54" s="37">
        <v>0</v>
      </c>
      <c r="J54" s="38">
        <v>4509.01</v>
      </c>
      <c r="K54" s="37" t="s">
        <v>615</v>
      </c>
      <c r="N54" s="37" t="s">
        <v>811</v>
      </c>
      <c r="O54" s="37">
        <v>0</v>
      </c>
      <c r="P54" s="37">
        <v>3.5</v>
      </c>
      <c r="Q54" s="37">
        <v>0</v>
      </c>
      <c r="R54" s="37">
        <v>63.39</v>
      </c>
      <c r="S54" s="37" t="s">
        <v>1728</v>
      </c>
      <c r="T54" s="37">
        <v>1333</v>
      </c>
      <c r="V54" s="37" t="s">
        <v>1664</v>
      </c>
    </row>
    <row r="55" spans="1:22">
      <c r="A55" s="54">
        <v>45356</v>
      </c>
      <c r="B55" s="37" t="s">
        <v>1729</v>
      </c>
      <c r="C55" s="37" t="s">
        <v>1658</v>
      </c>
      <c r="D55" s="37" t="s">
        <v>1659</v>
      </c>
      <c r="E55" s="37" t="s">
        <v>1275</v>
      </c>
      <c r="F55" s="37" t="s">
        <v>782</v>
      </c>
      <c r="G55" s="37" t="s">
        <v>1718</v>
      </c>
      <c r="H55" s="37">
        <v>183.75</v>
      </c>
      <c r="I55" s="37">
        <v>0</v>
      </c>
      <c r="J55" s="38">
        <v>4692.76</v>
      </c>
      <c r="K55" s="37" t="s">
        <v>615</v>
      </c>
      <c r="O55" s="37">
        <v>0</v>
      </c>
      <c r="P55" s="37">
        <v>0</v>
      </c>
      <c r="Q55" s="37">
        <v>0</v>
      </c>
      <c r="R55" s="37">
        <v>63.39</v>
      </c>
      <c r="S55" s="37" t="s">
        <v>1730</v>
      </c>
      <c r="T55" s="37">
        <v>1374</v>
      </c>
      <c r="U55" s="37" t="s">
        <v>1276</v>
      </c>
      <c r="V55" s="37" t="s">
        <v>1685</v>
      </c>
    </row>
    <row r="56" spans="1:22">
      <c r="A56" s="54">
        <v>45359</v>
      </c>
      <c r="B56" s="37" t="s">
        <v>1731</v>
      </c>
      <c r="C56" s="37" t="s">
        <v>1658</v>
      </c>
      <c r="D56" s="37" t="s">
        <v>1659</v>
      </c>
      <c r="F56" s="37" t="s">
        <v>782</v>
      </c>
      <c r="G56" s="37" t="s">
        <v>1662</v>
      </c>
      <c r="H56" s="37">
        <v>3.02</v>
      </c>
      <c r="I56" s="37">
        <v>0</v>
      </c>
      <c r="J56" s="38">
        <v>4695.78</v>
      </c>
      <c r="K56" s="37" t="s">
        <v>615</v>
      </c>
      <c r="O56" s="37">
        <v>0</v>
      </c>
      <c r="P56" s="37">
        <v>0</v>
      </c>
      <c r="Q56" s="37">
        <v>0</v>
      </c>
      <c r="R56" s="37">
        <v>63.39</v>
      </c>
      <c r="S56" s="37" t="s">
        <v>1732</v>
      </c>
      <c r="T56" s="37">
        <v>1428</v>
      </c>
      <c r="V56" s="37" t="s">
        <v>1664</v>
      </c>
    </row>
    <row r="57" spans="1:22">
      <c r="A57" s="54">
        <v>45359</v>
      </c>
      <c r="B57" s="37" t="s">
        <v>1733</v>
      </c>
      <c r="C57" s="37" t="s">
        <v>1658</v>
      </c>
      <c r="D57" s="37" t="s">
        <v>1659</v>
      </c>
      <c r="F57" s="37" t="s">
        <v>782</v>
      </c>
      <c r="G57" s="37" t="s">
        <v>1662</v>
      </c>
      <c r="H57" s="37">
        <v>1.67</v>
      </c>
      <c r="I57" s="37">
        <v>0</v>
      </c>
      <c r="J57" s="38">
        <v>4697.45</v>
      </c>
      <c r="K57" s="37" t="s">
        <v>615</v>
      </c>
      <c r="O57" s="37">
        <v>0</v>
      </c>
      <c r="P57" s="37">
        <v>0</v>
      </c>
      <c r="Q57" s="37">
        <v>0</v>
      </c>
      <c r="R57" s="37">
        <v>63.39</v>
      </c>
      <c r="S57" s="37" t="s">
        <v>1734</v>
      </c>
      <c r="T57" s="37">
        <v>1430</v>
      </c>
      <c r="V57" s="37" t="s">
        <v>1664</v>
      </c>
    </row>
    <row r="58" spans="1:22">
      <c r="A58" s="54">
        <v>45359</v>
      </c>
      <c r="B58" s="37" t="s">
        <v>1735</v>
      </c>
      <c r="C58" s="37" t="s">
        <v>1658</v>
      </c>
      <c r="D58" s="37" t="s">
        <v>1659</v>
      </c>
      <c r="F58" s="37" t="s">
        <v>782</v>
      </c>
      <c r="G58" s="37" t="s">
        <v>1662</v>
      </c>
      <c r="H58" s="37">
        <v>0.63</v>
      </c>
      <c r="I58" s="37">
        <v>0</v>
      </c>
      <c r="J58" s="38">
        <v>4698.08</v>
      </c>
      <c r="K58" s="37" t="s">
        <v>615</v>
      </c>
      <c r="O58" s="37">
        <v>0</v>
      </c>
      <c r="P58" s="37">
        <v>0</v>
      </c>
      <c r="Q58" s="37">
        <v>0</v>
      </c>
      <c r="R58" s="37">
        <v>63.39</v>
      </c>
      <c r="S58" s="37" t="s">
        <v>1733</v>
      </c>
      <c r="T58" s="37">
        <v>1431</v>
      </c>
      <c r="V58" s="37" t="s">
        <v>1664</v>
      </c>
    </row>
    <row r="59" spans="1:22">
      <c r="A59" s="54">
        <v>45359</v>
      </c>
      <c r="B59" s="37" t="s">
        <v>1736</v>
      </c>
      <c r="C59" s="37" t="s">
        <v>1658</v>
      </c>
      <c r="D59" s="37" t="s">
        <v>1659</v>
      </c>
      <c r="F59" s="37" t="s">
        <v>782</v>
      </c>
      <c r="G59" s="37" t="s">
        <v>1662</v>
      </c>
      <c r="H59" s="37">
        <v>1.4</v>
      </c>
      <c r="I59" s="37">
        <v>0</v>
      </c>
      <c r="J59" s="38">
        <v>4699.4799999999996</v>
      </c>
      <c r="K59" s="37" t="s">
        <v>615</v>
      </c>
      <c r="O59" s="37">
        <v>0</v>
      </c>
      <c r="P59" s="37">
        <v>0</v>
      </c>
      <c r="Q59" s="37">
        <v>0</v>
      </c>
      <c r="R59" s="37">
        <v>63.39</v>
      </c>
      <c r="S59" s="37" t="s">
        <v>1735</v>
      </c>
      <c r="T59" s="37">
        <v>1432</v>
      </c>
      <c r="V59" s="37" t="s">
        <v>1664</v>
      </c>
    </row>
    <row r="60" spans="1:22">
      <c r="A60" s="54">
        <v>45359</v>
      </c>
      <c r="B60" s="37" t="s">
        <v>1737</v>
      </c>
      <c r="C60" s="37" t="s">
        <v>1658</v>
      </c>
      <c r="D60" s="37" t="s">
        <v>1659</v>
      </c>
      <c r="F60" s="37" t="s">
        <v>782</v>
      </c>
      <c r="G60" s="37" t="s">
        <v>1662</v>
      </c>
      <c r="H60" s="37">
        <v>0.3</v>
      </c>
      <c r="I60" s="37">
        <v>0</v>
      </c>
      <c r="J60" s="38">
        <v>4699.78</v>
      </c>
      <c r="K60" s="37" t="s">
        <v>615</v>
      </c>
      <c r="O60" s="37">
        <v>0</v>
      </c>
      <c r="P60" s="37">
        <v>0</v>
      </c>
      <c r="Q60" s="37">
        <v>0</v>
      </c>
      <c r="R60" s="37">
        <v>63.39</v>
      </c>
      <c r="S60" s="37" t="s">
        <v>1736</v>
      </c>
      <c r="T60" s="37">
        <v>1433</v>
      </c>
      <c r="V60" s="37" t="s">
        <v>1664</v>
      </c>
    </row>
    <row r="61" spans="1:22">
      <c r="A61" s="54">
        <v>45359</v>
      </c>
      <c r="B61" s="37" t="s">
        <v>1286</v>
      </c>
      <c r="C61" s="37" t="s">
        <v>1658</v>
      </c>
      <c r="D61" s="37" t="s">
        <v>1659</v>
      </c>
      <c r="F61" s="37" t="s">
        <v>782</v>
      </c>
      <c r="G61" s="37" t="s">
        <v>1662</v>
      </c>
      <c r="H61" s="37">
        <v>0.26</v>
      </c>
      <c r="I61" s="37">
        <v>0</v>
      </c>
      <c r="J61" s="38">
        <v>4700.04</v>
      </c>
      <c r="K61" s="37" t="s">
        <v>615</v>
      </c>
      <c r="O61" s="37">
        <v>0</v>
      </c>
      <c r="P61" s="37">
        <v>0</v>
      </c>
      <c r="Q61" s="37">
        <v>0</v>
      </c>
      <c r="R61" s="37">
        <v>63.39</v>
      </c>
      <c r="S61" s="37" t="s">
        <v>1738</v>
      </c>
      <c r="T61" s="37">
        <v>1436</v>
      </c>
      <c r="V61" s="37" t="s">
        <v>1664</v>
      </c>
    </row>
    <row r="62" spans="1:22">
      <c r="A62" s="54">
        <v>45359</v>
      </c>
      <c r="B62" s="37" t="s">
        <v>1739</v>
      </c>
      <c r="C62" s="37" t="s">
        <v>1658</v>
      </c>
      <c r="D62" s="37" t="s">
        <v>1659</v>
      </c>
      <c r="F62" s="37" t="s">
        <v>782</v>
      </c>
      <c r="G62" s="37" t="s">
        <v>1662</v>
      </c>
      <c r="H62" s="37">
        <v>0.26</v>
      </c>
      <c r="I62" s="37">
        <v>0</v>
      </c>
      <c r="J62" s="38">
        <v>4700.3</v>
      </c>
      <c r="K62" s="37" t="s">
        <v>615</v>
      </c>
      <c r="O62" s="37">
        <v>0</v>
      </c>
      <c r="P62" s="37">
        <v>0</v>
      </c>
      <c r="Q62" s="37">
        <v>0</v>
      </c>
      <c r="R62" s="37">
        <v>63.39</v>
      </c>
      <c r="S62" s="37" t="s">
        <v>1286</v>
      </c>
      <c r="T62" s="37">
        <v>1437</v>
      </c>
      <c r="V62" s="37" t="s">
        <v>1664</v>
      </c>
    </row>
    <row r="63" spans="1:22">
      <c r="A63" s="54">
        <v>45359</v>
      </c>
      <c r="B63" s="37" t="s">
        <v>1740</v>
      </c>
      <c r="C63" s="37" t="s">
        <v>1658</v>
      </c>
      <c r="D63" s="37" t="s">
        <v>1659</v>
      </c>
      <c r="F63" s="37" t="s">
        <v>782</v>
      </c>
      <c r="G63" s="37" t="s">
        <v>1662</v>
      </c>
      <c r="H63" s="37">
        <v>0.26</v>
      </c>
      <c r="I63" s="37">
        <v>0</v>
      </c>
      <c r="J63" s="38">
        <v>4700.5600000000004</v>
      </c>
      <c r="K63" s="37" t="s">
        <v>615</v>
      </c>
      <c r="O63" s="37">
        <v>0</v>
      </c>
      <c r="P63" s="37">
        <v>0</v>
      </c>
      <c r="Q63" s="37">
        <v>0</v>
      </c>
      <c r="R63" s="37">
        <v>63.39</v>
      </c>
      <c r="S63" s="37" t="s">
        <v>1741</v>
      </c>
      <c r="T63" s="37">
        <v>1439</v>
      </c>
      <c r="V63" s="37" t="s">
        <v>1664</v>
      </c>
    </row>
    <row r="64" spans="1:22">
      <c r="A64" s="54">
        <v>45359</v>
      </c>
      <c r="B64" s="37" t="s">
        <v>1742</v>
      </c>
      <c r="C64" s="37" t="s">
        <v>1658</v>
      </c>
      <c r="D64" s="37" t="s">
        <v>1659</v>
      </c>
      <c r="F64" s="37" t="s">
        <v>782</v>
      </c>
      <c r="G64" s="37" t="s">
        <v>1662</v>
      </c>
      <c r="H64" s="37">
        <v>0.26</v>
      </c>
      <c r="I64" s="37">
        <v>0</v>
      </c>
      <c r="J64" s="38">
        <v>4700.82</v>
      </c>
      <c r="K64" s="37" t="s">
        <v>615</v>
      </c>
      <c r="O64" s="37">
        <v>0</v>
      </c>
      <c r="P64" s="37">
        <v>0</v>
      </c>
      <c r="Q64" s="37">
        <v>0</v>
      </c>
      <c r="R64" s="37">
        <v>63.39</v>
      </c>
      <c r="S64" s="37" t="s">
        <v>1743</v>
      </c>
      <c r="T64" s="37">
        <v>1441</v>
      </c>
      <c r="V64" s="37" t="s">
        <v>1664</v>
      </c>
    </row>
    <row r="65" spans="1:22">
      <c r="A65" s="54">
        <v>45359</v>
      </c>
      <c r="B65" s="37" t="s">
        <v>1744</v>
      </c>
      <c r="C65" s="37" t="s">
        <v>1658</v>
      </c>
      <c r="D65" s="37" t="s">
        <v>1659</v>
      </c>
      <c r="F65" s="37" t="s">
        <v>782</v>
      </c>
      <c r="G65" s="37" t="s">
        <v>1662</v>
      </c>
      <c r="H65" s="37">
        <v>0.26</v>
      </c>
      <c r="I65" s="37">
        <v>0</v>
      </c>
      <c r="J65" s="38">
        <v>4701.08</v>
      </c>
      <c r="K65" s="37" t="s">
        <v>615</v>
      </c>
      <c r="O65" s="37">
        <v>0</v>
      </c>
      <c r="P65" s="37">
        <v>0</v>
      </c>
      <c r="Q65" s="37">
        <v>0</v>
      </c>
      <c r="R65" s="37">
        <v>63.39</v>
      </c>
      <c r="S65" s="37" t="s">
        <v>1742</v>
      </c>
      <c r="T65" s="37">
        <v>1442</v>
      </c>
      <c r="V65" s="37" t="s">
        <v>1664</v>
      </c>
    </row>
    <row r="66" spans="1:22">
      <c r="A66" s="54">
        <v>45359</v>
      </c>
      <c r="B66" s="37" t="s">
        <v>1745</v>
      </c>
      <c r="C66" s="37" t="s">
        <v>1658</v>
      </c>
      <c r="D66" s="37" t="s">
        <v>1659</v>
      </c>
      <c r="F66" s="37" t="s">
        <v>782</v>
      </c>
      <c r="G66" s="37" t="s">
        <v>1746</v>
      </c>
      <c r="H66" s="37">
        <v>0.26</v>
      </c>
      <c r="I66" s="37">
        <v>0</v>
      </c>
      <c r="J66" s="38">
        <v>4701.34</v>
      </c>
      <c r="K66" s="37" t="s">
        <v>615</v>
      </c>
      <c r="O66" s="37">
        <v>0</v>
      </c>
      <c r="P66" s="37">
        <v>0</v>
      </c>
      <c r="Q66" s="37">
        <v>0</v>
      </c>
      <c r="R66" s="37">
        <v>63.39</v>
      </c>
      <c r="S66" s="37" t="s">
        <v>1744</v>
      </c>
      <c r="T66" s="37">
        <v>1443</v>
      </c>
      <c r="V66" s="37" t="s">
        <v>1664</v>
      </c>
    </row>
    <row r="67" spans="1:22">
      <c r="A67" s="54">
        <v>45359</v>
      </c>
      <c r="B67" s="37" t="s">
        <v>1747</v>
      </c>
      <c r="C67" s="37" t="s">
        <v>1658</v>
      </c>
      <c r="D67" s="37" t="s">
        <v>1659</v>
      </c>
      <c r="F67" s="37" t="s">
        <v>782</v>
      </c>
      <c r="G67" s="37" t="s">
        <v>1662</v>
      </c>
      <c r="H67" s="37">
        <v>0.53</v>
      </c>
      <c r="I67" s="37">
        <v>0</v>
      </c>
      <c r="J67" s="38">
        <v>4701.87</v>
      </c>
      <c r="K67" s="37" t="s">
        <v>615</v>
      </c>
      <c r="O67" s="37">
        <v>0</v>
      </c>
      <c r="P67" s="37">
        <v>0</v>
      </c>
      <c r="Q67" s="37">
        <v>0</v>
      </c>
      <c r="R67" s="37">
        <v>63.39</v>
      </c>
      <c r="S67" s="37" t="s">
        <v>1745</v>
      </c>
      <c r="T67" s="37">
        <v>1444</v>
      </c>
      <c r="V67" s="37" t="s">
        <v>1664</v>
      </c>
    </row>
    <row r="68" spans="1:22">
      <c r="A68" s="54">
        <v>45359</v>
      </c>
      <c r="B68" s="37" t="s">
        <v>1748</v>
      </c>
      <c r="C68" s="37" t="s">
        <v>1658</v>
      </c>
      <c r="D68" s="37" t="s">
        <v>1659</v>
      </c>
      <c r="F68" s="37" t="s">
        <v>782</v>
      </c>
      <c r="G68" s="37" t="s">
        <v>1746</v>
      </c>
      <c r="H68" s="37">
        <v>0.43</v>
      </c>
      <c r="I68" s="37">
        <v>0</v>
      </c>
      <c r="J68" s="38">
        <v>4702.3</v>
      </c>
      <c r="K68" s="37" t="s">
        <v>615</v>
      </c>
      <c r="O68" s="37">
        <v>0</v>
      </c>
      <c r="P68" s="37">
        <v>0</v>
      </c>
      <c r="Q68" s="37">
        <v>0</v>
      </c>
      <c r="R68" s="37">
        <v>63.39</v>
      </c>
      <c r="S68" s="37" t="s">
        <v>1747</v>
      </c>
      <c r="T68" s="37">
        <v>1445</v>
      </c>
      <c r="V68" s="37" t="s">
        <v>1664</v>
      </c>
    </row>
    <row r="69" spans="1:22">
      <c r="A69" s="54">
        <v>45359</v>
      </c>
      <c r="B69" s="37" t="s">
        <v>1749</v>
      </c>
      <c r="C69" s="37" t="s">
        <v>1658</v>
      </c>
      <c r="D69" s="37" t="s">
        <v>1659</v>
      </c>
      <c r="F69" s="37" t="s">
        <v>782</v>
      </c>
      <c r="G69" s="37" t="s">
        <v>1746</v>
      </c>
      <c r="H69" s="37">
        <v>0.44</v>
      </c>
      <c r="I69" s="37">
        <v>0</v>
      </c>
      <c r="J69" s="38">
        <v>4702.74</v>
      </c>
      <c r="K69" s="37" t="s">
        <v>615</v>
      </c>
      <c r="O69" s="37">
        <v>0</v>
      </c>
      <c r="P69" s="37">
        <v>0</v>
      </c>
      <c r="Q69" s="37">
        <v>0</v>
      </c>
      <c r="R69" s="37">
        <v>63.39</v>
      </c>
      <c r="S69" s="37" t="s">
        <v>1750</v>
      </c>
      <c r="T69" s="37">
        <v>1447</v>
      </c>
      <c r="V69" s="37" t="s">
        <v>1664</v>
      </c>
    </row>
    <row r="70" spans="1:22">
      <c r="A70" s="54">
        <v>45359</v>
      </c>
      <c r="B70" s="37" t="s">
        <v>1751</v>
      </c>
      <c r="C70" s="37" t="s">
        <v>1658</v>
      </c>
      <c r="D70" s="37" t="s">
        <v>1659</v>
      </c>
      <c r="F70" s="37" t="s">
        <v>782</v>
      </c>
      <c r="G70" s="37" t="s">
        <v>1746</v>
      </c>
      <c r="H70" s="37">
        <v>0.37</v>
      </c>
      <c r="I70" s="37">
        <v>0</v>
      </c>
      <c r="J70" s="38">
        <v>4703.1099999999997</v>
      </c>
      <c r="K70" s="37" t="s">
        <v>615</v>
      </c>
      <c r="O70" s="37">
        <v>0</v>
      </c>
      <c r="P70" s="37">
        <v>0</v>
      </c>
      <c r="Q70" s="37">
        <v>0</v>
      </c>
      <c r="R70" s="37">
        <v>63.39</v>
      </c>
      <c r="S70" s="37" t="s">
        <v>1749</v>
      </c>
      <c r="T70" s="37">
        <v>1448</v>
      </c>
      <c r="V70" s="37" t="s">
        <v>1664</v>
      </c>
    </row>
    <row r="71" spans="1:22">
      <c r="A71" s="54">
        <v>45359</v>
      </c>
      <c r="B71" s="37" t="s">
        <v>1752</v>
      </c>
      <c r="C71" s="37" t="s">
        <v>1658</v>
      </c>
      <c r="D71" s="37" t="s">
        <v>1659</v>
      </c>
      <c r="F71" s="37" t="s">
        <v>782</v>
      </c>
      <c r="G71" s="37" t="s">
        <v>1696</v>
      </c>
      <c r="H71" s="37">
        <v>0.26</v>
      </c>
      <c r="I71" s="37">
        <v>0</v>
      </c>
      <c r="J71" s="38">
        <v>4703.37</v>
      </c>
      <c r="K71" s="37" t="s">
        <v>615</v>
      </c>
      <c r="O71" s="37">
        <v>0</v>
      </c>
      <c r="P71" s="37">
        <v>0</v>
      </c>
      <c r="Q71" s="37">
        <v>0</v>
      </c>
      <c r="R71" s="37">
        <v>63.39</v>
      </c>
      <c r="S71" s="37" t="s">
        <v>1751</v>
      </c>
      <c r="T71" s="37">
        <v>1449</v>
      </c>
      <c r="V71" s="37" t="s">
        <v>1664</v>
      </c>
    </row>
    <row r="72" spans="1:22">
      <c r="A72" s="54">
        <v>45359</v>
      </c>
      <c r="B72" s="37" t="s">
        <v>1753</v>
      </c>
      <c r="C72" s="37" t="s">
        <v>1658</v>
      </c>
      <c r="D72" s="37" t="s">
        <v>1659</v>
      </c>
      <c r="F72" s="37" t="s">
        <v>782</v>
      </c>
      <c r="G72" s="37" t="s">
        <v>1746</v>
      </c>
      <c r="H72" s="37">
        <v>0.28999999999999998</v>
      </c>
      <c r="I72" s="37">
        <v>0</v>
      </c>
      <c r="J72" s="38">
        <v>4703.66</v>
      </c>
      <c r="K72" s="37" t="s">
        <v>615</v>
      </c>
      <c r="O72" s="37">
        <v>0</v>
      </c>
      <c r="P72" s="37">
        <v>0</v>
      </c>
      <c r="Q72" s="37">
        <v>0</v>
      </c>
      <c r="R72" s="37">
        <v>63.39</v>
      </c>
      <c r="S72" s="37" t="s">
        <v>1752</v>
      </c>
      <c r="T72" s="37">
        <v>1450</v>
      </c>
      <c r="V72" s="37" t="s">
        <v>1664</v>
      </c>
    </row>
    <row r="73" spans="1:22">
      <c r="A73" s="54">
        <v>45359</v>
      </c>
      <c r="B73" s="37" t="s">
        <v>1754</v>
      </c>
      <c r="C73" s="37" t="s">
        <v>1658</v>
      </c>
      <c r="D73" s="37" t="s">
        <v>1659</v>
      </c>
      <c r="F73" s="37" t="s">
        <v>782</v>
      </c>
      <c r="G73" s="37" t="s">
        <v>1746</v>
      </c>
      <c r="H73" s="37">
        <v>0.28000000000000003</v>
      </c>
      <c r="I73" s="37">
        <v>0</v>
      </c>
      <c r="J73" s="38">
        <v>4703.9399999999996</v>
      </c>
      <c r="K73" s="37" t="s">
        <v>615</v>
      </c>
      <c r="O73" s="37">
        <v>0</v>
      </c>
      <c r="P73" s="37">
        <v>0</v>
      </c>
      <c r="Q73" s="37">
        <v>0</v>
      </c>
      <c r="R73" s="37">
        <v>63.39</v>
      </c>
      <c r="S73" s="37" t="s">
        <v>1753</v>
      </c>
      <c r="T73" s="37">
        <v>1451</v>
      </c>
      <c r="V73" s="37" t="s">
        <v>1664</v>
      </c>
    </row>
    <row r="74" spans="1:22">
      <c r="A74" s="54">
        <v>45359</v>
      </c>
      <c r="B74" s="37" t="s">
        <v>1755</v>
      </c>
      <c r="C74" s="37" t="s">
        <v>1658</v>
      </c>
      <c r="D74" s="37" t="s">
        <v>1659</v>
      </c>
      <c r="F74" s="37" t="s">
        <v>782</v>
      </c>
      <c r="G74" s="37" t="s">
        <v>1746</v>
      </c>
      <c r="H74" s="37">
        <v>0.26</v>
      </c>
      <c r="I74" s="37">
        <v>0</v>
      </c>
      <c r="J74" s="38">
        <v>4704.2</v>
      </c>
      <c r="K74" s="37" t="s">
        <v>615</v>
      </c>
      <c r="O74" s="37">
        <v>0</v>
      </c>
      <c r="P74" s="37">
        <v>0</v>
      </c>
      <c r="Q74" s="37">
        <v>0</v>
      </c>
      <c r="R74" s="37">
        <v>63.39</v>
      </c>
      <c r="S74" s="37" t="s">
        <v>1754</v>
      </c>
      <c r="T74" s="37">
        <v>1452</v>
      </c>
      <c r="V74" s="37" t="s">
        <v>1664</v>
      </c>
    </row>
    <row r="75" spans="1:22">
      <c r="A75" s="54">
        <v>45359</v>
      </c>
      <c r="B75" s="37" t="s">
        <v>1756</v>
      </c>
      <c r="C75" s="37" t="s">
        <v>1658</v>
      </c>
      <c r="D75" s="37" t="s">
        <v>1659</v>
      </c>
      <c r="F75" s="37" t="s">
        <v>782</v>
      </c>
      <c r="G75" s="37" t="s">
        <v>1662</v>
      </c>
      <c r="H75" s="37">
        <v>0.26</v>
      </c>
      <c r="I75" s="37">
        <v>0</v>
      </c>
      <c r="J75" s="38">
        <v>4704.46</v>
      </c>
      <c r="K75" s="37" t="s">
        <v>615</v>
      </c>
      <c r="O75" s="37">
        <v>0</v>
      </c>
      <c r="P75" s="37">
        <v>0</v>
      </c>
      <c r="Q75" s="37">
        <v>0</v>
      </c>
      <c r="R75" s="37">
        <v>63.39</v>
      </c>
      <c r="S75" s="37" t="s">
        <v>1755</v>
      </c>
      <c r="T75" s="37">
        <v>1453</v>
      </c>
      <c r="V75" s="37" t="s">
        <v>1664</v>
      </c>
    </row>
    <row r="76" spans="1:22">
      <c r="A76" s="54">
        <v>45359</v>
      </c>
      <c r="B76" s="37" t="s">
        <v>1757</v>
      </c>
      <c r="C76" s="37" t="s">
        <v>1658</v>
      </c>
      <c r="D76" s="37" t="s">
        <v>1659</v>
      </c>
      <c r="F76" s="37" t="s">
        <v>782</v>
      </c>
      <c r="G76" s="37" t="s">
        <v>1746</v>
      </c>
      <c r="H76" s="37">
        <v>0.26</v>
      </c>
      <c r="I76" s="37">
        <v>0</v>
      </c>
      <c r="J76" s="38">
        <v>4704.72</v>
      </c>
      <c r="K76" s="37" t="s">
        <v>615</v>
      </c>
      <c r="O76" s="37">
        <v>0</v>
      </c>
      <c r="P76" s="37">
        <v>0</v>
      </c>
      <c r="Q76" s="37">
        <v>0</v>
      </c>
      <c r="R76" s="37">
        <v>63.39</v>
      </c>
      <c r="S76" s="37" t="s">
        <v>1756</v>
      </c>
      <c r="T76" s="37">
        <v>1454</v>
      </c>
      <c r="V76" s="37" t="s">
        <v>1664</v>
      </c>
    </row>
    <row r="77" spans="1:22">
      <c r="A77" s="54">
        <v>45359</v>
      </c>
      <c r="B77" s="37" t="s">
        <v>1758</v>
      </c>
      <c r="C77" s="37" t="s">
        <v>1658</v>
      </c>
      <c r="D77" s="37" t="s">
        <v>1659</v>
      </c>
      <c r="F77" s="37" t="s">
        <v>782</v>
      </c>
      <c r="G77" s="37" t="s">
        <v>1746</v>
      </c>
      <c r="H77" s="37">
        <v>0.26</v>
      </c>
      <c r="I77" s="37">
        <v>0</v>
      </c>
      <c r="J77" s="38">
        <v>4704.9799999999996</v>
      </c>
      <c r="K77" s="37" t="s">
        <v>615</v>
      </c>
      <c r="O77" s="37">
        <v>0</v>
      </c>
      <c r="P77" s="37">
        <v>0</v>
      </c>
      <c r="Q77" s="37">
        <v>0</v>
      </c>
      <c r="R77" s="37">
        <v>63.39</v>
      </c>
      <c r="S77" s="37" t="s">
        <v>1757</v>
      </c>
      <c r="T77" s="37">
        <v>1455</v>
      </c>
      <c r="V77" s="37" t="s">
        <v>1664</v>
      </c>
    </row>
    <row r="78" spans="1:22">
      <c r="A78" s="54">
        <v>45359</v>
      </c>
      <c r="B78" s="37" t="s">
        <v>1759</v>
      </c>
      <c r="C78" s="37" t="s">
        <v>1658</v>
      </c>
      <c r="D78" s="37" t="s">
        <v>1659</v>
      </c>
      <c r="F78" s="37" t="s">
        <v>782</v>
      </c>
      <c r="G78" s="37" t="s">
        <v>1662</v>
      </c>
      <c r="H78" s="37">
        <v>2.66</v>
      </c>
      <c r="I78" s="37">
        <v>0</v>
      </c>
      <c r="J78" s="38">
        <v>4707.6400000000003</v>
      </c>
      <c r="K78" s="37" t="s">
        <v>615</v>
      </c>
      <c r="O78" s="37">
        <v>0</v>
      </c>
      <c r="P78" s="37">
        <v>0</v>
      </c>
      <c r="Q78" s="37">
        <v>0</v>
      </c>
      <c r="R78" s="37">
        <v>63.39</v>
      </c>
      <c r="S78" s="37" t="s">
        <v>1760</v>
      </c>
      <c r="T78" s="37">
        <v>1457</v>
      </c>
      <c r="V78" s="37" t="s">
        <v>1664</v>
      </c>
    </row>
    <row r="79" spans="1:22">
      <c r="A79" s="54">
        <v>45359</v>
      </c>
      <c r="B79" s="37" t="s">
        <v>1761</v>
      </c>
      <c r="C79" s="37" t="s">
        <v>1658</v>
      </c>
      <c r="D79" s="37" t="s">
        <v>1659</v>
      </c>
      <c r="F79" s="37" t="s">
        <v>782</v>
      </c>
      <c r="G79" s="37" t="s">
        <v>1662</v>
      </c>
      <c r="H79" s="37">
        <v>3.51</v>
      </c>
      <c r="I79" s="37">
        <v>0</v>
      </c>
      <c r="J79" s="38">
        <v>4711.1499999999996</v>
      </c>
      <c r="K79" s="37" t="s">
        <v>615</v>
      </c>
      <c r="O79" s="37">
        <v>0</v>
      </c>
      <c r="P79" s="37">
        <v>0</v>
      </c>
      <c r="Q79" s="37">
        <v>0</v>
      </c>
      <c r="R79" s="37">
        <v>63.39</v>
      </c>
      <c r="S79" s="37" t="s">
        <v>1759</v>
      </c>
      <c r="T79" s="37">
        <v>1458</v>
      </c>
      <c r="V79" s="37" t="s">
        <v>1664</v>
      </c>
    </row>
    <row r="80" spans="1:22">
      <c r="A80" s="54">
        <v>45359</v>
      </c>
      <c r="B80" s="37" t="s">
        <v>1762</v>
      </c>
      <c r="C80" s="37" t="s">
        <v>1658</v>
      </c>
      <c r="D80" s="37" t="s">
        <v>1659</v>
      </c>
      <c r="F80" s="37" t="s">
        <v>782</v>
      </c>
      <c r="G80" s="37" t="s">
        <v>1662</v>
      </c>
      <c r="H80" s="37">
        <v>0.26</v>
      </c>
      <c r="I80" s="37">
        <v>0</v>
      </c>
      <c r="J80" s="38">
        <v>4711.41</v>
      </c>
      <c r="K80" s="37" t="s">
        <v>615</v>
      </c>
      <c r="O80" s="37">
        <v>0</v>
      </c>
      <c r="P80" s="37">
        <v>0</v>
      </c>
      <c r="Q80" s="37">
        <v>0</v>
      </c>
      <c r="R80" s="37">
        <v>63.39</v>
      </c>
      <c r="S80" s="37" t="s">
        <v>1761</v>
      </c>
      <c r="T80" s="37">
        <v>1459</v>
      </c>
      <c r="V80" s="37" t="s">
        <v>1664</v>
      </c>
    </row>
    <row r="81" spans="1:22">
      <c r="A81" s="54">
        <v>45359</v>
      </c>
      <c r="B81" s="37" t="s">
        <v>1763</v>
      </c>
      <c r="C81" s="37" t="s">
        <v>1658</v>
      </c>
      <c r="D81" s="37" t="s">
        <v>1659</v>
      </c>
      <c r="F81" s="37" t="s">
        <v>782</v>
      </c>
      <c r="G81" s="37" t="s">
        <v>1764</v>
      </c>
      <c r="H81" s="38">
        <v>1160.0899999999999</v>
      </c>
      <c r="I81" s="37">
        <v>0</v>
      </c>
      <c r="J81" s="38">
        <v>5871.5</v>
      </c>
      <c r="K81" s="37" t="s">
        <v>615</v>
      </c>
      <c r="N81" s="37" t="s">
        <v>811</v>
      </c>
      <c r="O81" s="37">
        <v>34.629600000000003</v>
      </c>
      <c r="P81" s="37">
        <v>33.5</v>
      </c>
      <c r="Q81" s="37">
        <v>0</v>
      </c>
      <c r="R81" s="37">
        <v>96.89</v>
      </c>
      <c r="S81" s="37" t="s">
        <v>1762</v>
      </c>
      <c r="T81" s="37">
        <v>1460</v>
      </c>
      <c r="V81" s="37" t="s">
        <v>1664</v>
      </c>
    </row>
    <row r="82" spans="1:22">
      <c r="A82" s="54">
        <v>45366</v>
      </c>
      <c r="B82" s="37" t="s">
        <v>1765</v>
      </c>
      <c r="C82" s="37" t="s">
        <v>1658</v>
      </c>
      <c r="D82" s="37" t="s">
        <v>1659</v>
      </c>
      <c r="F82" s="37" t="s">
        <v>782</v>
      </c>
      <c r="G82" s="37" t="s">
        <v>1662</v>
      </c>
      <c r="H82" s="37">
        <v>0.26</v>
      </c>
      <c r="I82" s="37">
        <v>0</v>
      </c>
      <c r="J82" s="38">
        <v>5871.76</v>
      </c>
      <c r="K82" s="37" t="s">
        <v>615</v>
      </c>
      <c r="O82" s="37">
        <v>0</v>
      </c>
      <c r="P82" s="37">
        <v>0</v>
      </c>
      <c r="Q82" s="37">
        <v>0</v>
      </c>
      <c r="R82" s="37">
        <v>96.89</v>
      </c>
      <c r="S82" s="37" t="s">
        <v>1766</v>
      </c>
      <c r="T82" s="37">
        <v>1574</v>
      </c>
      <c r="V82" s="37" t="s">
        <v>1664</v>
      </c>
    </row>
    <row r="83" spans="1:22">
      <c r="A83" s="54">
        <v>45366</v>
      </c>
      <c r="B83" s="37" t="s">
        <v>1767</v>
      </c>
      <c r="C83" s="37" t="s">
        <v>1658</v>
      </c>
      <c r="D83" s="37" t="s">
        <v>1659</v>
      </c>
      <c r="F83" s="37" t="s">
        <v>782</v>
      </c>
      <c r="G83" s="37" t="s">
        <v>1662</v>
      </c>
      <c r="H83" s="37">
        <v>0.26</v>
      </c>
      <c r="I83" s="37">
        <v>0</v>
      </c>
      <c r="J83" s="38">
        <v>5872.02</v>
      </c>
      <c r="K83" s="37" t="s">
        <v>615</v>
      </c>
      <c r="O83" s="37">
        <v>0</v>
      </c>
      <c r="P83" s="37">
        <v>0</v>
      </c>
      <c r="Q83" s="37">
        <v>0</v>
      </c>
      <c r="R83" s="37">
        <v>96.89</v>
      </c>
      <c r="S83" s="37" t="s">
        <v>1768</v>
      </c>
      <c r="T83" s="37">
        <v>1575</v>
      </c>
      <c r="V83" s="37" t="s">
        <v>1664</v>
      </c>
    </row>
    <row r="84" spans="1:22">
      <c r="A84" s="54">
        <v>45366</v>
      </c>
      <c r="B84" s="37" t="s">
        <v>1769</v>
      </c>
      <c r="C84" s="37" t="s">
        <v>1658</v>
      </c>
      <c r="D84" s="37" t="s">
        <v>1659</v>
      </c>
      <c r="F84" s="37" t="s">
        <v>782</v>
      </c>
      <c r="G84" s="37" t="s">
        <v>1662</v>
      </c>
      <c r="H84" s="37">
        <v>0.34</v>
      </c>
      <c r="I84" s="37">
        <v>0</v>
      </c>
      <c r="J84" s="38">
        <v>5872.36</v>
      </c>
      <c r="K84" s="37" t="s">
        <v>615</v>
      </c>
      <c r="O84" s="37">
        <v>0</v>
      </c>
      <c r="P84" s="37">
        <v>0</v>
      </c>
      <c r="Q84" s="37">
        <v>0</v>
      </c>
      <c r="R84" s="37">
        <v>96.89</v>
      </c>
      <c r="S84" s="37" t="s">
        <v>1770</v>
      </c>
      <c r="T84" s="37">
        <v>1576</v>
      </c>
      <c r="V84" s="37" t="s">
        <v>1664</v>
      </c>
    </row>
    <row r="85" spans="1:22">
      <c r="A85" s="54">
        <v>45366</v>
      </c>
      <c r="B85" s="37" t="s">
        <v>1287</v>
      </c>
      <c r="C85" s="37" t="s">
        <v>1658</v>
      </c>
      <c r="D85" s="37" t="s">
        <v>1659</v>
      </c>
      <c r="F85" s="37" t="s">
        <v>782</v>
      </c>
      <c r="G85" s="37" t="s">
        <v>1662</v>
      </c>
      <c r="H85" s="37">
        <v>0.35</v>
      </c>
      <c r="I85" s="37">
        <v>0</v>
      </c>
      <c r="J85" s="38">
        <v>5872.71</v>
      </c>
      <c r="K85" s="37" t="s">
        <v>615</v>
      </c>
      <c r="O85" s="37">
        <v>0</v>
      </c>
      <c r="P85" s="37">
        <v>0</v>
      </c>
      <c r="Q85" s="37">
        <v>0</v>
      </c>
      <c r="R85" s="37">
        <v>96.89</v>
      </c>
      <c r="S85" s="37" t="s">
        <v>1771</v>
      </c>
      <c r="T85" s="37">
        <v>1577</v>
      </c>
      <c r="V85" s="37" t="s">
        <v>1664</v>
      </c>
    </row>
    <row r="86" spans="1:22">
      <c r="A86" s="54">
        <v>45366</v>
      </c>
      <c r="B86" s="37" t="s">
        <v>1772</v>
      </c>
      <c r="C86" s="37" t="s">
        <v>1658</v>
      </c>
      <c r="D86" s="37" t="s">
        <v>1659</v>
      </c>
      <c r="F86" s="37" t="s">
        <v>782</v>
      </c>
      <c r="G86" s="37" t="s">
        <v>1662</v>
      </c>
      <c r="H86" s="37">
        <v>0.42</v>
      </c>
      <c r="I86" s="37">
        <v>0</v>
      </c>
      <c r="J86" s="38">
        <v>5873.13</v>
      </c>
      <c r="K86" s="37" t="s">
        <v>615</v>
      </c>
      <c r="O86" s="37">
        <v>0</v>
      </c>
      <c r="P86" s="37">
        <v>0</v>
      </c>
      <c r="Q86" s="37">
        <v>0</v>
      </c>
      <c r="R86" s="37">
        <v>96.89</v>
      </c>
      <c r="S86" s="37" t="s">
        <v>1773</v>
      </c>
      <c r="T86" s="37">
        <v>1578</v>
      </c>
      <c r="V86" s="37" t="s">
        <v>1664</v>
      </c>
    </row>
    <row r="87" spans="1:22">
      <c r="A87" s="54">
        <v>45366</v>
      </c>
      <c r="B87" s="37" t="s">
        <v>1774</v>
      </c>
      <c r="C87" s="37" t="s">
        <v>1658</v>
      </c>
      <c r="D87" s="37" t="s">
        <v>1659</v>
      </c>
      <c r="F87" s="37" t="s">
        <v>782</v>
      </c>
      <c r="G87" s="37" t="s">
        <v>1662</v>
      </c>
      <c r="H87" s="37">
        <v>3.92</v>
      </c>
      <c r="I87" s="37">
        <v>0</v>
      </c>
      <c r="J87" s="38">
        <v>5877.05</v>
      </c>
      <c r="K87" s="37" t="s">
        <v>615</v>
      </c>
      <c r="O87" s="37">
        <v>0</v>
      </c>
      <c r="P87" s="37">
        <v>0</v>
      </c>
      <c r="Q87" s="37">
        <v>0</v>
      </c>
      <c r="R87" s="37">
        <v>96.89</v>
      </c>
      <c r="S87" s="37" t="s">
        <v>1775</v>
      </c>
      <c r="T87" s="37">
        <v>1579</v>
      </c>
      <c r="V87" s="37" t="s">
        <v>1664</v>
      </c>
    </row>
    <row r="88" spans="1:22">
      <c r="A88" s="54">
        <v>45366</v>
      </c>
      <c r="B88" s="37" t="s">
        <v>1776</v>
      </c>
      <c r="C88" s="37" t="s">
        <v>1658</v>
      </c>
      <c r="D88" s="37" t="s">
        <v>1659</v>
      </c>
      <c r="F88" s="37" t="s">
        <v>782</v>
      </c>
      <c r="G88" s="37" t="s">
        <v>1662</v>
      </c>
      <c r="H88" s="37">
        <v>1</v>
      </c>
      <c r="I88" s="37">
        <v>0</v>
      </c>
      <c r="J88" s="38">
        <v>5878.05</v>
      </c>
      <c r="K88" s="37" t="s">
        <v>615</v>
      </c>
      <c r="O88" s="37">
        <v>0</v>
      </c>
      <c r="P88" s="37">
        <v>0</v>
      </c>
      <c r="Q88" s="37">
        <v>0</v>
      </c>
      <c r="R88" s="37">
        <v>96.89</v>
      </c>
      <c r="S88" s="37" t="s">
        <v>1777</v>
      </c>
      <c r="T88" s="37">
        <v>1580</v>
      </c>
      <c r="V88" s="37" t="s">
        <v>1664</v>
      </c>
    </row>
    <row r="89" spans="1:22">
      <c r="A89" s="54">
        <v>45366</v>
      </c>
      <c r="B89" s="37" t="s">
        <v>1778</v>
      </c>
      <c r="C89" s="37" t="s">
        <v>1658</v>
      </c>
      <c r="D89" s="37" t="s">
        <v>1659</v>
      </c>
      <c r="F89" s="37" t="s">
        <v>782</v>
      </c>
      <c r="G89" s="37" t="s">
        <v>1662</v>
      </c>
      <c r="H89" s="37">
        <v>1.24</v>
      </c>
      <c r="I89" s="37">
        <v>0</v>
      </c>
      <c r="J89" s="38">
        <v>5879.29</v>
      </c>
      <c r="K89" s="37" t="s">
        <v>615</v>
      </c>
      <c r="O89" s="37">
        <v>0</v>
      </c>
      <c r="P89" s="37">
        <v>0</v>
      </c>
      <c r="Q89" s="37">
        <v>0</v>
      </c>
      <c r="R89" s="37">
        <v>96.89</v>
      </c>
      <c r="S89" s="37" t="s">
        <v>1779</v>
      </c>
      <c r="T89" s="37">
        <v>1581</v>
      </c>
      <c r="V89" s="37" t="s">
        <v>1664</v>
      </c>
    </row>
    <row r="90" spans="1:22">
      <c r="A90" s="54">
        <v>45369</v>
      </c>
      <c r="B90" s="37" t="s">
        <v>1780</v>
      </c>
      <c r="C90" s="37" t="s">
        <v>1658</v>
      </c>
      <c r="D90" s="37" t="s">
        <v>1659</v>
      </c>
      <c r="F90" s="37" t="s">
        <v>782</v>
      </c>
      <c r="G90" s="37" t="s">
        <v>1721</v>
      </c>
      <c r="H90" s="37">
        <v>33.33</v>
      </c>
      <c r="I90" s="37">
        <v>0</v>
      </c>
      <c r="J90" s="38">
        <v>5912.62</v>
      </c>
      <c r="K90" s="37" t="s">
        <v>615</v>
      </c>
      <c r="O90" s="37">
        <v>0</v>
      </c>
      <c r="P90" s="37">
        <v>0</v>
      </c>
      <c r="Q90" s="37">
        <v>0</v>
      </c>
      <c r="R90" s="37">
        <v>96.89</v>
      </c>
      <c r="S90" s="37" t="s">
        <v>1781</v>
      </c>
      <c r="T90" s="37">
        <v>1603</v>
      </c>
      <c r="V90" s="37" t="s">
        <v>1664</v>
      </c>
    </row>
    <row r="91" spans="1:22">
      <c r="A91" s="54">
        <v>45373</v>
      </c>
      <c r="B91" s="37" t="s">
        <v>1288</v>
      </c>
      <c r="C91" s="37" t="s">
        <v>1657</v>
      </c>
      <c r="D91" s="37" t="s">
        <v>539</v>
      </c>
      <c r="F91" s="37" t="s">
        <v>782</v>
      </c>
      <c r="G91" s="37" t="s">
        <v>1662</v>
      </c>
      <c r="H91" s="37">
        <v>0.26</v>
      </c>
      <c r="I91" s="37">
        <v>0</v>
      </c>
      <c r="J91" s="38">
        <v>5912.88</v>
      </c>
      <c r="K91" s="37" t="s">
        <v>615</v>
      </c>
      <c r="O91" s="37">
        <v>0</v>
      </c>
      <c r="P91" s="37">
        <v>0</v>
      </c>
      <c r="Q91" s="37">
        <v>0</v>
      </c>
      <c r="R91" s="37">
        <v>0</v>
      </c>
      <c r="S91" s="37" t="s">
        <v>1782</v>
      </c>
      <c r="T91" s="37">
        <v>1671</v>
      </c>
      <c r="V91" s="37" t="s">
        <v>1664</v>
      </c>
    </row>
    <row r="92" spans="1:22">
      <c r="A92" s="54">
        <v>45373</v>
      </c>
      <c r="B92" s="37" t="s">
        <v>1783</v>
      </c>
      <c r="C92" s="37" t="s">
        <v>1658</v>
      </c>
      <c r="D92" s="37" t="s">
        <v>1659</v>
      </c>
      <c r="F92" s="37" t="s">
        <v>782</v>
      </c>
      <c r="G92" s="37" t="s">
        <v>1662</v>
      </c>
      <c r="H92" s="37">
        <v>0.95</v>
      </c>
      <c r="I92" s="37">
        <v>0</v>
      </c>
      <c r="J92" s="38">
        <v>5913.83</v>
      </c>
      <c r="K92" s="37" t="s">
        <v>615</v>
      </c>
      <c r="O92" s="37">
        <v>0</v>
      </c>
      <c r="P92" s="37">
        <v>0</v>
      </c>
      <c r="Q92" s="37">
        <v>0</v>
      </c>
      <c r="R92" s="37">
        <v>96.89</v>
      </c>
      <c r="S92" s="37" t="s">
        <v>1784</v>
      </c>
      <c r="T92" s="37">
        <v>1672</v>
      </c>
      <c r="V92" s="37" t="s">
        <v>1664</v>
      </c>
    </row>
    <row r="93" spans="1:22">
      <c r="A93" s="54">
        <v>45373</v>
      </c>
      <c r="B93" s="37" t="s">
        <v>1785</v>
      </c>
      <c r="C93" s="37" t="s">
        <v>1658</v>
      </c>
      <c r="D93" s="37" t="s">
        <v>1659</v>
      </c>
      <c r="F93" s="37" t="s">
        <v>782</v>
      </c>
      <c r="G93" s="37" t="s">
        <v>1662</v>
      </c>
      <c r="H93" s="37">
        <v>0.27</v>
      </c>
      <c r="I93" s="37">
        <v>0</v>
      </c>
      <c r="J93" s="38">
        <v>5914.1</v>
      </c>
      <c r="K93" s="37" t="s">
        <v>615</v>
      </c>
      <c r="O93" s="37">
        <v>0</v>
      </c>
      <c r="P93" s="37">
        <v>0</v>
      </c>
      <c r="Q93" s="37">
        <v>0</v>
      </c>
      <c r="R93" s="37">
        <v>96.89</v>
      </c>
      <c r="S93" s="37" t="s">
        <v>839</v>
      </c>
      <c r="T93" s="37">
        <v>1673</v>
      </c>
      <c r="V93" s="37" t="s">
        <v>1664</v>
      </c>
    </row>
    <row r="94" spans="1:22">
      <c r="A94" s="54">
        <v>45373</v>
      </c>
      <c r="B94" s="37" t="s">
        <v>1786</v>
      </c>
      <c r="C94" s="37" t="s">
        <v>1658</v>
      </c>
      <c r="D94" s="37" t="s">
        <v>1659</v>
      </c>
      <c r="F94" s="37" t="s">
        <v>782</v>
      </c>
      <c r="G94" s="37" t="s">
        <v>1662</v>
      </c>
      <c r="H94" s="37">
        <v>5.25</v>
      </c>
      <c r="I94" s="37">
        <v>0</v>
      </c>
      <c r="J94" s="38">
        <v>5919.35</v>
      </c>
      <c r="K94" s="37" t="s">
        <v>615</v>
      </c>
      <c r="O94" s="37">
        <v>0</v>
      </c>
      <c r="P94" s="37">
        <v>0</v>
      </c>
      <c r="Q94" s="37">
        <v>0</v>
      </c>
      <c r="R94" s="37">
        <v>96.89</v>
      </c>
      <c r="S94" s="37" t="s">
        <v>1787</v>
      </c>
      <c r="T94" s="37">
        <v>1674</v>
      </c>
      <c r="V94" s="37" t="s">
        <v>1664</v>
      </c>
    </row>
    <row r="95" spans="1:22">
      <c r="A95" s="54">
        <v>45373</v>
      </c>
      <c r="B95" s="37" t="s">
        <v>1788</v>
      </c>
      <c r="C95" s="37" t="s">
        <v>1658</v>
      </c>
      <c r="D95" s="37" t="s">
        <v>1659</v>
      </c>
      <c r="F95" s="37" t="s">
        <v>782</v>
      </c>
      <c r="G95" s="37" t="s">
        <v>1662</v>
      </c>
      <c r="H95" s="37">
        <v>0.49</v>
      </c>
      <c r="I95" s="37">
        <v>0</v>
      </c>
      <c r="J95" s="38">
        <v>5919.84</v>
      </c>
      <c r="K95" s="37" t="s">
        <v>615</v>
      </c>
      <c r="O95" s="37">
        <v>0</v>
      </c>
      <c r="P95" s="37">
        <v>0</v>
      </c>
      <c r="Q95" s="37">
        <v>0</v>
      </c>
      <c r="R95" s="37">
        <v>96.89</v>
      </c>
      <c r="S95" s="37" t="s">
        <v>1789</v>
      </c>
      <c r="T95" s="37">
        <v>1675</v>
      </c>
      <c r="V95" s="37" t="s">
        <v>1664</v>
      </c>
    </row>
    <row r="96" spans="1:22">
      <c r="A96" s="54">
        <v>45373</v>
      </c>
      <c r="B96" s="37" t="s">
        <v>1790</v>
      </c>
      <c r="C96" s="37" t="s">
        <v>1658</v>
      </c>
      <c r="D96" s="37" t="s">
        <v>1659</v>
      </c>
      <c r="F96" s="37" t="s">
        <v>782</v>
      </c>
      <c r="G96" s="37" t="s">
        <v>1662</v>
      </c>
      <c r="H96" s="37">
        <v>0.26</v>
      </c>
      <c r="I96" s="37">
        <v>0</v>
      </c>
      <c r="J96" s="38">
        <v>5920.1</v>
      </c>
      <c r="K96" s="37" t="s">
        <v>615</v>
      </c>
      <c r="O96" s="37">
        <v>0</v>
      </c>
      <c r="P96" s="37">
        <v>0</v>
      </c>
      <c r="Q96" s="37">
        <v>0</v>
      </c>
      <c r="R96" s="37">
        <v>96.89</v>
      </c>
      <c r="S96" s="37" t="s">
        <v>1791</v>
      </c>
      <c r="T96" s="37">
        <v>1676</v>
      </c>
      <c r="V96" s="37" t="s">
        <v>1664</v>
      </c>
    </row>
    <row r="97" spans="1:22">
      <c r="A97" s="54">
        <v>45373</v>
      </c>
      <c r="B97" s="37" t="s">
        <v>1792</v>
      </c>
      <c r="C97" s="37" t="s">
        <v>1658</v>
      </c>
      <c r="D97" s="37" t="s">
        <v>1659</v>
      </c>
      <c r="F97" s="37" t="s">
        <v>782</v>
      </c>
      <c r="G97" s="37" t="s">
        <v>1662</v>
      </c>
      <c r="H97" s="37">
        <v>0.26</v>
      </c>
      <c r="I97" s="37">
        <v>0</v>
      </c>
      <c r="J97" s="38">
        <v>5920.36</v>
      </c>
      <c r="K97" s="37" t="s">
        <v>615</v>
      </c>
      <c r="O97" s="37">
        <v>0</v>
      </c>
      <c r="P97" s="37">
        <v>0</v>
      </c>
      <c r="Q97" s="37">
        <v>0</v>
      </c>
      <c r="R97" s="37">
        <v>96.89</v>
      </c>
      <c r="S97" s="37" t="s">
        <v>1793</v>
      </c>
      <c r="T97" s="37">
        <v>1677</v>
      </c>
      <c r="V97" s="37" t="s">
        <v>1664</v>
      </c>
    </row>
    <row r="98" spans="1:22">
      <c r="A98" s="54">
        <v>45373</v>
      </c>
      <c r="B98" s="37" t="s">
        <v>1794</v>
      </c>
      <c r="C98" s="37" t="s">
        <v>1658</v>
      </c>
      <c r="D98" s="37" t="s">
        <v>1659</v>
      </c>
      <c r="F98" s="37" t="s">
        <v>782</v>
      </c>
      <c r="G98" s="37" t="s">
        <v>1662</v>
      </c>
      <c r="H98" s="37">
        <v>0.26</v>
      </c>
      <c r="I98" s="37">
        <v>0</v>
      </c>
      <c r="J98" s="38">
        <v>5920.62</v>
      </c>
      <c r="K98" s="37" t="s">
        <v>615</v>
      </c>
      <c r="O98" s="37">
        <v>0</v>
      </c>
      <c r="P98" s="37">
        <v>0</v>
      </c>
      <c r="Q98" s="37">
        <v>0</v>
      </c>
      <c r="R98" s="37">
        <v>96.89</v>
      </c>
      <c r="S98" s="37" t="s">
        <v>1795</v>
      </c>
      <c r="T98" s="37">
        <v>1678</v>
      </c>
      <c r="V98" s="37" t="s">
        <v>1664</v>
      </c>
    </row>
    <row r="99" spans="1:22">
      <c r="A99" s="54">
        <v>45373</v>
      </c>
      <c r="B99" s="37" t="s">
        <v>1796</v>
      </c>
      <c r="C99" s="37" t="s">
        <v>1658</v>
      </c>
      <c r="D99" s="37" t="s">
        <v>1659</v>
      </c>
      <c r="F99" s="37" t="s">
        <v>782</v>
      </c>
      <c r="G99" s="37" t="s">
        <v>1662</v>
      </c>
      <c r="H99" s="37">
        <v>2.13</v>
      </c>
      <c r="I99" s="37">
        <v>0</v>
      </c>
      <c r="J99" s="38">
        <v>5922.75</v>
      </c>
      <c r="K99" s="37" t="s">
        <v>615</v>
      </c>
      <c r="O99" s="37">
        <v>0</v>
      </c>
      <c r="P99" s="37">
        <v>0</v>
      </c>
      <c r="Q99" s="37">
        <v>0</v>
      </c>
      <c r="R99" s="37">
        <v>96.89</v>
      </c>
      <c r="S99" s="37" t="s">
        <v>1783</v>
      </c>
      <c r="T99" s="37">
        <v>1680</v>
      </c>
      <c r="V99" s="37" t="s">
        <v>1664</v>
      </c>
    </row>
    <row r="100" spans="1:22">
      <c r="A100" s="54">
        <v>45373</v>
      </c>
      <c r="B100" s="37" t="s">
        <v>1797</v>
      </c>
      <c r="C100" s="37" t="s">
        <v>1658</v>
      </c>
      <c r="D100" s="37" t="s">
        <v>1659</v>
      </c>
      <c r="F100" s="37" t="s">
        <v>782</v>
      </c>
      <c r="G100" s="37" t="s">
        <v>1662</v>
      </c>
      <c r="H100" s="37">
        <v>16</v>
      </c>
      <c r="I100" s="37">
        <v>0</v>
      </c>
      <c r="J100" s="38">
        <v>5938.75</v>
      </c>
      <c r="K100" s="37" t="s">
        <v>615</v>
      </c>
      <c r="O100" s="37">
        <v>0</v>
      </c>
      <c r="P100" s="37">
        <v>0</v>
      </c>
      <c r="Q100" s="37">
        <v>0</v>
      </c>
      <c r="R100" s="37">
        <v>96.89</v>
      </c>
      <c r="S100" s="37" t="s">
        <v>1785</v>
      </c>
      <c r="T100" s="37">
        <v>1681</v>
      </c>
      <c r="V100" s="37" t="s">
        <v>1664</v>
      </c>
    </row>
    <row r="101" spans="1:22">
      <c r="A101" s="54">
        <v>45373</v>
      </c>
      <c r="B101" s="37" t="s">
        <v>1798</v>
      </c>
      <c r="C101" s="37" t="s">
        <v>1658</v>
      </c>
      <c r="D101" s="37" t="s">
        <v>1659</v>
      </c>
      <c r="F101" s="37" t="s">
        <v>782</v>
      </c>
      <c r="G101" s="37" t="s">
        <v>1662</v>
      </c>
      <c r="H101" s="37">
        <v>0.41</v>
      </c>
      <c r="I101" s="37">
        <v>0</v>
      </c>
      <c r="J101" s="38">
        <v>5939.16</v>
      </c>
      <c r="K101" s="37" t="s">
        <v>615</v>
      </c>
      <c r="O101" s="37">
        <v>0</v>
      </c>
      <c r="P101" s="37">
        <v>0</v>
      </c>
      <c r="Q101" s="37">
        <v>0</v>
      </c>
      <c r="R101" s="37">
        <v>96.89</v>
      </c>
      <c r="S101" s="37" t="s">
        <v>1786</v>
      </c>
      <c r="T101" s="37">
        <v>1682</v>
      </c>
      <c r="V101" s="37" t="s">
        <v>1664</v>
      </c>
    </row>
    <row r="102" spans="1:22">
      <c r="A102" s="54">
        <v>45373</v>
      </c>
      <c r="B102" s="37" t="s">
        <v>1799</v>
      </c>
      <c r="C102" s="37" t="s">
        <v>1658</v>
      </c>
      <c r="D102" s="37" t="s">
        <v>1659</v>
      </c>
      <c r="F102" s="37" t="s">
        <v>782</v>
      </c>
      <c r="G102" s="37" t="s">
        <v>1662</v>
      </c>
      <c r="H102" s="37">
        <v>0.26</v>
      </c>
      <c r="I102" s="37">
        <v>0</v>
      </c>
      <c r="J102" s="38">
        <v>5939.42</v>
      </c>
      <c r="K102" s="37" t="s">
        <v>615</v>
      </c>
      <c r="O102" s="37">
        <v>0</v>
      </c>
      <c r="P102" s="37">
        <v>0</v>
      </c>
      <c r="Q102" s="37">
        <v>0</v>
      </c>
      <c r="R102" s="37">
        <v>96.89</v>
      </c>
      <c r="S102" s="37" t="s">
        <v>1788</v>
      </c>
      <c r="T102" s="37">
        <v>1683</v>
      </c>
      <c r="V102" s="37" t="s">
        <v>1664</v>
      </c>
    </row>
    <row r="103" spans="1:22">
      <c r="A103" s="54">
        <v>45373</v>
      </c>
      <c r="B103" s="37" t="s">
        <v>1800</v>
      </c>
      <c r="C103" s="37" t="s">
        <v>1658</v>
      </c>
      <c r="D103" s="37" t="s">
        <v>1659</v>
      </c>
      <c r="F103" s="37" t="s">
        <v>782</v>
      </c>
      <c r="G103" s="37" t="s">
        <v>1662</v>
      </c>
      <c r="H103" s="37">
        <v>1.34</v>
      </c>
      <c r="I103" s="37">
        <v>0</v>
      </c>
      <c r="J103" s="38">
        <v>5940.76</v>
      </c>
      <c r="K103" s="37" t="s">
        <v>615</v>
      </c>
      <c r="O103" s="37">
        <v>0</v>
      </c>
      <c r="P103" s="37">
        <v>0</v>
      </c>
      <c r="Q103" s="37">
        <v>0</v>
      </c>
      <c r="R103" s="37">
        <v>96.89</v>
      </c>
      <c r="S103" s="37" t="s">
        <v>1790</v>
      </c>
      <c r="T103" s="37">
        <v>1684</v>
      </c>
      <c r="V103" s="37" t="s">
        <v>1664</v>
      </c>
    </row>
    <row r="104" spans="1:22">
      <c r="A104" s="54">
        <v>45380</v>
      </c>
      <c r="B104" s="37" t="s">
        <v>1801</v>
      </c>
      <c r="C104" s="37" t="s">
        <v>1658</v>
      </c>
      <c r="D104" s="37" t="s">
        <v>1659</v>
      </c>
      <c r="F104" s="37" t="s">
        <v>782</v>
      </c>
      <c r="G104" s="37" t="s">
        <v>1802</v>
      </c>
      <c r="H104" s="37">
        <v>199.5</v>
      </c>
      <c r="I104" s="37">
        <v>0</v>
      </c>
      <c r="J104" s="38">
        <v>6140.26</v>
      </c>
      <c r="K104" s="37" t="s">
        <v>615</v>
      </c>
      <c r="O104" s="37">
        <v>0</v>
      </c>
      <c r="P104" s="37">
        <v>0</v>
      </c>
      <c r="Q104" s="37">
        <v>0</v>
      </c>
      <c r="R104" s="37">
        <v>96.89</v>
      </c>
      <c r="S104" s="37" t="s">
        <v>1803</v>
      </c>
      <c r="T104" s="37">
        <v>1796</v>
      </c>
      <c r="V104" s="37" t="s">
        <v>1664</v>
      </c>
    </row>
    <row r="105" spans="1:22">
      <c r="A105" s="54">
        <v>45380</v>
      </c>
      <c r="B105" s="37" t="s">
        <v>1804</v>
      </c>
      <c r="C105" s="37" t="s">
        <v>1658</v>
      </c>
      <c r="D105" s="37" t="s">
        <v>1659</v>
      </c>
      <c r="F105" s="37" t="s">
        <v>782</v>
      </c>
      <c r="G105" s="37" t="s">
        <v>1805</v>
      </c>
      <c r="H105" s="37">
        <v>1.2</v>
      </c>
      <c r="I105" s="37">
        <v>0</v>
      </c>
      <c r="J105" s="38">
        <v>6141.46</v>
      </c>
      <c r="K105" s="37" t="s">
        <v>615</v>
      </c>
      <c r="O105" s="37">
        <v>0</v>
      </c>
      <c r="P105" s="37">
        <v>0</v>
      </c>
      <c r="Q105" s="37">
        <v>0</v>
      </c>
      <c r="R105" s="37">
        <v>96.89</v>
      </c>
      <c r="S105" s="37" t="s">
        <v>1806</v>
      </c>
      <c r="T105" s="37">
        <v>1798</v>
      </c>
      <c r="V105" s="37" t="s">
        <v>1664</v>
      </c>
    </row>
    <row r="106" spans="1:22">
      <c r="A106" s="54">
        <v>45380</v>
      </c>
      <c r="B106" s="37" t="s">
        <v>1807</v>
      </c>
      <c r="C106" s="37" t="s">
        <v>1658</v>
      </c>
      <c r="D106" s="37" t="s">
        <v>1659</v>
      </c>
      <c r="F106" s="37" t="s">
        <v>782</v>
      </c>
      <c r="G106" s="37" t="s">
        <v>1808</v>
      </c>
      <c r="H106" s="37">
        <v>11.08</v>
      </c>
      <c r="I106" s="37">
        <v>0</v>
      </c>
      <c r="J106" s="38">
        <v>6152.54</v>
      </c>
      <c r="K106" s="37" t="s">
        <v>615</v>
      </c>
      <c r="O106" s="37">
        <v>0</v>
      </c>
      <c r="P106" s="37">
        <v>0</v>
      </c>
      <c r="Q106" s="37">
        <v>0</v>
      </c>
      <c r="R106" s="37">
        <v>96.89</v>
      </c>
      <c r="S106" s="37" t="s">
        <v>1809</v>
      </c>
      <c r="T106" s="37">
        <v>1800</v>
      </c>
      <c r="V106" s="37" t="s">
        <v>1664</v>
      </c>
    </row>
    <row r="107" spans="1:22">
      <c r="A107" s="54">
        <v>45382</v>
      </c>
      <c r="B107" s="37" t="s">
        <v>1810</v>
      </c>
      <c r="C107" s="37" t="s">
        <v>1658</v>
      </c>
      <c r="D107" s="37" t="s">
        <v>1659</v>
      </c>
      <c r="F107" s="37" t="s">
        <v>792</v>
      </c>
      <c r="G107" s="37" t="s">
        <v>1811</v>
      </c>
      <c r="H107" s="38">
        <v>1188.95</v>
      </c>
      <c r="I107" s="37">
        <v>0</v>
      </c>
      <c r="J107" s="38">
        <v>7341.49</v>
      </c>
      <c r="K107" s="37" t="s">
        <v>615</v>
      </c>
      <c r="N107" s="37" t="s">
        <v>811</v>
      </c>
      <c r="O107" s="37">
        <v>32.573900000000002</v>
      </c>
      <c r="P107" s="37">
        <v>36.5</v>
      </c>
      <c r="Q107" s="37">
        <v>0</v>
      </c>
      <c r="R107" s="37">
        <v>133.38999999999999</v>
      </c>
      <c r="T107" s="37">
        <v>1845</v>
      </c>
      <c r="V107" s="37" t="s">
        <v>1664</v>
      </c>
    </row>
    <row r="108" spans="1:22">
      <c r="A108" s="54">
        <v>45384</v>
      </c>
      <c r="B108" s="37" t="s">
        <v>1812</v>
      </c>
      <c r="C108" s="37" t="s">
        <v>1658</v>
      </c>
      <c r="D108" s="37" t="s">
        <v>1659</v>
      </c>
      <c r="F108" s="37" t="s">
        <v>782</v>
      </c>
      <c r="G108" s="37" t="s">
        <v>1662</v>
      </c>
      <c r="H108" s="37">
        <v>25.55</v>
      </c>
      <c r="I108" s="37">
        <v>0</v>
      </c>
      <c r="J108" s="38">
        <v>7367.04</v>
      </c>
      <c r="K108" s="37" t="s">
        <v>615</v>
      </c>
      <c r="O108" s="37">
        <v>0</v>
      </c>
      <c r="P108" s="37">
        <v>0</v>
      </c>
      <c r="Q108" s="37">
        <v>0</v>
      </c>
      <c r="R108" s="37">
        <v>133.38999999999999</v>
      </c>
      <c r="S108" s="37" t="s">
        <v>1813</v>
      </c>
      <c r="T108" s="37">
        <v>0</v>
      </c>
      <c r="V108" s="37" t="s">
        <v>1664</v>
      </c>
    </row>
    <row r="109" spans="1:22">
      <c r="A109" s="54">
        <v>45384</v>
      </c>
      <c r="B109" s="37" t="s">
        <v>1814</v>
      </c>
      <c r="C109" s="37" t="s">
        <v>1658</v>
      </c>
      <c r="D109" s="37" t="s">
        <v>1659</v>
      </c>
      <c r="F109" s="37" t="s">
        <v>782</v>
      </c>
      <c r="G109" s="37" t="s">
        <v>1662</v>
      </c>
      <c r="H109" s="37">
        <v>1.19</v>
      </c>
      <c r="I109" s="37">
        <v>0</v>
      </c>
      <c r="J109" s="38">
        <v>7368.23</v>
      </c>
      <c r="K109" s="37" t="s">
        <v>615</v>
      </c>
      <c r="O109" s="37">
        <v>0</v>
      </c>
      <c r="P109" s="37">
        <v>0</v>
      </c>
      <c r="Q109" s="37">
        <v>0</v>
      </c>
      <c r="R109" s="37">
        <v>133.38999999999999</v>
      </c>
      <c r="S109" s="37" t="s">
        <v>1812</v>
      </c>
      <c r="T109" s="37">
        <v>0</v>
      </c>
      <c r="V109" s="37" t="s">
        <v>1664</v>
      </c>
    </row>
    <row r="110" spans="1:22">
      <c r="A110" s="54">
        <v>45384</v>
      </c>
      <c r="B110" s="37" t="s">
        <v>1306</v>
      </c>
      <c r="C110" s="37" t="s">
        <v>1658</v>
      </c>
      <c r="D110" s="37" t="s">
        <v>1659</v>
      </c>
      <c r="F110" s="37" t="s">
        <v>782</v>
      </c>
      <c r="G110" s="37" t="s">
        <v>1662</v>
      </c>
      <c r="H110" s="37">
        <v>0.46</v>
      </c>
      <c r="I110" s="37">
        <v>0</v>
      </c>
      <c r="J110" s="38">
        <v>7368.69</v>
      </c>
      <c r="K110" s="37" t="s">
        <v>615</v>
      </c>
      <c r="O110" s="37">
        <v>0</v>
      </c>
      <c r="P110" s="37">
        <v>0</v>
      </c>
      <c r="Q110" s="37">
        <v>0</v>
      </c>
      <c r="R110" s="37">
        <v>133.38999999999999</v>
      </c>
      <c r="S110" s="37" t="s">
        <v>1814</v>
      </c>
      <c r="T110" s="37">
        <v>0</v>
      </c>
      <c r="V110" s="37" t="s">
        <v>1664</v>
      </c>
    </row>
    <row r="111" spans="1:22">
      <c r="A111" s="54">
        <v>45385</v>
      </c>
      <c r="B111" s="37" t="s">
        <v>1815</v>
      </c>
      <c r="C111" s="37" t="s">
        <v>1658</v>
      </c>
      <c r="D111" s="37" t="s">
        <v>1659</v>
      </c>
      <c r="F111" s="37" t="s">
        <v>782</v>
      </c>
      <c r="G111" s="37" t="s">
        <v>1721</v>
      </c>
      <c r="H111" s="37">
        <v>32.82</v>
      </c>
      <c r="I111" s="37">
        <v>0</v>
      </c>
      <c r="J111" s="38">
        <v>7401.51</v>
      </c>
      <c r="K111" s="37" t="s">
        <v>615</v>
      </c>
      <c r="O111" s="37">
        <v>0</v>
      </c>
      <c r="P111" s="37">
        <v>0</v>
      </c>
      <c r="Q111" s="37">
        <v>0</v>
      </c>
      <c r="R111" s="37">
        <v>133.38999999999999</v>
      </c>
      <c r="S111" s="37" t="s">
        <v>1816</v>
      </c>
      <c r="T111" s="37">
        <v>0</v>
      </c>
      <c r="V111" s="37" t="s">
        <v>1664</v>
      </c>
    </row>
    <row r="112" spans="1:22">
      <c r="A112" s="54">
        <v>45386</v>
      </c>
      <c r="B112" s="37" t="s">
        <v>1817</v>
      </c>
      <c r="C112" s="37" t="s">
        <v>1658</v>
      </c>
      <c r="D112" s="37" t="s">
        <v>1659</v>
      </c>
      <c r="F112" s="37" t="s">
        <v>782</v>
      </c>
      <c r="G112" s="37" t="s">
        <v>1721</v>
      </c>
      <c r="H112" s="37">
        <v>32.590000000000003</v>
      </c>
      <c r="I112" s="37">
        <v>0</v>
      </c>
      <c r="J112" s="38">
        <v>7434.1</v>
      </c>
      <c r="K112" s="37" t="s">
        <v>615</v>
      </c>
      <c r="O112" s="37">
        <v>0</v>
      </c>
      <c r="P112" s="37">
        <v>0</v>
      </c>
      <c r="Q112" s="37">
        <v>0</v>
      </c>
      <c r="R112" s="37">
        <v>133.38999999999999</v>
      </c>
      <c r="S112" s="37" t="s">
        <v>1818</v>
      </c>
      <c r="T112" s="37">
        <v>0</v>
      </c>
      <c r="V112" s="37" t="s">
        <v>1664</v>
      </c>
    </row>
    <row r="113" spans="1:22">
      <c r="A113" s="54">
        <v>45386</v>
      </c>
      <c r="B113" s="37" t="s">
        <v>1819</v>
      </c>
      <c r="C113" s="37" t="s">
        <v>1658</v>
      </c>
      <c r="D113" s="37" t="s">
        <v>1659</v>
      </c>
      <c r="F113" s="37" t="s">
        <v>782</v>
      </c>
      <c r="G113" s="37" t="s">
        <v>1820</v>
      </c>
      <c r="H113" s="37">
        <v>17.95</v>
      </c>
      <c r="I113" s="37">
        <v>0</v>
      </c>
      <c r="J113" s="38">
        <v>7452.05</v>
      </c>
      <c r="K113" s="37" t="s">
        <v>615</v>
      </c>
      <c r="O113" s="37">
        <v>0</v>
      </c>
      <c r="P113" s="37">
        <v>0</v>
      </c>
      <c r="Q113" s="37">
        <v>0</v>
      </c>
      <c r="R113" s="37">
        <v>133.38999999999999</v>
      </c>
      <c r="S113" s="37" t="s">
        <v>1821</v>
      </c>
      <c r="T113" s="37">
        <v>0</v>
      </c>
      <c r="V113" s="37" t="s">
        <v>1664</v>
      </c>
    </row>
    <row r="114" spans="1:22">
      <c r="A114" s="54">
        <v>45386</v>
      </c>
      <c r="B114" s="37" t="s">
        <v>1822</v>
      </c>
      <c r="C114" s="37" t="s">
        <v>1658</v>
      </c>
      <c r="D114" s="37" t="s">
        <v>1659</v>
      </c>
      <c r="F114" s="37" t="s">
        <v>782</v>
      </c>
      <c r="G114" s="37" t="s">
        <v>1662</v>
      </c>
      <c r="H114" s="37">
        <v>132.13999999999999</v>
      </c>
      <c r="I114" s="37">
        <v>0</v>
      </c>
      <c r="J114" s="38">
        <v>7584.19</v>
      </c>
      <c r="K114" s="37" t="s">
        <v>615</v>
      </c>
      <c r="O114" s="37">
        <v>0</v>
      </c>
      <c r="P114" s="37">
        <v>0</v>
      </c>
      <c r="Q114" s="37">
        <v>0</v>
      </c>
      <c r="R114" s="37">
        <v>133.38999999999999</v>
      </c>
      <c r="S114" s="37" t="s">
        <v>1819</v>
      </c>
      <c r="T114" s="37">
        <v>0</v>
      </c>
      <c r="V114" s="37" t="s">
        <v>1664</v>
      </c>
    </row>
    <row r="115" spans="1:22">
      <c r="A115" s="54">
        <v>45398</v>
      </c>
      <c r="B115" s="37" t="s">
        <v>1823</v>
      </c>
      <c r="C115" s="37" t="s">
        <v>1658</v>
      </c>
      <c r="D115" s="37" t="s">
        <v>1659</v>
      </c>
      <c r="F115" s="37" t="s">
        <v>782</v>
      </c>
      <c r="G115" s="37" t="s">
        <v>1824</v>
      </c>
      <c r="H115" s="37">
        <v>28.18</v>
      </c>
      <c r="I115" s="37">
        <v>0</v>
      </c>
      <c r="J115" s="38">
        <v>7612.37</v>
      </c>
      <c r="K115" s="37" t="s">
        <v>615</v>
      </c>
      <c r="O115" s="37">
        <v>0</v>
      </c>
      <c r="P115" s="37">
        <v>0</v>
      </c>
      <c r="Q115" s="37">
        <v>0</v>
      </c>
      <c r="R115" s="37">
        <v>133.38999999999999</v>
      </c>
      <c r="S115" s="37" t="s">
        <v>1825</v>
      </c>
      <c r="T115" s="37">
        <v>0</v>
      </c>
      <c r="V115" s="37" t="s">
        <v>1664</v>
      </c>
    </row>
    <row r="116" spans="1:22">
      <c r="A116" s="54">
        <v>45401</v>
      </c>
      <c r="B116" s="37" t="s">
        <v>1826</v>
      </c>
      <c r="C116" s="37" t="s">
        <v>1658</v>
      </c>
      <c r="D116" s="37" t="s">
        <v>1659</v>
      </c>
      <c r="F116" s="37" t="s">
        <v>782</v>
      </c>
      <c r="G116" s="37" t="s">
        <v>1827</v>
      </c>
      <c r="H116" s="37">
        <v>0.66</v>
      </c>
      <c r="I116" s="37">
        <v>0</v>
      </c>
      <c r="J116" s="38">
        <v>7613.03</v>
      </c>
      <c r="K116" s="37" t="s">
        <v>615</v>
      </c>
      <c r="O116" s="37">
        <v>0</v>
      </c>
      <c r="P116" s="37">
        <v>0</v>
      </c>
      <c r="Q116" s="37">
        <v>0</v>
      </c>
      <c r="R116" s="37">
        <v>133.38999999999999</v>
      </c>
      <c r="S116" s="37" t="s">
        <v>1307</v>
      </c>
      <c r="T116" s="37">
        <v>0</v>
      </c>
      <c r="V116" s="37" t="s">
        <v>1664</v>
      </c>
    </row>
    <row r="117" spans="1:22">
      <c r="A117" s="54">
        <v>45406</v>
      </c>
      <c r="B117" s="37" t="s">
        <v>1828</v>
      </c>
      <c r="C117" s="37" t="s">
        <v>1658</v>
      </c>
      <c r="D117" s="37" t="s">
        <v>1659</v>
      </c>
      <c r="F117" s="37" t="s">
        <v>782</v>
      </c>
      <c r="G117" s="37" t="s">
        <v>1764</v>
      </c>
      <c r="H117" s="38">
        <v>1159.8</v>
      </c>
      <c r="I117" s="37">
        <v>0</v>
      </c>
      <c r="J117" s="38">
        <v>8772.83</v>
      </c>
      <c r="K117" s="37" t="s">
        <v>615</v>
      </c>
      <c r="N117" s="37" t="s">
        <v>811</v>
      </c>
      <c r="O117" s="37">
        <v>34.620699999999999</v>
      </c>
      <c r="P117" s="37">
        <v>33.5</v>
      </c>
      <c r="Q117" s="37">
        <v>0</v>
      </c>
      <c r="R117" s="37">
        <v>166.89</v>
      </c>
      <c r="S117" s="37" t="s">
        <v>1828</v>
      </c>
      <c r="T117" s="37">
        <v>0</v>
      </c>
      <c r="V117" s="37" t="s">
        <v>1664</v>
      </c>
    </row>
    <row r="118" spans="1:22">
      <c r="A118" s="54">
        <v>45408</v>
      </c>
      <c r="B118" s="37" t="s">
        <v>1829</v>
      </c>
      <c r="C118" s="37" t="s">
        <v>1658</v>
      </c>
      <c r="D118" s="37" t="s">
        <v>1659</v>
      </c>
      <c r="F118" s="37" t="s">
        <v>782</v>
      </c>
      <c r="G118" s="37" t="s">
        <v>1820</v>
      </c>
      <c r="H118" s="37">
        <v>2.46</v>
      </c>
      <c r="I118" s="37">
        <v>0</v>
      </c>
      <c r="J118" s="38">
        <v>8775.2900000000009</v>
      </c>
      <c r="K118" s="37" t="s">
        <v>615</v>
      </c>
      <c r="O118" s="37">
        <v>0</v>
      </c>
      <c r="P118" s="37">
        <v>0</v>
      </c>
      <c r="Q118" s="37">
        <v>0</v>
      </c>
      <c r="R118" s="37">
        <v>166.89</v>
      </c>
      <c r="S118" s="37" t="s">
        <v>1830</v>
      </c>
      <c r="T118" s="37">
        <v>0</v>
      </c>
      <c r="V118" s="37" t="s">
        <v>1664</v>
      </c>
    </row>
    <row r="119" spans="1:22">
      <c r="A119" s="54">
        <v>45411</v>
      </c>
      <c r="B119" s="37" t="s">
        <v>1309</v>
      </c>
      <c r="C119" s="37" t="s">
        <v>1658</v>
      </c>
      <c r="D119" s="37" t="s">
        <v>1659</v>
      </c>
      <c r="E119" s="37" t="s">
        <v>1275</v>
      </c>
      <c r="F119" s="37" t="s">
        <v>782</v>
      </c>
      <c r="G119" s="37" t="s">
        <v>1831</v>
      </c>
      <c r="H119" s="37">
        <v>590.62</v>
      </c>
      <c r="I119" s="37">
        <v>0</v>
      </c>
      <c r="J119" s="38">
        <v>9365.91</v>
      </c>
      <c r="K119" s="37" t="s">
        <v>615</v>
      </c>
      <c r="O119" s="37">
        <v>0</v>
      </c>
      <c r="P119" s="37">
        <v>0</v>
      </c>
      <c r="Q119" s="37">
        <v>0</v>
      </c>
      <c r="R119" s="37">
        <v>166.89</v>
      </c>
      <c r="S119" s="37" t="s">
        <v>1832</v>
      </c>
      <c r="T119" s="37">
        <v>0</v>
      </c>
      <c r="U119" s="37" t="s">
        <v>1276</v>
      </c>
      <c r="V119" s="37" t="s">
        <v>1685</v>
      </c>
    </row>
    <row r="120" spans="1:22">
      <c r="A120" s="54">
        <v>45415</v>
      </c>
      <c r="B120" s="37" t="s">
        <v>1833</v>
      </c>
      <c r="C120" s="37" t="s">
        <v>1658</v>
      </c>
      <c r="D120" s="37" t="s">
        <v>1659</v>
      </c>
      <c r="F120" s="37" t="s">
        <v>782</v>
      </c>
      <c r="G120" s="37" t="s">
        <v>1662</v>
      </c>
      <c r="H120" s="38">
        <v>1486.5</v>
      </c>
      <c r="I120" s="37">
        <v>0</v>
      </c>
      <c r="J120" s="38">
        <v>10852.41</v>
      </c>
      <c r="K120" s="37" t="s">
        <v>615</v>
      </c>
      <c r="O120" s="37">
        <v>0</v>
      </c>
      <c r="P120" s="37">
        <v>0</v>
      </c>
      <c r="Q120" s="37">
        <v>0</v>
      </c>
      <c r="R120" s="37">
        <v>166.89</v>
      </c>
      <c r="S120" s="37" t="s">
        <v>1834</v>
      </c>
      <c r="T120" s="37">
        <v>0</v>
      </c>
      <c r="V120" s="37" t="s">
        <v>1664</v>
      </c>
    </row>
    <row r="121" spans="1:22">
      <c r="A121" s="54">
        <v>45421</v>
      </c>
      <c r="B121" s="37" t="s">
        <v>1835</v>
      </c>
      <c r="C121" s="37" t="s">
        <v>1658</v>
      </c>
      <c r="D121" s="37" t="s">
        <v>1659</v>
      </c>
      <c r="F121" s="37" t="s">
        <v>782</v>
      </c>
      <c r="G121" s="37" t="s">
        <v>1662</v>
      </c>
      <c r="H121" s="37">
        <v>132.9</v>
      </c>
      <c r="I121" s="37">
        <v>0</v>
      </c>
      <c r="J121" s="38">
        <v>10985.31</v>
      </c>
      <c r="K121" s="37" t="s">
        <v>615</v>
      </c>
      <c r="O121" s="37">
        <v>0</v>
      </c>
      <c r="P121" s="37">
        <v>0</v>
      </c>
      <c r="Q121" s="37">
        <v>0</v>
      </c>
      <c r="R121" s="37">
        <v>166.89</v>
      </c>
      <c r="S121" s="37" t="s">
        <v>1836</v>
      </c>
      <c r="T121" s="37">
        <v>0</v>
      </c>
      <c r="V121" s="37" t="s">
        <v>1664</v>
      </c>
    </row>
    <row r="122" spans="1:22">
      <c r="A122" s="54">
        <v>45421</v>
      </c>
      <c r="B122" s="37" t="s">
        <v>1837</v>
      </c>
      <c r="C122" s="37" t="s">
        <v>1658</v>
      </c>
      <c r="D122" s="37" t="s">
        <v>1659</v>
      </c>
      <c r="E122" s="37" t="s">
        <v>1275</v>
      </c>
      <c r="F122" s="37" t="s">
        <v>782</v>
      </c>
      <c r="G122" s="37" t="s">
        <v>1718</v>
      </c>
      <c r="H122" s="37">
        <v>183.75</v>
      </c>
      <c r="I122" s="37">
        <v>0</v>
      </c>
      <c r="J122" s="38">
        <v>11169.06</v>
      </c>
      <c r="K122" s="37" t="s">
        <v>615</v>
      </c>
      <c r="O122" s="37">
        <v>0</v>
      </c>
      <c r="P122" s="37">
        <v>0</v>
      </c>
      <c r="Q122" s="37">
        <v>0</v>
      </c>
      <c r="R122" s="37">
        <v>166.89</v>
      </c>
      <c r="S122" s="37" t="s">
        <v>1838</v>
      </c>
      <c r="T122" s="37">
        <v>0</v>
      </c>
      <c r="U122" s="37" t="s">
        <v>1276</v>
      </c>
      <c r="V122" s="37" t="s">
        <v>1685</v>
      </c>
    </row>
    <row r="123" spans="1:22">
      <c r="A123" s="54">
        <v>45421</v>
      </c>
      <c r="B123" s="37" t="s">
        <v>1837</v>
      </c>
      <c r="C123" s="37" t="s">
        <v>1658</v>
      </c>
      <c r="D123" s="37" t="s">
        <v>1659</v>
      </c>
      <c r="E123" s="37" t="s">
        <v>1275</v>
      </c>
      <c r="F123" s="37" t="s">
        <v>782</v>
      </c>
      <c r="G123" s="37" t="s">
        <v>1718</v>
      </c>
      <c r="H123" s="37">
        <v>183.75</v>
      </c>
      <c r="I123" s="37">
        <v>0</v>
      </c>
      <c r="J123" s="38">
        <v>11352.81</v>
      </c>
      <c r="K123" s="37" t="s">
        <v>615</v>
      </c>
      <c r="O123" s="37">
        <v>0</v>
      </c>
      <c r="P123" s="37">
        <v>0</v>
      </c>
      <c r="Q123" s="37">
        <v>0</v>
      </c>
      <c r="R123" s="37">
        <v>166.89</v>
      </c>
      <c r="S123" s="37" t="s">
        <v>1838</v>
      </c>
      <c r="T123" s="37">
        <v>0</v>
      </c>
      <c r="U123" s="37" t="s">
        <v>1276</v>
      </c>
      <c r="V123" s="37" t="s">
        <v>1685</v>
      </c>
    </row>
    <row r="124" spans="1:22">
      <c r="A124" s="54">
        <v>45421</v>
      </c>
      <c r="B124" s="37" t="s">
        <v>1837</v>
      </c>
      <c r="C124" s="37" t="s">
        <v>1658</v>
      </c>
      <c r="D124" s="37" t="s">
        <v>1659</v>
      </c>
      <c r="E124" s="37" t="s">
        <v>1275</v>
      </c>
      <c r="F124" s="37" t="s">
        <v>782</v>
      </c>
      <c r="G124" s="37" t="s">
        <v>1718</v>
      </c>
      <c r="H124" s="37">
        <v>183.75</v>
      </c>
      <c r="I124" s="37">
        <v>0</v>
      </c>
      <c r="J124" s="38">
        <v>11536.56</v>
      </c>
      <c r="K124" s="37" t="s">
        <v>615</v>
      </c>
      <c r="O124" s="37">
        <v>0</v>
      </c>
      <c r="P124" s="37">
        <v>0</v>
      </c>
      <c r="Q124" s="37">
        <v>0</v>
      </c>
      <c r="R124" s="37">
        <v>166.89</v>
      </c>
      <c r="S124" s="37" t="s">
        <v>1838</v>
      </c>
      <c r="T124" s="37">
        <v>0</v>
      </c>
      <c r="U124" s="37" t="s">
        <v>1276</v>
      </c>
      <c r="V124" s="37" t="s">
        <v>1685</v>
      </c>
    </row>
    <row r="125" spans="1:22">
      <c r="A125" s="54">
        <v>45421</v>
      </c>
      <c r="B125" s="37" t="s">
        <v>1837</v>
      </c>
      <c r="C125" s="37" t="s">
        <v>1658</v>
      </c>
      <c r="D125" s="37" t="s">
        <v>1659</v>
      </c>
      <c r="E125" s="37" t="s">
        <v>1275</v>
      </c>
      <c r="F125" s="37" t="s">
        <v>782</v>
      </c>
      <c r="G125" s="37" t="s">
        <v>1718</v>
      </c>
      <c r="H125" s="37">
        <v>183.75</v>
      </c>
      <c r="I125" s="37">
        <v>0</v>
      </c>
      <c r="J125" s="38">
        <v>11720.31</v>
      </c>
      <c r="K125" s="37" t="s">
        <v>615</v>
      </c>
      <c r="O125" s="37">
        <v>0</v>
      </c>
      <c r="P125" s="37">
        <v>0</v>
      </c>
      <c r="Q125" s="37">
        <v>0</v>
      </c>
      <c r="R125" s="37">
        <v>166.89</v>
      </c>
      <c r="S125" s="37" t="s">
        <v>1838</v>
      </c>
      <c r="T125" s="37">
        <v>0</v>
      </c>
      <c r="U125" s="37" t="s">
        <v>1276</v>
      </c>
      <c r="V125" s="37" t="s">
        <v>1685</v>
      </c>
    </row>
    <row r="126" spans="1:22">
      <c r="A126" s="54">
        <v>45422</v>
      </c>
      <c r="B126" s="37" t="s">
        <v>1839</v>
      </c>
      <c r="C126" s="37" t="s">
        <v>1658</v>
      </c>
      <c r="D126" s="37" t="s">
        <v>1659</v>
      </c>
      <c r="F126" s="37" t="s">
        <v>782</v>
      </c>
      <c r="G126" s="37" t="s">
        <v>1840</v>
      </c>
      <c r="H126" s="37">
        <v>892.51</v>
      </c>
      <c r="I126" s="37">
        <v>0</v>
      </c>
      <c r="J126" s="38">
        <v>12612.82</v>
      </c>
      <c r="K126" s="37" t="s">
        <v>615</v>
      </c>
      <c r="O126" s="37">
        <v>0</v>
      </c>
      <c r="P126" s="37">
        <v>0</v>
      </c>
      <c r="Q126" s="37">
        <v>0</v>
      </c>
      <c r="R126" s="37">
        <v>166.89</v>
      </c>
      <c r="S126" s="37" t="s">
        <v>1841</v>
      </c>
      <c r="T126" s="37">
        <v>0</v>
      </c>
      <c r="V126" s="37" t="s">
        <v>1664</v>
      </c>
    </row>
    <row r="127" spans="1:22">
      <c r="A127" s="54">
        <v>45428</v>
      </c>
      <c r="B127" s="37" t="s">
        <v>1842</v>
      </c>
      <c r="C127" s="37" t="s">
        <v>1658</v>
      </c>
      <c r="D127" s="37" t="s">
        <v>1659</v>
      </c>
      <c r="F127" s="37" t="s">
        <v>782</v>
      </c>
      <c r="G127" s="37" t="s">
        <v>1843</v>
      </c>
      <c r="H127" s="38">
        <v>24230.75</v>
      </c>
      <c r="I127" s="37">
        <v>0</v>
      </c>
      <c r="J127" s="38">
        <v>36843.57</v>
      </c>
      <c r="K127" s="37" t="s">
        <v>615</v>
      </c>
      <c r="O127" s="37">
        <v>0</v>
      </c>
      <c r="P127" s="37">
        <v>0</v>
      </c>
      <c r="Q127" s="37">
        <v>0</v>
      </c>
      <c r="R127" s="37">
        <v>166.89</v>
      </c>
      <c r="S127" s="37" t="s">
        <v>1844</v>
      </c>
      <c r="T127" s="37">
        <v>0</v>
      </c>
      <c r="V127" s="37" t="s">
        <v>1664</v>
      </c>
    </row>
    <row r="128" spans="1:22">
      <c r="A128" s="54">
        <v>45429</v>
      </c>
      <c r="B128" s="37" t="s">
        <v>1845</v>
      </c>
      <c r="C128" s="37" t="s">
        <v>1658</v>
      </c>
      <c r="D128" s="37" t="s">
        <v>1659</v>
      </c>
      <c r="F128" s="37" t="s">
        <v>782</v>
      </c>
      <c r="G128" s="37" t="s">
        <v>1721</v>
      </c>
      <c r="H128" s="37">
        <v>32.799999999999997</v>
      </c>
      <c r="I128" s="37">
        <v>0</v>
      </c>
      <c r="J128" s="38">
        <v>36876.370000000003</v>
      </c>
      <c r="K128" s="37" t="s">
        <v>615</v>
      </c>
      <c r="O128" s="37">
        <v>0</v>
      </c>
      <c r="P128" s="37">
        <v>0</v>
      </c>
      <c r="Q128" s="37">
        <v>0</v>
      </c>
      <c r="R128" s="37">
        <v>166.89</v>
      </c>
      <c r="S128" s="37" t="s">
        <v>1846</v>
      </c>
      <c r="T128" s="37">
        <v>0</v>
      </c>
      <c r="V128" s="37" t="s">
        <v>1664</v>
      </c>
    </row>
    <row r="129" spans="1:22">
      <c r="A129" s="54">
        <v>45429</v>
      </c>
      <c r="B129" s="37" t="s">
        <v>1847</v>
      </c>
      <c r="C129" s="37" t="s">
        <v>1658</v>
      </c>
      <c r="D129" s="37" t="s">
        <v>1659</v>
      </c>
      <c r="E129" s="37" t="s">
        <v>1275</v>
      </c>
      <c r="F129" s="37" t="s">
        <v>782</v>
      </c>
      <c r="G129" s="37" t="s">
        <v>1848</v>
      </c>
      <c r="H129" s="37">
        <v>7.08</v>
      </c>
      <c r="I129" s="37">
        <v>0</v>
      </c>
      <c r="J129" s="38">
        <v>36883.449999999997</v>
      </c>
      <c r="K129" s="37" t="s">
        <v>615</v>
      </c>
      <c r="O129" s="37">
        <v>0</v>
      </c>
      <c r="P129" s="37">
        <v>0</v>
      </c>
      <c r="Q129" s="37">
        <v>0</v>
      </c>
      <c r="R129" s="37">
        <v>166.89</v>
      </c>
      <c r="S129" s="37" t="s">
        <v>1849</v>
      </c>
      <c r="T129" s="37">
        <v>0</v>
      </c>
      <c r="U129" s="37" t="s">
        <v>1276</v>
      </c>
      <c r="V129" s="37" t="s">
        <v>1664</v>
      </c>
    </row>
    <row r="130" spans="1:22">
      <c r="A130" s="54">
        <v>45429</v>
      </c>
      <c r="B130" s="37" t="s">
        <v>1850</v>
      </c>
      <c r="C130" s="37" t="s">
        <v>1658</v>
      </c>
      <c r="D130" s="37" t="s">
        <v>1659</v>
      </c>
      <c r="F130" s="37" t="s">
        <v>782</v>
      </c>
      <c r="G130" s="37" t="s">
        <v>1727</v>
      </c>
      <c r="H130" s="37">
        <v>349.62</v>
      </c>
      <c r="I130" s="37">
        <v>0</v>
      </c>
      <c r="J130" s="38">
        <v>37233.07</v>
      </c>
      <c r="K130" s="37" t="s">
        <v>615</v>
      </c>
      <c r="O130" s="37">
        <v>0</v>
      </c>
      <c r="P130" s="37">
        <v>0</v>
      </c>
      <c r="Q130" s="37">
        <v>0</v>
      </c>
      <c r="R130" s="37">
        <v>166.89</v>
      </c>
      <c r="S130" s="37" t="s">
        <v>1851</v>
      </c>
      <c r="T130" s="37">
        <v>0</v>
      </c>
      <c r="V130" s="37" t="s">
        <v>1664</v>
      </c>
    </row>
    <row r="131" spans="1:22">
      <c r="A131" s="54">
        <v>45432</v>
      </c>
      <c r="B131" s="37" t="s">
        <v>1852</v>
      </c>
      <c r="C131" s="37" t="s">
        <v>1658</v>
      </c>
      <c r="D131" s="37" t="s">
        <v>1659</v>
      </c>
      <c r="E131" s="37" t="s">
        <v>1275</v>
      </c>
      <c r="F131" s="37" t="s">
        <v>782</v>
      </c>
      <c r="G131" s="37" t="s">
        <v>1853</v>
      </c>
      <c r="H131" s="37">
        <v>0.26</v>
      </c>
      <c r="I131" s="37">
        <v>0</v>
      </c>
      <c r="J131" s="38">
        <v>37233.33</v>
      </c>
      <c r="K131" s="37" t="s">
        <v>615</v>
      </c>
      <c r="O131" s="37">
        <v>0</v>
      </c>
      <c r="P131" s="37">
        <v>0</v>
      </c>
      <c r="Q131" s="37">
        <v>0</v>
      </c>
      <c r="R131" s="37">
        <v>166.89</v>
      </c>
      <c r="S131" s="37" t="s">
        <v>1854</v>
      </c>
      <c r="T131" s="37">
        <v>0</v>
      </c>
      <c r="U131" s="37" t="s">
        <v>1276</v>
      </c>
      <c r="V131" s="37" t="s">
        <v>1664</v>
      </c>
    </row>
    <row r="132" spans="1:22">
      <c r="A132" s="54">
        <v>45432</v>
      </c>
      <c r="B132" s="37" t="s">
        <v>1855</v>
      </c>
      <c r="C132" s="37" t="s">
        <v>1658</v>
      </c>
      <c r="D132" s="37" t="s">
        <v>1659</v>
      </c>
      <c r="F132" s="37" t="s">
        <v>782</v>
      </c>
      <c r="G132" s="37" t="s">
        <v>1727</v>
      </c>
      <c r="H132" s="38">
        <v>1186.0999999999999</v>
      </c>
      <c r="I132" s="37">
        <v>0</v>
      </c>
      <c r="J132" s="38">
        <v>38419.43</v>
      </c>
      <c r="K132" s="37" t="s">
        <v>615</v>
      </c>
      <c r="O132" s="37">
        <v>0</v>
      </c>
      <c r="P132" s="37">
        <v>0</v>
      </c>
      <c r="Q132" s="37">
        <v>0</v>
      </c>
      <c r="R132" s="37">
        <v>166.89</v>
      </c>
      <c r="S132" s="37" t="s">
        <v>1856</v>
      </c>
      <c r="T132" s="37">
        <v>0</v>
      </c>
      <c r="V132" s="37" t="s">
        <v>1664</v>
      </c>
    </row>
    <row r="133" spans="1:22">
      <c r="A133" s="54">
        <v>45433</v>
      </c>
      <c r="B133" s="37" t="s">
        <v>1857</v>
      </c>
      <c r="C133" s="37" t="s">
        <v>1658</v>
      </c>
      <c r="D133" s="37" t="s">
        <v>1659</v>
      </c>
      <c r="F133" s="37" t="s">
        <v>782</v>
      </c>
      <c r="G133" s="37" t="s">
        <v>1721</v>
      </c>
      <c r="H133" s="37">
        <v>32.729999999999997</v>
      </c>
      <c r="I133" s="37">
        <v>0</v>
      </c>
      <c r="J133" s="38">
        <v>38452.160000000003</v>
      </c>
      <c r="K133" s="37" t="s">
        <v>615</v>
      </c>
      <c r="O133" s="37">
        <v>0</v>
      </c>
      <c r="P133" s="37">
        <v>0</v>
      </c>
      <c r="Q133" s="37">
        <v>0</v>
      </c>
      <c r="R133" s="37">
        <v>166.89</v>
      </c>
      <c r="S133" s="37" t="s">
        <v>1858</v>
      </c>
      <c r="T133" s="37">
        <v>0</v>
      </c>
      <c r="V133" s="37" t="s">
        <v>1664</v>
      </c>
    </row>
    <row r="134" spans="1:22">
      <c r="A134" s="54">
        <v>45433</v>
      </c>
      <c r="B134" s="37" t="s">
        <v>1859</v>
      </c>
      <c r="C134" s="37" t="s">
        <v>1658</v>
      </c>
      <c r="D134" s="37" t="s">
        <v>1659</v>
      </c>
      <c r="E134" s="37" t="s">
        <v>1275</v>
      </c>
      <c r="F134" s="37" t="s">
        <v>782</v>
      </c>
      <c r="G134" s="37" t="s">
        <v>1718</v>
      </c>
      <c r="H134" s="37">
        <v>183.75</v>
      </c>
      <c r="I134" s="37">
        <v>0</v>
      </c>
      <c r="J134" s="38">
        <v>38635.910000000003</v>
      </c>
      <c r="K134" s="37" t="s">
        <v>615</v>
      </c>
      <c r="O134" s="37">
        <v>0</v>
      </c>
      <c r="P134" s="37">
        <v>0</v>
      </c>
      <c r="Q134" s="37">
        <v>0</v>
      </c>
      <c r="R134" s="37">
        <v>166.89</v>
      </c>
      <c r="S134" s="37" t="s">
        <v>1860</v>
      </c>
      <c r="T134" s="37">
        <v>0</v>
      </c>
      <c r="U134" s="37" t="s">
        <v>1276</v>
      </c>
      <c r="V134" s="37" t="s">
        <v>1685</v>
      </c>
    </row>
    <row r="135" spans="1:22">
      <c r="A135" s="54">
        <v>45433</v>
      </c>
      <c r="B135" s="37" t="s">
        <v>1859</v>
      </c>
      <c r="C135" s="37" t="s">
        <v>1658</v>
      </c>
      <c r="D135" s="37" t="s">
        <v>1659</v>
      </c>
      <c r="E135" s="37" t="s">
        <v>1275</v>
      </c>
      <c r="F135" s="37" t="s">
        <v>782</v>
      </c>
      <c r="G135" s="37" t="s">
        <v>1718</v>
      </c>
      <c r="H135" s="37">
        <v>183.75</v>
      </c>
      <c r="I135" s="37">
        <v>0</v>
      </c>
      <c r="J135" s="38">
        <v>38819.660000000003</v>
      </c>
      <c r="K135" s="37" t="s">
        <v>615</v>
      </c>
      <c r="O135" s="37">
        <v>0</v>
      </c>
      <c r="P135" s="37">
        <v>0</v>
      </c>
      <c r="Q135" s="37">
        <v>0</v>
      </c>
      <c r="R135" s="37">
        <v>166.89</v>
      </c>
      <c r="S135" s="37" t="s">
        <v>1860</v>
      </c>
      <c r="T135" s="37">
        <v>0</v>
      </c>
      <c r="U135" s="37" t="s">
        <v>1276</v>
      </c>
      <c r="V135" s="37" t="s">
        <v>1685</v>
      </c>
    </row>
    <row r="136" spans="1:22">
      <c r="A136" s="54">
        <v>45433</v>
      </c>
      <c r="B136" s="37" t="s">
        <v>1861</v>
      </c>
      <c r="C136" s="37" t="s">
        <v>1658</v>
      </c>
      <c r="D136" s="37" t="s">
        <v>1659</v>
      </c>
      <c r="E136" s="37" t="s">
        <v>1275</v>
      </c>
      <c r="F136" s="37" t="s">
        <v>782</v>
      </c>
      <c r="G136" s="37" t="s">
        <v>1718</v>
      </c>
      <c r="H136" s="37">
        <v>0</v>
      </c>
      <c r="I136" s="37">
        <v>183.75</v>
      </c>
      <c r="J136" s="38">
        <v>38635.910000000003</v>
      </c>
      <c r="K136" s="37" t="s">
        <v>615</v>
      </c>
      <c r="O136" s="37">
        <v>0</v>
      </c>
      <c r="P136" s="37">
        <v>0</v>
      </c>
      <c r="Q136" s="37">
        <v>0</v>
      </c>
      <c r="R136" s="37">
        <v>166.89</v>
      </c>
      <c r="S136" s="37" t="s">
        <v>1862</v>
      </c>
      <c r="T136" s="37">
        <v>0</v>
      </c>
      <c r="U136" s="37" t="s">
        <v>1276</v>
      </c>
      <c r="V136" s="37" t="s">
        <v>1685</v>
      </c>
    </row>
    <row r="137" spans="1:22">
      <c r="A137" s="54">
        <v>45439</v>
      </c>
      <c r="B137" s="37" t="s">
        <v>1863</v>
      </c>
      <c r="C137" s="37" t="s">
        <v>1658</v>
      </c>
      <c r="D137" s="37" t="s">
        <v>1659</v>
      </c>
      <c r="E137" s="37" t="s">
        <v>1275</v>
      </c>
      <c r="F137" s="37" t="s">
        <v>782</v>
      </c>
      <c r="G137" s="37" t="s">
        <v>1864</v>
      </c>
      <c r="H137" s="37">
        <v>8.27</v>
      </c>
      <c r="I137" s="37">
        <v>0</v>
      </c>
      <c r="J137" s="38">
        <v>38644.18</v>
      </c>
      <c r="K137" s="37" t="s">
        <v>615</v>
      </c>
      <c r="O137" s="37">
        <v>0</v>
      </c>
      <c r="P137" s="37">
        <v>0</v>
      </c>
      <c r="Q137" s="37">
        <v>0</v>
      </c>
      <c r="R137" s="37">
        <v>166.89</v>
      </c>
      <c r="S137" s="37" t="s">
        <v>1310</v>
      </c>
      <c r="T137" s="37">
        <v>0</v>
      </c>
      <c r="U137" s="37" t="s">
        <v>1276</v>
      </c>
      <c r="V137" s="37" t="s">
        <v>1664</v>
      </c>
    </row>
    <row r="138" spans="1:22">
      <c r="A138" s="54">
        <v>45456</v>
      </c>
      <c r="B138" s="37" t="s">
        <v>1865</v>
      </c>
      <c r="C138" s="37" t="s">
        <v>1658</v>
      </c>
      <c r="D138" s="37" t="s">
        <v>1659</v>
      </c>
      <c r="F138" s="37" t="s">
        <v>782</v>
      </c>
      <c r="G138" s="37" t="s">
        <v>1866</v>
      </c>
      <c r="H138" s="37">
        <v>1.83</v>
      </c>
      <c r="I138" s="37">
        <v>0</v>
      </c>
      <c r="J138" s="38">
        <v>38646.01</v>
      </c>
      <c r="K138" s="37" t="s">
        <v>615</v>
      </c>
      <c r="O138" s="37">
        <v>0</v>
      </c>
      <c r="P138" s="37">
        <v>0</v>
      </c>
      <c r="Q138" s="37">
        <v>0</v>
      </c>
      <c r="R138" s="37">
        <v>166.89</v>
      </c>
      <c r="S138" s="37" t="s">
        <v>1867</v>
      </c>
      <c r="T138" s="37">
        <v>0</v>
      </c>
      <c r="V138" s="37" t="s">
        <v>1664</v>
      </c>
    </row>
    <row r="139" spans="1:22">
      <c r="A139" s="54">
        <v>45456</v>
      </c>
      <c r="B139" s="37" t="s">
        <v>1868</v>
      </c>
      <c r="C139" s="37" t="s">
        <v>1658</v>
      </c>
      <c r="D139" s="37" t="s">
        <v>1659</v>
      </c>
      <c r="F139" s="37" t="s">
        <v>782</v>
      </c>
      <c r="G139" s="37" t="s">
        <v>1662</v>
      </c>
      <c r="H139" s="37">
        <v>0.26</v>
      </c>
      <c r="I139" s="37">
        <v>0</v>
      </c>
      <c r="J139" s="38">
        <v>38646.269999999997</v>
      </c>
      <c r="K139" s="37" t="s">
        <v>615</v>
      </c>
      <c r="O139" s="37">
        <v>0</v>
      </c>
      <c r="P139" s="37">
        <v>0</v>
      </c>
      <c r="Q139" s="37">
        <v>0</v>
      </c>
      <c r="R139" s="37">
        <v>166.89</v>
      </c>
      <c r="S139" s="37" t="s">
        <v>1869</v>
      </c>
      <c r="T139" s="37">
        <v>0</v>
      </c>
      <c r="V139" s="37" t="s">
        <v>1664</v>
      </c>
    </row>
    <row r="140" spans="1:22">
      <c r="A140" s="54">
        <v>45456</v>
      </c>
      <c r="B140" s="37" t="s">
        <v>1870</v>
      </c>
      <c r="C140" s="37" t="s">
        <v>1658</v>
      </c>
      <c r="D140" s="37" t="s">
        <v>1659</v>
      </c>
      <c r="F140" s="37" t="s">
        <v>782</v>
      </c>
      <c r="G140" s="37" t="s">
        <v>1662</v>
      </c>
      <c r="H140" s="37">
        <v>10.5</v>
      </c>
      <c r="I140" s="37">
        <v>0</v>
      </c>
      <c r="J140" s="38">
        <v>38656.769999999997</v>
      </c>
      <c r="K140" s="37" t="s">
        <v>615</v>
      </c>
      <c r="O140" s="37">
        <v>0</v>
      </c>
      <c r="P140" s="37">
        <v>0</v>
      </c>
      <c r="Q140" s="37">
        <v>0</v>
      </c>
      <c r="R140" s="37">
        <v>166.89</v>
      </c>
      <c r="S140" s="37" t="s">
        <v>1871</v>
      </c>
      <c r="T140" s="37">
        <v>0</v>
      </c>
      <c r="V140" s="37" t="s">
        <v>1664</v>
      </c>
    </row>
    <row r="141" spans="1:22">
      <c r="A141" s="54">
        <v>45457</v>
      </c>
      <c r="B141" s="37" t="s">
        <v>1872</v>
      </c>
      <c r="C141" s="37" t="s">
        <v>1658</v>
      </c>
      <c r="D141" s="37" t="s">
        <v>1659</v>
      </c>
      <c r="F141" s="37" t="s">
        <v>782</v>
      </c>
      <c r="G141" s="37" t="s">
        <v>1662</v>
      </c>
      <c r="H141" s="37">
        <v>3.3</v>
      </c>
      <c r="I141" s="37">
        <v>0</v>
      </c>
      <c r="J141" s="38">
        <v>38660.07</v>
      </c>
      <c r="K141" s="37" t="s">
        <v>615</v>
      </c>
      <c r="O141" s="37">
        <v>0</v>
      </c>
      <c r="P141" s="37">
        <v>0</v>
      </c>
      <c r="Q141" s="37">
        <v>0</v>
      </c>
      <c r="R141" s="37">
        <v>166.89</v>
      </c>
      <c r="S141" s="37" t="s">
        <v>1873</v>
      </c>
      <c r="T141" s="37">
        <v>0</v>
      </c>
      <c r="V141" s="37" t="s">
        <v>1664</v>
      </c>
    </row>
    <row r="142" spans="1:22">
      <c r="A142" s="54">
        <v>45469</v>
      </c>
      <c r="B142" s="37" t="s">
        <v>1874</v>
      </c>
      <c r="C142" s="37" t="s">
        <v>1658</v>
      </c>
      <c r="D142" s="37" t="s">
        <v>1659</v>
      </c>
      <c r="F142" s="37" t="s">
        <v>782</v>
      </c>
      <c r="G142" s="37" t="s">
        <v>1875</v>
      </c>
      <c r="H142" s="37">
        <v>191.28</v>
      </c>
      <c r="I142" s="37">
        <v>0</v>
      </c>
      <c r="J142" s="38">
        <v>38851.35</v>
      </c>
      <c r="K142" s="37" t="s">
        <v>615</v>
      </c>
      <c r="N142" s="37" t="s">
        <v>811</v>
      </c>
      <c r="O142" s="37">
        <v>35.887</v>
      </c>
      <c r="P142" s="37">
        <v>5.33</v>
      </c>
      <c r="Q142" s="37">
        <v>0</v>
      </c>
      <c r="R142" s="37">
        <v>172.22</v>
      </c>
      <c r="S142" s="37" t="s">
        <v>1876</v>
      </c>
      <c r="T142" s="37">
        <v>0</v>
      </c>
      <c r="U142" s="37" t="s">
        <v>1276</v>
      </c>
      <c r="V142" s="37" t="s">
        <v>1664</v>
      </c>
    </row>
    <row r="143" spans="1:22">
      <c r="A143" s="54">
        <v>45471</v>
      </c>
      <c r="B143" s="37" t="s">
        <v>1877</v>
      </c>
      <c r="C143" s="37" t="s">
        <v>1658</v>
      </c>
      <c r="D143" s="37" t="s">
        <v>1659</v>
      </c>
      <c r="F143" s="37" t="s">
        <v>782</v>
      </c>
      <c r="G143" s="37" t="s">
        <v>1878</v>
      </c>
      <c r="H143" s="37">
        <v>0</v>
      </c>
      <c r="I143" s="37">
        <v>1.76</v>
      </c>
      <c r="J143" s="38">
        <v>38849.589999999997</v>
      </c>
      <c r="K143" s="37" t="s">
        <v>615</v>
      </c>
      <c r="O143" s="37">
        <v>0</v>
      </c>
      <c r="P143" s="37">
        <v>0</v>
      </c>
      <c r="Q143" s="37">
        <v>0</v>
      </c>
      <c r="R143" s="37">
        <v>172.22</v>
      </c>
      <c r="S143" s="37" t="s">
        <v>1879</v>
      </c>
      <c r="T143" s="37">
        <v>0</v>
      </c>
      <c r="V143" s="37" t="s">
        <v>1664</v>
      </c>
    </row>
    <row r="150" spans="7:7">
      <c r="G150" s="56" t="s">
        <v>1880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D42"/>
  <sheetViews>
    <sheetView workbookViewId="0">
      <selection activeCell="G151" sqref="G151"/>
    </sheetView>
  </sheetViews>
  <sheetFormatPr defaultColWidth="9.44140625" defaultRowHeight="13.2"/>
  <cols>
    <col min="1" max="1" width="2" bestFit="1" customWidth="1"/>
    <col min="2" max="2" width="65" bestFit="1" customWidth="1"/>
    <col min="3" max="3" width="20.21875" style="48" customWidth="1"/>
  </cols>
  <sheetData>
    <row r="1" spans="1:4">
      <c r="B1" s="39" t="s">
        <v>591</v>
      </c>
    </row>
    <row r="2" spans="1:4">
      <c r="B2" s="40" t="s">
        <v>587</v>
      </c>
      <c r="C2" s="67">
        <v>0</v>
      </c>
    </row>
    <row r="3" spans="1:4">
      <c r="B3" s="40" t="s">
        <v>588</v>
      </c>
      <c r="C3" s="67">
        <v>0</v>
      </c>
    </row>
    <row r="4" spans="1:4">
      <c r="B4" s="40" t="s">
        <v>589</v>
      </c>
      <c r="C4" s="49">
        <v>0</v>
      </c>
    </row>
    <row r="5" spans="1:4">
      <c r="B5" s="45" t="s">
        <v>590</v>
      </c>
      <c r="C5" s="50">
        <f>SUM(C2:C4)</f>
        <v>0</v>
      </c>
    </row>
    <row r="11" spans="1:4">
      <c r="B11" s="39" t="s">
        <v>562</v>
      </c>
      <c r="C11" s="49"/>
      <c r="D11" s="56"/>
    </row>
    <row r="12" spans="1:4">
      <c r="A12">
        <v>1</v>
      </c>
      <c r="B12" s="40" t="s">
        <v>563</v>
      </c>
      <c r="C12" s="49">
        <f>+BİLANÇO!F141</f>
        <v>13796353.590000005</v>
      </c>
      <c r="D12" s="56" t="s">
        <v>572</v>
      </c>
    </row>
    <row r="13" spans="1:4">
      <c r="A13">
        <v>2</v>
      </c>
      <c r="B13" s="40" t="s">
        <v>564</v>
      </c>
      <c r="C13" s="49">
        <f>+BİLANÇO!C143-FGK!C12</f>
        <v>29002518.600000001</v>
      </c>
      <c r="D13" s="56"/>
    </row>
    <row r="14" spans="1:4">
      <c r="A14">
        <v>3</v>
      </c>
      <c r="B14" s="40" t="s">
        <v>565</v>
      </c>
      <c r="C14" s="49">
        <f>+C13-C12</f>
        <v>15206165.009999996</v>
      </c>
      <c r="D14" s="60" t="s">
        <v>573</v>
      </c>
    </row>
    <row r="15" spans="1:4">
      <c r="A15">
        <v>4</v>
      </c>
      <c r="B15" s="40" t="s">
        <v>566</v>
      </c>
      <c r="C15" s="49">
        <f>C14/C13</f>
        <v>0.52430498260244185</v>
      </c>
      <c r="D15" s="56"/>
    </row>
    <row r="16" spans="1:4">
      <c r="A16">
        <v>5</v>
      </c>
      <c r="B16" s="40" t="s">
        <v>567</v>
      </c>
      <c r="C16" s="49">
        <v>0</v>
      </c>
      <c r="D16" s="56"/>
    </row>
    <row r="17" spans="1:4">
      <c r="A17">
        <v>6</v>
      </c>
      <c r="B17" s="40" t="s">
        <v>568</v>
      </c>
      <c r="C17" s="49">
        <v>0</v>
      </c>
      <c r="D17" s="56"/>
    </row>
    <row r="18" spans="1:4">
      <c r="A18">
        <v>7</v>
      </c>
      <c r="B18" s="40" t="s">
        <v>569</v>
      </c>
      <c r="C18" s="49">
        <f>+C5</f>
        <v>0</v>
      </c>
      <c r="D18" s="56"/>
    </row>
    <row r="19" spans="1:4">
      <c r="A19">
        <v>8</v>
      </c>
      <c r="B19" s="40" t="s">
        <v>570</v>
      </c>
      <c r="C19" s="49">
        <f>C15*C18</f>
        <v>0</v>
      </c>
      <c r="D19" s="56"/>
    </row>
    <row r="20" spans="1:4">
      <c r="A20">
        <v>9</v>
      </c>
      <c r="B20" s="41" t="s">
        <v>571</v>
      </c>
      <c r="C20" s="51">
        <f>C19*0.1</f>
        <v>0</v>
      </c>
      <c r="D20" s="56" t="str">
        <f>IF(C14&lt;=0,"FİNANSMAN GİDER KISITLAMASI UYGULANMAYACAK","KKEG YAZILACAK FİNANSMAN GİDERİ")</f>
        <v>KKEG YAZILACAK FİNANSMAN GİDERİ</v>
      </c>
    </row>
    <row r="21" spans="1:4">
      <c r="D21" s="56"/>
    </row>
    <row r="26" spans="1:4" s="42" customFormat="1">
      <c r="B26" s="43" t="s">
        <v>572</v>
      </c>
      <c r="C26" s="52"/>
      <c r="D26" s="43"/>
    </row>
    <row r="27" spans="1:4" s="42" customFormat="1">
      <c r="B27" s="43" t="s">
        <v>573</v>
      </c>
      <c r="C27" s="52"/>
      <c r="D27" s="43"/>
    </row>
    <row r="28" spans="1:4" s="42" customFormat="1">
      <c r="B28" s="43"/>
      <c r="C28" s="52"/>
      <c r="D28" s="43"/>
    </row>
    <row r="29" spans="1:4" s="42" customFormat="1">
      <c r="B29" s="44" t="s">
        <v>574</v>
      </c>
      <c r="C29" s="52"/>
      <c r="D29" s="43"/>
    </row>
    <row r="30" spans="1:4" s="42" customFormat="1" ht="42.75" customHeight="1">
      <c r="B30" s="131" t="s">
        <v>575</v>
      </c>
      <c r="C30" s="131"/>
      <c r="D30" s="131"/>
    </row>
    <row r="31" spans="1:4" s="42" customFormat="1">
      <c r="B31" s="44" t="s">
        <v>576</v>
      </c>
      <c r="C31" s="52"/>
      <c r="D31" s="43"/>
    </row>
    <row r="32" spans="1:4" s="42" customFormat="1" ht="27" customHeight="1">
      <c r="B32" s="131" t="s">
        <v>577</v>
      </c>
      <c r="C32" s="131"/>
      <c r="D32" s="131"/>
    </row>
    <row r="33" spans="2:4" s="42" customFormat="1">
      <c r="B33" s="44" t="s">
        <v>578</v>
      </c>
      <c r="C33" s="52"/>
      <c r="D33" s="43"/>
    </row>
    <row r="34" spans="2:4" s="42" customFormat="1" ht="14.25" customHeight="1">
      <c r="B34" s="131" t="s">
        <v>579</v>
      </c>
      <c r="C34" s="131"/>
      <c r="D34" s="131"/>
    </row>
    <row r="35" spans="2:4" s="42" customFormat="1">
      <c r="B35" s="44" t="s">
        <v>580</v>
      </c>
      <c r="C35" s="52"/>
      <c r="D35" s="43"/>
    </row>
    <row r="36" spans="2:4" s="42" customFormat="1" ht="54" customHeight="1">
      <c r="B36" s="132" t="s">
        <v>826</v>
      </c>
      <c r="C36" s="131"/>
      <c r="D36" s="131"/>
    </row>
    <row r="37" spans="2:4" s="42" customFormat="1" ht="47.25" customHeight="1">
      <c r="B37" s="131" t="s">
        <v>581</v>
      </c>
      <c r="C37" s="131"/>
      <c r="D37" s="131"/>
    </row>
    <row r="38" spans="2:4" s="42" customFormat="1">
      <c r="B38" s="44" t="s">
        <v>582</v>
      </c>
      <c r="C38" s="52"/>
      <c r="D38" s="43"/>
    </row>
    <row r="39" spans="2:4" s="42" customFormat="1" ht="42" customHeight="1">
      <c r="B39" s="131" t="s">
        <v>583</v>
      </c>
      <c r="C39" s="131"/>
      <c r="D39" s="131"/>
    </row>
    <row r="40" spans="2:4" s="42" customFormat="1">
      <c r="B40" s="44" t="s">
        <v>584</v>
      </c>
      <c r="C40" s="52"/>
      <c r="D40" s="43"/>
    </row>
    <row r="41" spans="2:4" s="42" customFormat="1" ht="68.25" customHeight="1">
      <c r="B41" s="131" t="s">
        <v>585</v>
      </c>
      <c r="C41" s="131"/>
      <c r="D41" s="131"/>
    </row>
    <row r="42" spans="2:4" s="42" customFormat="1" ht="27" customHeight="1">
      <c r="B42" s="131" t="s">
        <v>586</v>
      </c>
      <c r="C42" s="131"/>
      <c r="D42" s="131"/>
    </row>
  </sheetData>
  <mergeCells count="8">
    <mergeCell ref="B39:D39"/>
    <mergeCell ref="B41:D41"/>
    <mergeCell ref="B42:D42"/>
    <mergeCell ref="B30:D30"/>
    <mergeCell ref="B32:D32"/>
    <mergeCell ref="B34:D34"/>
    <mergeCell ref="B36:D36"/>
    <mergeCell ref="B37:D37"/>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Y448"/>
  <sheetViews>
    <sheetView topLeftCell="A338" workbookViewId="0">
      <selection activeCell="G151" sqref="G151"/>
    </sheetView>
  </sheetViews>
  <sheetFormatPr defaultRowHeight="13.2"/>
  <cols>
    <col min="1" max="1" width="12.77734375" style="37" customWidth="1"/>
    <col min="2" max="2" width="10.6640625" style="37" bestFit="1" customWidth="1"/>
    <col min="3" max="3" width="9.33203125" style="37" bestFit="1" customWidth="1"/>
    <col min="4" max="4" width="15.6640625" style="37" customWidth="1"/>
    <col min="5" max="5" width="18" style="37" bestFit="1" customWidth="1"/>
    <col min="6" max="6" width="19.44140625" style="37" bestFit="1" customWidth="1"/>
    <col min="7" max="7" width="46.44140625" style="37" bestFit="1" customWidth="1"/>
    <col min="8" max="8" width="9.109375" style="37" bestFit="1" customWidth="1"/>
    <col min="9" max="9" width="10.109375" style="37" bestFit="1" customWidth="1"/>
    <col min="10" max="10" width="11.6640625" style="37" bestFit="1" customWidth="1"/>
    <col min="11" max="11" width="6.5546875" style="37" bestFit="1" customWidth="1"/>
    <col min="12" max="12" width="4" style="37" bestFit="1" customWidth="1"/>
    <col min="13" max="14" width="10" style="37" bestFit="1" customWidth="1"/>
    <col min="15" max="15" width="5.44140625" style="37" bestFit="1" customWidth="1"/>
    <col min="16" max="17" width="9.88671875" style="37" bestFit="1" customWidth="1"/>
    <col min="18" max="18" width="11.44140625" style="37" bestFit="1" customWidth="1"/>
    <col min="19" max="19" width="11.5546875" style="37" bestFit="1" customWidth="1"/>
    <col min="20" max="20" width="16.5546875" style="37" bestFit="1" customWidth="1"/>
    <col min="21" max="21" width="9.21875" style="37" bestFit="1" customWidth="1"/>
    <col min="22" max="22" width="14.6640625" style="37" bestFit="1" customWidth="1"/>
    <col min="23" max="23" width="10.6640625" style="37" bestFit="1" customWidth="1"/>
    <col min="24" max="24" width="10" style="37" bestFit="1" customWidth="1"/>
    <col min="25" max="25" width="8.6640625" style="37" bestFit="1" customWidth="1"/>
    <col min="26" max="26" width="7.21875" style="37" bestFit="1" customWidth="1"/>
    <col min="27" max="27" width="15" style="37" bestFit="1" customWidth="1"/>
    <col min="28" max="28" width="10.33203125" style="37" bestFit="1" customWidth="1"/>
    <col min="29" max="16384" width="8.88671875" style="37"/>
  </cols>
  <sheetData>
    <row r="1" spans="1:25">
      <c r="A1" s="37" t="s">
        <v>809</v>
      </c>
    </row>
    <row r="3" spans="1:25">
      <c r="A3" s="37" t="s">
        <v>593</v>
      </c>
      <c r="B3" s="37" t="s">
        <v>594</v>
      </c>
      <c r="C3" s="37" t="s">
        <v>11</v>
      </c>
      <c r="D3" s="37" t="s">
        <v>12</v>
      </c>
      <c r="E3" s="37" t="s">
        <v>595</v>
      </c>
      <c r="F3" s="37" t="s">
        <v>596</v>
      </c>
      <c r="G3" s="37" t="s">
        <v>597</v>
      </c>
      <c r="H3" s="37" t="s">
        <v>598</v>
      </c>
      <c r="I3" s="37" t="s">
        <v>599</v>
      </c>
      <c r="J3" s="37" t="s">
        <v>600</v>
      </c>
      <c r="K3" s="37" t="s">
        <v>601</v>
      </c>
      <c r="L3" s="37" t="s">
        <v>602</v>
      </c>
      <c r="M3" s="37" t="s">
        <v>603</v>
      </c>
      <c r="N3" s="37" t="s">
        <v>604</v>
      </c>
      <c r="O3" s="37" t="s">
        <v>605</v>
      </c>
      <c r="P3" s="37" t="s">
        <v>606</v>
      </c>
      <c r="Q3" s="37" t="s">
        <v>607</v>
      </c>
      <c r="R3" s="37" t="s">
        <v>608</v>
      </c>
      <c r="S3" s="37" t="s">
        <v>609</v>
      </c>
      <c r="T3" s="37" t="s">
        <v>610</v>
      </c>
      <c r="U3" s="37" t="s">
        <v>611</v>
      </c>
      <c r="V3" s="37" t="s">
        <v>1274</v>
      </c>
      <c r="W3" s="37" t="s">
        <v>612</v>
      </c>
      <c r="X3" s="37" t="s">
        <v>613</v>
      </c>
      <c r="Y3" s="37" t="s">
        <v>614</v>
      </c>
    </row>
    <row r="4" spans="1:25">
      <c r="A4" s="54">
        <v>45292</v>
      </c>
      <c r="B4" s="37" t="s">
        <v>1881</v>
      </c>
      <c r="C4" s="37" t="s">
        <v>712</v>
      </c>
      <c r="D4" s="37" t="s">
        <v>592</v>
      </c>
      <c r="E4" s="56" t="s">
        <v>835</v>
      </c>
      <c r="F4" s="37" t="s">
        <v>616</v>
      </c>
      <c r="G4" s="37" t="s">
        <v>1882</v>
      </c>
      <c r="H4" s="37">
        <v>45.95</v>
      </c>
      <c r="I4" s="37">
        <v>0</v>
      </c>
      <c r="J4" s="37">
        <v>45.95</v>
      </c>
      <c r="K4" s="37" t="s">
        <v>615</v>
      </c>
      <c r="O4" s="37">
        <v>0</v>
      </c>
      <c r="P4" s="37">
        <v>0</v>
      </c>
      <c r="Q4" s="37">
        <v>0</v>
      </c>
      <c r="R4" s="37">
        <v>0</v>
      </c>
      <c r="T4" s="37">
        <v>1</v>
      </c>
    </row>
    <row r="5" spans="1:25">
      <c r="A5" s="54">
        <v>45294</v>
      </c>
      <c r="B5" s="37" t="s">
        <v>1887</v>
      </c>
      <c r="C5" s="37" t="s">
        <v>712</v>
      </c>
      <c r="D5" s="37" t="s">
        <v>592</v>
      </c>
      <c r="E5" s="56" t="s">
        <v>834</v>
      </c>
      <c r="F5" s="37" t="s">
        <v>616</v>
      </c>
      <c r="G5" s="37" t="s">
        <v>1888</v>
      </c>
      <c r="H5" s="38">
        <v>3820.5</v>
      </c>
      <c r="I5" s="37">
        <v>0</v>
      </c>
      <c r="J5" s="38">
        <v>3911.45</v>
      </c>
      <c r="K5" s="37" t="s">
        <v>615</v>
      </c>
      <c r="O5" s="37">
        <v>0</v>
      </c>
      <c r="P5" s="37">
        <v>0</v>
      </c>
      <c r="Q5" s="37">
        <v>0</v>
      </c>
      <c r="R5" s="37">
        <v>0</v>
      </c>
      <c r="T5" s="37">
        <v>57</v>
      </c>
    </row>
    <row r="6" spans="1:25">
      <c r="A6" s="54">
        <v>45294</v>
      </c>
      <c r="B6" s="37" t="s">
        <v>1298</v>
      </c>
      <c r="C6" s="37" t="s">
        <v>712</v>
      </c>
      <c r="D6" s="37" t="s">
        <v>592</v>
      </c>
      <c r="E6" s="56" t="s">
        <v>834</v>
      </c>
      <c r="F6" s="37" t="s">
        <v>782</v>
      </c>
      <c r="G6" s="37" t="s">
        <v>1883</v>
      </c>
      <c r="H6" s="37">
        <v>22.5</v>
      </c>
      <c r="I6" s="37">
        <v>0</v>
      </c>
      <c r="J6" s="37">
        <v>68.45</v>
      </c>
      <c r="K6" s="37" t="s">
        <v>615</v>
      </c>
      <c r="O6" s="37">
        <v>0</v>
      </c>
      <c r="P6" s="37">
        <v>0</v>
      </c>
      <c r="Q6" s="37">
        <v>0</v>
      </c>
      <c r="R6" s="37">
        <v>0</v>
      </c>
      <c r="S6" s="37" t="s">
        <v>1884</v>
      </c>
      <c r="T6" s="37">
        <v>42</v>
      </c>
    </row>
    <row r="7" spans="1:25">
      <c r="A7" s="54">
        <v>45294</v>
      </c>
      <c r="B7" s="37" t="s">
        <v>1885</v>
      </c>
      <c r="C7" s="37" t="s">
        <v>712</v>
      </c>
      <c r="D7" s="37" t="s">
        <v>592</v>
      </c>
      <c r="E7" s="56" t="s">
        <v>834</v>
      </c>
      <c r="F7" s="37" t="s">
        <v>782</v>
      </c>
      <c r="G7" s="37" t="s">
        <v>1883</v>
      </c>
      <c r="H7" s="37">
        <v>22.5</v>
      </c>
      <c r="I7" s="37">
        <v>0</v>
      </c>
      <c r="J7" s="37">
        <v>90.95</v>
      </c>
      <c r="K7" s="37" t="s">
        <v>615</v>
      </c>
      <c r="O7" s="37">
        <v>0</v>
      </c>
      <c r="P7" s="37">
        <v>0</v>
      </c>
      <c r="Q7" s="37">
        <v>0</v>
      </c>
      <c r="R7" s="37">
        <v>0</v>
      </c>
      <c r="S7" s="37" t="s">
        <v>1886</v>
      </c>
      <c r="T7" s="37">
        <v>43</v>
      </c>
    </row>
    <row r="8" spans="1:25">
      <c r="A8" s="54">
        <v>45295</v>
      </c>
      <c r="B8" s="37" t="s">
        <v>1889</v>
      </c>
      <c r="C8" s="37" t="s">
        <v>712</v>
      </c>
      <c r="D8" s="37" t="s">
        <v>592</v>
      </c>
      <c r="E8" s="56" t="s">
        <v>834</v>
      </c>
      <c r="F8" s="37" t="s">
        <v>782</v>
      </c>
      <c r="G8" s="37" t="s">
        <v>1883</v>
      </c>
      <c r="H8" s="37">
        <v>22.5</v>
      </c>
      <c r="I8" s="37">
        <v>0</v>
      </c>
      <c r="J8" s="38">
        <v>3933.95</v>
      </c>
      <c r="K8" s="37" t="s">
        <v>615</v>
      </c>
      <c r="O8" s="37">
        <v>0</v>
      </c>
      <c r="P8" s="37">
        <v>0</v>
      </c>
      <c r="Q8" s="37">
        <v>0</v>
      </c>
      <c r="R8" s="37">
        <v>0</v>
      </c>
      <c r="S8" s="37" t="s">
        <v>1890</v>
      </c>
      <c r="T8" s="37">
        <v>76</v>
      </c>
    </row>
    <row r="9" spans="1:25">
      <c r="A9" s="54">
        <v>45296</v>
      </c>
      <c r="B9" s="37" t="s">
        <v>1891</v>
      </c>
      <c r="C9" s="37" t="s">
        <v>1534</v>
      </c>
      <c r="D9" s="37" t="s">
        <v>1535</v>
      </c>
      <c r="E9" s="56" t="s">
        <v>800</v>
      </c>
      <c r="F9" s="37" t="s">
        <v>782</v>
      </c>
      <c r="G9" s="37" t="s">
        <v>1892</v>
      </c>
      <c r="H9" s="38">
        <v>2846.05</v>
      </c>
      <c r="I9" s="37">
        <v>0</v>
      </c>
      <c r="J9" s="38">
        <v>6780</v>
      </c>
      <c r="K9" s="37" t="s">
        <v>615</v>
      </c>
      <c r="O9" s="37">
        <v>0</v>
      </c>
      <c r="P9" s="37">
        <v>0</v>
      </c>
      <c r="Q9" s="37">
        <v>0</v>
      </c>
      <c r="R9" s="37">
        <v>0</v>
      </c>
      <c r="S9" s="37" t="s">
        <v>1893</v>
      </c>
      <c r="T9" s="37">
        <v>106</v>
      </c>
    </row>
    <row r="10" spans="1:25">
      <c r="A10" s="54">
        <v>45298</v>
      </c>
      <c r="B10" s="37" t="s">
        <v>1894</v>
      </c>
      <c r="C10" s="37" t="s">
        <v>712</v>
      </c>
      <c r="D10" s="37" t="s">
        <v>592</v>
      </c>
      <c r="E10" s="56" t="s">
        <v>834</v>
      </c>
      <c r="F10" s="37" t="s">
        <v>782</v>
      </c>
      <c r="G10" s="37" t="s">
        <v>1883</v>
      </c>
      <c r="H10" s="37">
        <v>22.5</v>
      </c>
      <c r="I10" s="37">
        <v>0</v>
      </c>
      <c r="J10" s="38">
        <v>6802.5</v>
      </c>
      <c r="K10" s="37" t="s">
        <v>615</v>
      </c>
      <c r="O10" s="37">
        <v>0</v>
      </c>
      <c r="P10" s="37">
        <v>0</v>
      </c>
      <c r="Q10" s="37">
        <v>0</v>
      </c>
      <c r="R10" s="37">
        <v>0</v>
      </c>
      <c r="S10" s="37" t="s">
        <v>1894</v>
      </c>
      <c r="T10" s="37">
        <v>125</v>
      </c>
    </row>
    <row r="11" spans="1:25">
      <c r="A11" s="54">
        <v>45299</v>
      </c>
      <c r="B11" s="37" t="s">
        <v>1895</v>
      </c>
      <c r="C11" s="37" t="s">
        <v>765</v>
      </c>
      <c r="D11" s="37" t="s">
        <v>766</v>
      </c>
      <c r="E11" s="56" t="s">
        <v>800</v>
      </c>
      <c r="F11" s="37" t="s">
        <v>616</v>
      </c>
      <c r="G11" s="37" t="s">
        <v>1896</v>
      </c>
      <c r="H11" s="37">
        <v>0.02</v>
      </c>
      <c r="I11" s="37">
        <v>0</v>
      </c>
      <c r="J11" s="38">
        <v>6802.52</v>
      </c>
      <c r="K11" s="37" t="s">
        <v>615</v>
      </c>
      <c r="O11" s="37">
        <v>0</v>
      </c>
      <c r="P11" s="37">
        <v>0</v>
      </c>
      <c r="Q11" s="37">
        <v>0</v>
      </c>
      <c r="R11" s="37">
        <v>0</v>
      </c>
      <c r="T11" s="37">
        <v>174</v>
      </c>
    </row>
    <row r="12" spans="1:25">
      <c r="A12" s="54">
        <v>45300</v>
      </c>
      <c r="B12" s="37" t="s">
        <v>1897</v>
      </c>
      <c r="C12" s="37" t="s">
        <v>712</v>
      </c>
      <c r="D12" s="37" t="s">
        <v>592</v>
      </c>
      <c r="E12" s="56" t="s">
        <v>834</v>
      </c>
      <c r="F12" s="37" t="s">
        <v>782</v>
      </c>
      <c r="G12" s="37" t="s">
        <v>1898</v>
      </c>
      <c r="H12" s="37">
        <v>22.5</v>
      </c>
      <c r="I12" s="37">
        <v>0</v>
      </c>
      <c r="J12" s="38">
        <v>6825.02</v>
      </c>
      <c r="K12" s="37" t="s">
        <v>615</v>
      </c>
      <c r="O12" s="37">
        <v>0</v>
      </c>
      <c r="P12" s="37">
        <v>0</v>
      </c>
      <c r="Q12" s="37">
        <v>0</v>
      </c>
      <c r="R12" s="37">
        <v>0</v>
      </c>
      <c r="S12" s="37" t="s">
        <v>1899</v>
      </c>
      <c r="T12" s="37">
        <v>176</v>
      </c>
    </row>
    <row r="13" spans="1:25">
      <c r="A13" s="54">
        <v>45300</v>
      </c>
      <c r="B13" s="37" t="s">
        <v>1671</v>
      </c>
      <c r="C13" s="37" t="s">
        <v>712</v>
      </c>
      <c r="D13" s="37" t="s">
        <v>592</v>
      </c>
      <c r="E13" s="56" t="s">
        <v>834</v>
      </c>
      <c r="F13" s="37" t="s">
        <v>782</v>
      </c>
      <c r="G13" s="37" t="s">
        <v>1900</v>
      </c>
      <c r="H13" s="37">
        <v>42</v>
      </c>
      <c r="I13" s="37">
        <v>0</v>
      </c>
      <c r="J13" s="38">
        <v>6867.02</v>
      </c>
      <c r="K13" s="37" t="s">
        <v>615</v>
      </c>
      <c r="O13" s="37">
        <v>0</v>
      </c>
      <c r="P13" s="37">
        <v>0</v>
      </c>
      <c r="Q13" s="37">
        <v>0</v>
      </c>
      <c r="R13" s="37">
        <v>0</v>
      </c>
      <c r="S13" s="37" t="s">
        <v>1897</v>
      </c>
      <c r="T13" s="37">
        <v>178</v>
      </c>
    </row>
    <row r="14" spans="1:25">
      <c r="A14" s="54">
        <v>45301</v>
      </c>
      <c r="B14" s="37" t="s">
        <v>1901</v>
      </c>
      <c r="C14" s="37" t="s">
        <v>712</v>
      </c>
      <c r="D14" s="37" t="s">
        <v>592</v>
      </c>
      <c r="E14" s="56" t="s">
        <v>800</v>
      </c>
      <c r="F14" s="37" t="s">
        <v>616</v>
      </c>
      <c r="G14" s="37" t="s">
        <v>1902</v>
      </c>
      <c r="H14" s="38">
        <v>3721.39</v>
      </c>
      <c r="I14" s="37">
        <v>0</v>
      </c>
      <c r="J14" s="38">
        <v>10588.41</v>
      </c>
      <c r="K14" s="37" t="s">
        <v>615</v>
      </c>
      <c r="O14" s="37">
        <v>0</v>
      </c>
      <c r="P14" s="37">
        <v>0</v>
      </c>
      <c r="Q14" s="37">
        <v>0</v>
      </c>
      <c r="R14" s="37">
        <v>0</v>
      </c>
      <c r="T14" s="37">
        <v>216</v>
      </c>
    </row>
    <row r="15" spans="1:25">
      <c r="A15" s="54">
        <v>45302</v>
      </c>
      <c r="B15" s="37" t="s">
        <v>1905</v>
      </c>
      <c r="C15" s="37" t="s">
        <v>712</v>
      </c>
      <c r="D15" s="37" t="s">
        <v>592</v>
      </c>
      <c r="E15" s="56" t="s">
        <v>834</v>
      </c>
      <c r="F15" s="37" t="s">
        <v>782</v>
      </c>
      <c r="G15" s="37" t="s">
        <v>1883</v>
      </c>
      <c r="H15" s="37">
        <v>22.5</v>
      </c>
      <c r="I15" s="37">
        <v>0</v>
      </c>
      <c r="J15" s="38">
        <v>10640.91</v>
      </c>
      <c r="K15" s="37" t="s">
        <v>615</v>
      </c>
      <c r="O15" s="37">
        <v>0</v>
      </c>
      <c r="P15" s="37">
        <v>0</v>
      </c>
      <c r="Q15" s="37">
        <v>0</v>
      </c>
      <c r="R15" s="37">
        <v>0</v>
      </c>
      <c r="S15" s="37" t="s">
        <v>1906</v>
      </c>
      <c r="T15" s="37">
        <v>228</v>
      </c>
    </row>
    <row r="16" spans="1:25">
      <c r="A16" s="54">
        <v>45302</v>
      </c>
      <c r="B16" s="37" t="s">
        <v>1903</v>
      </c>
      <c r="C16" s="37" t="s">
        <v>712</v>
      </c>
      <c r="D16" s="37" t="s">
        <v>592</v>
      </c>
      <c r="E16" s="56" t="s">
        <v>834</v>
      </c>
      <c r="F16" s="37" t="s">
        <v>782</v>
      </c>
      <c r="G16" s="37" t="s">
        <v>1900</v>
      </c>
      <c r="H16" s="37">
        <v>30</v>
      </c>
      <c r="I16" s="37">
        <v>0</v>
      </c>
      <c r="J16" s="38">
        <v>10618.41</v>
      </c>
      <c r="K16" s="37" t="s">
        <v>615</v>
      </c>
      <c r="O16" s="37">
        <v>0</v>
      </c>
      <c r="P16" s="37">
        <v>0</v>
      </c>
      <c r="Q16" s="37">
        <v>0</v>
      </c>
      <c r="R16" s="37">
        <v>0</v>
      </c>
      <c r="S16" s="37" t="s">
        <v>1904</v>
      </c>
      <c r="T16" s="37">
        <v>227</v>
      </c>
    </row>
    <row r="17" spans="1:21">
      <c r="A17" s="54">
        <v>45304</v>
      </c>
      <c r="B17" s="37" t="s">
        <v>1907</v>
      </c>
      <c r="C17" s="37" t="s">
        <v>712</v>
      </c>
      <c r="D17" s="37" t="s">
        <v>592</v>
      </c>
      <c r="E17" s="56" t="s">
        <v>834</v>
      </c>
      <c r="F17" s="37" t="s">
        <v>782</v>
      </c>
      <c r="G17" s="37" t="s">
        <v>1908</v>
      </c>
      <c r="H17" s="37">
        <v>60</v>
      </c>
      <c r="I17" s="37">
        <v>0</v>
      </c>
      <c r="J17" s="38">
        <v>10700.91</v>
      </c>
      <c r="K17" s="37" t="s">
        <v>615</v>
      </c>
      <c r="O17" s="37">
        <v>0</v>
      </c>
      <c r="P17" s="37">
        <v>0</v>
      </c>
      <c r="Q17" s="37">
        <v>0</v>
      </c>
      <c r="R17" s="37">
        <v>0</v>
      </c>
      <c r="S17" s="37" t="s">
        <v>1907</v>
      </c>
      <c r="T17" s="37">
        <v>290</v>
      </c>
    </row>
    <row r="18" spans="1:21">
      <c r="A18" s="54">
        <v>45305</v>
      </c>
      <c r="B18" s="37" t="s">
        <v>1909</v>
      </c>
      <c r="C18" s="37" t="s">
        <v>712</v>
      </c>
      <c r="D18" s="37" t="s">
        <v>592</v>
      </c>
      <c r="E18" s="56" t="s">
        <v>834</v>
      </c>
      <c r="F18" s="37" t="s">
        <v>782</v>
      </c>
      <c r="G18" s="37" t="s">
        <v>1883</v>
      </c>
      <c r="H18" s="37">
        <v>22.5</v>
      </c>
      <c r="I18" s="37">
        <v>0</v>
      </c>
      <c r="J18" s="38">
        <v>10723.41</v>
      </c>
      <c r="K18" s="37" t="s">
        <v>615</v>
      </c>
      <c r="O18" s="37">
        <v>0</v>
      </c>
      <c r="P18" s="37">
        <v>0</v>
      </c>
      <c r="Q18" s="37">
        <v>0</v>
      </c>
      <c r="R18" s="37">
        <v>0</v>
      </c>
      <c r="S18" s="37" t="s">
        <v>1909</v>
      </c>
      <c r="T18" s="37">
        <v>294</v>
      </c>
    </row>
    <row r="19" spans="1:21">
      <c r="A19" s="54">
        <v>45308</v>
      </c>
      <c r="B19" s="37" t="s">
        <v>1912</v>
      </c>
      <c r="C19" s="37" t="s">
        <v>712</v>
      </c>
      <c r="D19" s="37" t="s">
        <v>592</v>
      </c>
      <c r="E19" s="56" t="s">
        <v>834</v>
      </c>
      <c r="F19" s="37" t="s">
        <v>782</v>
      </c>
      <c r="G19" s="37" t="s">
        <v>1883</v>
      </c>
      <c r="H19" s="37">
        <v>22.5</v>
      </c>
      <c r="I19" s="37">
        <v>0</v>
      </c>
      <c r="J19" s="38">
        <v>10775.91</v>
      </c>
      <c r="K19" s="37" t="s">
        <v>615</v>
      </c>
      <c r="O19" s="37">
        <v>0</v>
      </c>
      <c r="P19" s="37">
        <v>0</v>
      </c>
      <c r="Q19" s="37">
        <v>0</v>
      </c>
      <c r="R19" s="37">
        <v>0</v>
      </c>
      <c r="S19" s="37" t="s">
        <v>1913</v>
      </c>
      <c r="T19" s="37">
        <v>344</v>
      </c>
    </row>
    <row r="20" spans="1:21">
      <c r="A20" s="54">
        <v>45308</v>
      </c>
      <c r="B20" s="37" t="s">
        <v>1914</v>
      </c>
      <c r="C20" s="37" t="s">
        <v>712</v>
      </c>
      <c r="D20" s="37" t="s">
        <v>592</v>
      </c>
      <c r="E20" s="56" t="s">
        <v>834</v>
      </c>
      <c r="F20" s="37" t="s">
        <v>782</v>
      </c>
      <c r="G20" s="37" t="s">
        <v>1883</v>
      </c>
      <c r="H20" s="37">
        <v>22.5</v>
      </c>
      <c r="I20" s="37">
        <v>0</v>
      </c>
      <c r="J20" s="38">
        <v>10798.41</v>
      </c>
      <c r="K20" s="37" t="s">
        <v>615</v>
      </c>
      <c r="O20" s="37">
        <v>0</v>
      </c>
      <c r="P20" s="37">
        <v>0</v>
      </c>
      <c r="Q20" s="37">
        <v>0</v>
      </c>
      <c r="R20" s="37">
        <v>0</v>
      </c>
      <c r="S20" s="37" t="s">
        <v>1915</v>
      </c>
      <c r="T20" s="37">
        <v>345</v>
      </c>
    </row>
    <row r="21" spans="1:21">
      <c r="A21" s="54">
        <v>45308</v>
      </c>
      <c r="B21" s="37" t="s">
        <v>1916</v>
      </c>
      <c r="C21" s="37" t="s">
        <v>712</v>
      </c>
      <c r="D21" s="37" t="s">
        <v>592</v>
      </c>
      <c r="E21" s="56" t="s">
        <v>834</v>
      </c>
      <c r="F21" s="37" t="s">
        <v>782</v>
      </c>
      <c r="G21" s="37" t="s">
        <v>1883</v>
      </c>
      <c r="H21" s="37">
        <v>34.5</v>
      </c>
      <c r="I21" s="37">
        <v>0</v>
      </c>
      <c r="J21" s="38">
        <v>10832.91</v>
      </c>
      <c r="K21" s="37" t="s">
        <v>615</v>
      </c>
      <c r="O21" s="37">
        <v>0</v>
      </c>
      <c r="P21" s="37">
        <v>0</v>
      </c>
      <c r="Q21" s="37">
        <v>0</v>
      </c>
      <c r="R21" s="37">
        <v>0</v>
      </c>
      <c r="S21" s="37" t="s">
        <v>1917</v>
      </c>
      <c r="T21" s="37">
        <v>346</v>
      </c>
    </row>
    <row r="22" spans="1:21">
      <c r="A22" s="54">
        <v>45308</v>
      </c>
      <c r="B22" s="37" t="s">
        <v>1910</v>
      </c>
      <c r="C22" s="37" t="s">
        <v>712</v>
      </c>
      <c r="D22" s="37" t="s">
        <v>592</v>
      </c>
      <c r="E22" s="56" t="s">
        <v>834</v>
      </c>
      <c r="F22" s="37" t="s">
        <v>782</v>
      </c>
      <c r="G22" s="37" t="s">
        <v>1900</v>
      </c>
      <c r="H22" s="37">
        <v>30</v>
      </c>
      <c r="I22" s="37">
        <v>0</v>
      </c>
      <c r="J22" s="38">
        <v>10753.41</v>
      </c>
      <c r="K22" s="37" t="s">
        <v>615</v>
      </c>
      <c r="O22" s="37">
        <v>0</v>
      </c>
      <c r="P22" s="37">
        <v>0</v>
      </c>
      <c r="Q22" s="37">
        <v>0</v>
      </c>
      <c r="R22" s="37">
        <v>0</v>
      </c>
      <c r="S22" s="37" t="s">
        <v>1911</v>
      </c>
      <c r="T22" s="37">
        <v>342</v>
      </c>
    </row>
    <row r="23" spans="1:21">
      <c r="A23" s="54">
        <v>45309</v>
      </c>
      <c r="B23" s="37" t="s">
        <v>1920</v>
      </c>
      <c r="C23" s="37" t="s">
        <v>712</v>
      </c>
      <c r="D23" s="37" t="s">
        <v>592</v>
      </c>
      <c r="E23" s="56" t="s">
        <v>834</v>
      </c>
      <c r="F23" s="37" t="s">
        <v>782</v>
      </c>
      <c r="G23" s="37" t="s">
        <v>1900</v>
      </c>
      <c r="H23" s="37">
        <v>43.5</v>
      </c>
      <c r="I23" s="37">
        <v>0</v>
      </c>
      <c r="J23" s="38">
        <v>10892.01</v>
      </c>
      <c r="K23" s="37" t="s">
        <v>615</v>
      </c>
      <c r="O23" s="37">
        <v>0</v>
      </c>
      <c r="P23" s="37">
        <v>0</v>
      </c>
      <c r="Q23" s="37">
        <v>0</v>
      </c>
      <c r="R23" s="37">
        <v>0</v>
      </c>
      <c r="S23" s="37" t="s">
        <v>1918</v>
      </c>
      <c r="T23" s="37">
        <v>367</v>
      </c>
    </row>
    <row r="24" spans="1:21">
      <c r="A24" s="54">
        <v>45309</v>
      </c>
      <c r="B24" s="37" t="s">
        <v>1918</v>
      </c>
      <c r="C24" s="37" t="s">
        <v>712</v>
      </c>
      <c r="D24" s="37" t="s">
        <v>592</v>
      </c>
      <c r="E24" s="56" t="s">
        <v>800</v>
      </c>
      <c r="F24" s="37" t="s">
        <v>616</v>
      </c>
      <c r="G24" s="37" t="s">
        <v>1919</v>
      </c>
      <c r="H24" s="37">
        <v>15.6</v>
      </c>
      <c r="I24" s="37">
        <v>0</v>
      </c>
      <c r="J24" s="38">
        <v>10848.51</v>
      </c>
      <c r="K24" s="37" t="s">
        <v>615</v>
      </c>
      <c r="O24" s="37">
        <v>0</v>
      </c>
      <c r="P24" s="37">
        <v>0</v>
      </c>
      <c r="Q24" s="37">
        <v>0</v>
      </c>
      <c r="R24" s="37">
        <v>0</v>
      </c>
      <c r="T24" s="37">
        <v>362</v>
      </c>
    </row>
    <row r="25" spans="1:21">
      <c r="A25" s="54">
        <v>45310</v>
      </c>
      <c r="B25" s="37" t="s">
        <v>1924</v>
      </c>
      <c r="C25" s="37" t="s">
        <v>712</v>
      </c>
      <c r="D25" s="37" t="s">
        <v>592</v>
      </c>
      <c r="E25" s="56" t="s">
        <v>834</v>
      </c>
      <c r="F25" s="37" t="s">
        <v>782</v>
      </c>
      <c r="G25" s="37" t="s">
        <v>1900</v>
      </c>
      <c r="H25" s="37">
        <v>30</v>
      </c>
      <c r="I25" s="37">
        <v>0</v>
      </c>
      <c r="J25" s="38">
        <v>12962.02</v>
      </c>
      <c r="K25" s="37" t="s">
        <v>615</v>
      </c>
      <c r="O25" s="37">
        <v>0</v>
      </c>
      <c r="P25" s="37">
        <v>0</v>
      </c>
      <c r="Q25" s="37">
        <v>0</v>
      </c>
      <c r="R25" s="37">
        <v>0</v>
      </c>
      <c r="S25" s="37" t="s">
        <v>1925</v>
      </c>
      <c r="T25" s="37">
        <v>416</v>
      </c>
    </row>
    <row r="26" spans="1:21">
      <c r="A26" s="54">
        <v>45310</v>
      </c>
      <c r="B26" s="37" t="s">
        <v>1921</v>
      </c>
      <c r="C26" s="37" t="s">
        <v>712</v>
      </c>
      <c r="D26" s="37" t="s">
        <v>592</v>
      </c>
      <c r="E26" s="56" t="s">
        <v>800</v>
      </c>
      <c r="F26" s="37" t="s">
        <v>616</v>
      </c>
      <c r="G26" s="37" t="s">
        <v>1922</v>
      </c>
      <c r="H26" s="38">
        <v>2040.01</v>
      </c>
      <c r="I26" s="37">
        <v>0</v>
      </c>
      <c r="J26" s="38">
        <v>12932.02</v>
      </c>
      <c r="K26" s="37" t="s">
        <v>615</v>
      </c>
      <c r="O26" s="37">
        <v>0</v>
      </c>
      <c r="P26" s="37">
        <v>0</v>
      </c>
      <c r="Q26" s="37">
        <v>0</v>
      </c>
      <c r="R26" s="37">
        <v>0</v>
      </c>
      <c r="T26" s="37">
        <v>396</v>
      </c>
      <c r="U26" s="37" t="s">
        <v>1923</v>
      </c>
    </row>
    <row r="27" spans="1:21">
      <c r="A27" s="54">
        <v>45311</v>
      </c>
      <c r="B27" s="37" t="s">
        <v>1930</v>
      </c>
      <c r="C27" s="37" t="s">
        <v>712</v>
      </c>
      <c r="D27" s="37" t="s">
        <v>592</v>
      </c>
      <c r="E27" s="56" t="s">
        <v>834</v>
      </c>
      <c r="F27" s="37" t="s">
        <v>616</v>
      </c>
      <c r="G27" s="37" t="s">
        <v>1931</v>
      </c>
      <c r="H27" s="38">
        <v>3229.72</v>
      </c>
      <c r="I27" s="37">
        <v>0</v>
      </c>
      <c r="J27" s="38">
        <v>16244.24</v>
      </c>
      <c r="K27" s="37" t="s">
        <v>615</v>
      </c>
      <c r="O27" s="37">
        <v>0</v>
      </c>
      <c r="P27" s="37">
        <v>0</v>
      </c>
      <c r="Q27" s="37">
        <v>0</v>
      </c>
      <c r="R27" s="37">
        <v>0</v>
      </c>
      <c r="T27" s="37">
        <v>423</v>
      </c>
    </row>
    <row r="28" spans="1:21">
      <c r="A28" s="54">
        <v>45311</v>
      </c>
      <c r="B28" s="37" t="s">
        <v>1928</v>
      </c>
      <c r="C28" s="37" t="s">
        <v>712</v>
      </c>
      <c r="D28" s="37" t="s">
        <v>592</v>
      </c>
      <c r="E28" s="56" t="s">
        <v>834</v>
      </c>
      <c r="F28" s="37" t="s">
        <v>782</v>
      </c>
      <c r="G28" s="37" t="s">
        <v>1929</v>
      </c>
      <c r="H28" s="37">
        <v>22.5</v>
      </c>
      <c r="I28" s="37">
        <v>0</v>
      </c>
      <c r="J28" s="38">
        <v>13014.52</v>
      </c>
      <c r="K28" s="37" t="s">
        <v>615</v>
      </c>
      <c r="O28" s="37">
        <v>0</v>
      </c>
      <c r="P28" s="37">
        <v>0</v>
      </c>
      <c r="Q28" s="37">
        <v>0</v>
      </c>
      <c r="R28" s="37">
        <v>0</v>
      </c>
      <c r="S28" s="37" t="s">
        <v>1926</v>
      </c>
      <c r="T28" s="37">
        <v>419</v>
      </c>
    </row>
    <row r="29" spans="1:21">
      <c r="A29" s="54">
        <v>45311</v>
      </c>
      <c r="B29" s="37" t="s">
        <v>1926</v>
      </c>
      <c r="C29" s="37" t="s">
        <v>712</v>
      </c>
      <c r="D29" s="37" t="s">
        <v>592</v>
      </c>
      <c r="E29" s="56" t="s">
        <v>834</v>
      </c>
      <c r="F29" s="37" t="s">
        <v>782</v>
      </c>
      <c r="G29" s="37" t="s">
        <v>1900</v>
      </c>
      <c r="H29" s="37">
        <v>30</v>
      </c>
      <c r="I29" s="37">
        <v>0</v>
      </c>
      <c r="J29" s="38">
        <v>12992.02</v>
      </c>
      <c r="K29" s="37" t="s">
        <v>615</v>
      </c>
      <c r="O29" s="37">
        <v>0</v>
      </c>
      <c r="P29" s="37">
        <v>0</v>
      </c>
      <c r="Q29" s="37">
        <v>0</v>
      </c>
      <c r="R29" s="37">
        <v>0</v>
      </c>
      <c r="S29" s="37" t="s">
        <v>1927</v>
      </c>
      <c r="T29" s="37">
        <v>418</v>
      </c>
    </row>
    <row r="30" spans="1:21">
      <c r="A30" s="54">
        <v>45314</v>
      </c>
      <c r="B30" s="37" t="s">
        <v>1932</v>
      </c>
      <c r="C30" s="37" t="s">
        <v>712</v>
      </c>
      <c r="D30" s="37" t="s">
        <v>592</v>
      </c>
      <c r="E30" s="56" t="s">
        <v>834</v>
      </c>
      <c r="F30" s="37" t="s">
        <v>782</v>
      </c>
      <c r="G30" s="37" t="s">
        <v>1929</v>
      </c>
      <c r="H30" s="37">
        <v>22.5</v>
      </c>
      <c r="I30" s="37">
        <v>0</v>
      </c>
      <c r="J30" s="38">
        <v>16266.74</v>
      </c>
      <c r="K30" s="37" t="s">
        <v>615</v>
      </c>
      <c r="O30" s="37">
        <v>0</v>
      </c>
      <c r="P30" s="37">
        <v>0</v>
      </c>
      <c r="Q30" s="37">
        <v>0</v>
      </c>
      <c r="R30" s="37">
        <v>0</v>
      </c>
      <c r="S30" s="37" t="s">
        <v>1933</v>
      </c>
      <c r="T30" s="37">
        <v>452</v>
      </c>
    </row>
    <row r="31" spans="1:21">
      <c r="A31" s="54">
        <v>45315</v>
      </c>
      <c r="B31" s="37" t="s">
        <v>1945</v>
      </c>
      <c r="C31" s="37" t="s">
        <v>712</v>
      </c>
      <c r="D31" s="37" t="s">
        <v>592</v>
      </c>
      <c r="E31" s="56" t="s">
        <v>834</v>
      </c>
      <c r="F31" s="37" t="s">
        <v>782</v>
      </c>
      <c r="G31" s="37" t="s">
        <v>1900</v>
      </c>
      <c r="H31" s="37">
        <v>52.5</v>
      </c>
      <c r="I31" s="37">
        <v>0</v>
      </c>
      <c r="J31" s="38">
        <v>31365.57</v>
      </c>
      <c r="K31" s="37" t="s">
        <v>615</v>
      </c>
      <c r="O31" s="37">
        <v>0</v>
      </c>
      <c r="P31" s="37">
        <v>0</v>
      </c>
      <c r="Q31" s="37">
        <v>0</v>
      </c>
      <c r="R31" s="37">
        <v>0</v>
      </c>
      <c r="S31" s="37" t="s">
        <v>1946</v>
      </c>
      <c r="T31" s="37">
        <v>476</v>
      </c>
    </row>
    <row r="32" spans="1:21">
      <c r="A32" s="54">
        <v>45315</v>
      </c>
      <c r="B32" s="37" t="s">
        <v>1947</v>
      </c>
      <c r="C32" s="37" t="s">
        <v>712</v>
      </c>
      <c r="D32" s="37" t="s">
        <v>592</v>
      </c>
      <c r="E32" s="56" t="s">
        <v>834</v>
      </c>
      <c r="F32" s="37" t="s">
        <v>782</v>
      </c>
      <c r="G32" s="37" t="s">
        <v>1900</v>
      </c>
      <c r="H32" s="37">
        <v>52.5</v>
      </c>
      <c r="I32" s="37">
        <v>0</v>
      </c>
      <c r="J32" s="38">
        <v>31418.07</v>
      </c>
      <c r="K32" s="37" t="s">
        <v>615</v>
      </c>
      <c r="O32" s="37">
        <v>0</v>
      </c>
      <c r="P32" s="37">
        <v>0</v>
      </c>
      <c r="Q32" s="37">
        <v>0</v>
      </c>
      <c r="R32" s="37">
        <v>0</v>
      </c>
      <c r="S32" s="37" t="s">
        <v>1948</v>
      </c>
      <c r="T32" s="37">
        <v>477</v>
      </c>
    </row>
    <row r="33" spans="1:21">
      <c r="A33" s="54">
        <v>45315</v>
      </c>
      <c r="B33" s="37" t="s">
        <v>1943</v>
      </c>
      <c r="C33" s="37" t="s">
        <v>712</v>
      </c>
      <c r="D33" s="37" t="s">
        <v>592</v>
      </c>
      <c r="E33" s="56" t="s">
        <v>800</v>
      </c>
      <c r="F33" s="37" t="s">
        <v>616</v>
      </c>
      <c r="G33" s="37" t="s">
        <v>1944</v>
      </c>
      <c r="H33" s="38">
        <v>1173.33</v>
      </c>
      <c r="I33" s="37">
        <v>0</v>
      </c>
      <c r="J33" s="38">
        <v>31313.07</v>
      </c>
      <c r="K33" s="37" t="s">
        <v>615</v>
      </c>
      <c r="O33" s="37">
        <v>0</v>
      </c>
      <c r="P33" s="37">
        <v>0</v>
      </c>
      <c r="Q33" s="37">
        <v>0</v>
      </c>
      <c r="R33" s="37">
        <v>0</v>
      </c>
      <c r="T33" s="37">
        <v>471</v>
      </c>
      <c r="U33" s="37" t="s">
        <v>1923</v>
      </c>
    </row>
    <row r="34" spans="1:21">
      <c r="A34" s="54">
        <v>45315</v>
      </c>
      <c r="B34" s="37" t="s">
        <v>1934</v>
      </c>
      <c r="C34" s="37" t="s">
        <v>712</v>
      </c>
      <c r="D34" s="37" t="s">
        <v>592</v>
      </c>
      <c r="E34" s="56" t="s">
        <v>2408</v>
      </c>
      <c r="F34" s="37" t="s">
        <v>782</v>
      </c>
      <c r="G34" s="37" t="s">
        <v>1937</v>
      </c>
      <c r="H34" s="38">
        <v>1272</v>
      </c>
      <c r="I34" s="37">
        <v>0</v>
      </c>
      <c r="J34" s="38">
        <v>19554.740000000002</v>
      </c>
      <c r="K34" s="37" t="s">
        <v>615</v>
      </c>
      <c r="O34" s="37">
        <v>0</v>
      </c>
      <c r="P34" s="37">
        <v>0</v>
      </c>
      <c r="Q34" s="37">
        <v>0</v>
      </c>
      <c r="R34" s="37">
        <v>0</v>
      </c>
      <c r="S34" s="37" t="s">
        <v>1936</v>
      </c>
      <c r="T34" s="37">
        <v>463</v>
      </c>
    </row>
    <row r="35" spans="1:21">
      <c r="A35" s="54">
        <v>45315</v>
      </c>
      <c r="B35" s="37" t="s">
        <v>1934</v>
      </c>
      <c r="C35" s="37" t="s">
        <v>712</v>
      </c>
      <c r="D35" s="37" t="s">
        <v>592</v>
      </c>
      <c r="E35" s="56" t="s">
        <v>2408</v>
      </c>
      <c r="F35" s="37" t="s">
        <v>782</v>
      </c>
      <c r="G35" s="37" t="s">
        <v>1938</v>
      </c>
      <c r="H35" s="38">
        <v>1288</v>
      </c>
      <c r="I35" s="37">
        <v>0</v>
      </c>
      <c r="J35" s="38">
        <v>20842.740000000002</v>
      </c>
      <c r="K35" s="37" t="s">
        <v>615</v>
      </c>
      <c r="O35" s="37">
        <v>0</v>
      </c>
      <c r="P35" s="37">
        <v>0</v>
      </c>
      <c r="Q35" s="37">
        <v>0</v>
      </c>
      <c r="R35" s="37">
        <v>0</v>
      </c>
      <c r="S35" s="37" t="s">
        <v>1936</v>
      </c>
      <c r="T35" s="37">
        <v>463</v>
      </c>
    </row>
    <row r="36" spans="1:21">
      <c r="A36" s="54">
        <v>45315</v>
      </c>
      <c r="B36" s="37" t="s">
        <v>1934</v>
      </c>
      <c r="C36" s="37" t="s">
        <v>712</v>
      </c>
      <c r="D36" s="37" t="s">
        <v>592</v>
      </c>
      <c r="E36" s="56" t="s">
        <v>2408</v>
      </c>
      <c r="F36" s="37" t="s">
        <v>782</v>
      </c>
      <c r="G36" s="37" t="s">
        <v>1939</v>
      </c>
      <c r="H36" s="38">
        <v>2632.5</v>
      </c>
      <c r="I36" s="37">
        <v>0</v>
      </c>
      <c r="J36" s="38">
        <v>23475.24</v>
      </c>
      <c r="K36" s="37" t="s">
        <v>615</v>
      </c>
      <c r="O36" s="37">
        <v>0</v>
      </c>
      <c r="P36" s="37">
        <v>0</v>
      </c>
      <c r="Q36" s="37">
        <v>0</v>
      </c>
      <c r="R36" s="37">
        <v>0</v>
      </c>
      <c r="S36" s="37" t="s">
        <v>1936</v>
      </c>
      <c r="T36" s="37">
        <v>463</v>
      </c>
    </row>
    <row r="37" spans="1:21">
      <c r="A37" s="54">
        <v>45315</v>
      </c>
      <c r="B37" s="37" t="s">
        <v>1934</v>
      </c>
      <c r="C37" s="37" t="s">
        <v>712</v>
      </c>
      <c r="D37" s="37" t="s">
        <v>592</v>
      </c>
      <c r="E37" s="56" t="s">
        <v>2408</v>
      </c>
      <c r="F37" s="37" t="s">
        <v>782</v>
      </c>
      <c r="G37" s="37" t="s">
        <v>1941</v>
      </c>
      <c r="H37" s="38">
        <v>2016</v>
      </c>
      <c r="I37" s="37">
        <v>0</v>
      </c>
      <c r="J37" s="38">
        <v>27507.24</v>
      </c>
      <c r="K37" s="37" t="s">
        <v>615</v>
      </c>
      <c r="O37" s="37">
        <v>0</v>
      </c>
      <c r="P37" s="37">
        <v>0</v>
      </c>
      <c r="Q37" s="37">
        <v>0</v>
      </c>
      <c r="R37" s="37">
        <v>0</v>
      </c>
      <c r="S37" s="37" t="s">
        <v>1936</v>
      </c>
      <c r="T37" s="37">
        <v>463</v>
      </c>
    </row>
    <row r="38" spans="1:21">
      <c r="A38" s="54">
        <v>45315</v>
      </c>
      <c r="B38" s="37" t="s">
        <v>1934</v>
      </c>
      <c r="C38" s="37" t="s">
        <v>712</v>
      </c>
      <c r="D38" s="37" t="s">
        <v>592</v>
      </c>
      <c r="E38" s="56" t="s">
        <v>2408</v>
      </c>
      <c r="F38" s="37" t="s">
        <v>782</v>
      </c>
      <c r="G38" s="37" t="s">
        <v>1940</v>
      </c>
      <c r="H38" s="38">
        <v>2016</v>
      </c>
      <c r="I38" s="37">
        <v>0</v>
      </c>
      <c r="J38" s="38">
        <v>25491.24</v>
      </c>
      <c r="K38" s="37" t="s">
        <v>615</v>
      </c>
      <c r="O38" s="37">
        <v>0</v>
      </c>
      <c r="P38" s="37">
        <v>0</v>
      </c>
      <c r="Q38" s="37">
        <v>0</v>
      </c>
      <c r="R38" s="37">
        <v>0</v>
      </c>
      <c r="S38" s="37" t="s">
        <v>1936</v>
      </c>
      <c r="T38" s="37">
        <v>463</v>
      </c>
    </row>
    <row r="39" spans="1:21">
      <c r="A39" s="54">
        <v>45315</v>
      </c>
      <c r="B39" s="37" t="s">
        <v>1934</v>
      </c>
      <c r="C39" s="37" t="s">
        <v>712</v>
      </c>
      <c r="D39" s="37" t="s">
        <v>592</v>
      </c>
      <c r="E39" s="56" t="s">
        <v>2408</v>
      </c>
      <c r="F39" s="37" t="s">
        <v>782</v>
      </c>
      <c r="G39" s="37" t="s">
        <v>1935</v>
      </c>
      <c r="H39" s="38">
        <v>2016</v>
      </c>
      <c r="I39" s="37">
        <v>0</v>
      </c>
      <c r="J39" s="38">
        <v>18282.740000000002</v>
      </c>
      <c r="K39" s="37" t="s">
        <v>615</v>
      </c>
      <c r="O39" s="37">
        <v>0</v>
      </c>
      <c r="P39" s="37">
        <v>0</v>
      </c>
      <c r="Q39" s="37">
        <v>0</v>
      </c>
      <c r="R39" s="37">
        <v>0</v>
      </c>
      <c r="S39" s="37" t="s">
        <v>1936</v>
      </c>
      <c r="T39" s="37">
        <v>463</v>
      </c>
    </row>
    <row r="40" spans="1:21">
      <c r="A40" s="54">
        <v>45315</v>
      </c>
      <c r="B40" s="37" t="s">
        <v>1934</v>
      </c>
      <c r="C40" s="37" t="s">
        <v>712</v>
      </c>
      <c r="D40" s="37" t="s">
        <v>592</v>
      </c>
      <c r="E40" s="56" t="s">
        <v>2408</v>
      </c>
      <c r="F40" s="37" t="s">
        <v>782</v>
      </c>
      <c r="G40" s="37" t="s">
        <v>1942</v>
      </c>
      <c r="H40" s="38">
        <v>2632.5</v>
      </c>
      <c r="I40" s="37">
        <v>0</v>
      </c>
      <c r="J40" s="38">
        <v>30139.74</v>
      </c>
      <c r="K40" s="37" t="s">
        <v>615</v>
      </c>
      <c r="O40" s="37">
        <v>0</v>
      </c>
      <c r="P40" s="37">
        <v>0</v>
      </c>
      <c r="Q40" s="37">
        <v>0</v>
      </c>
      <c r="R40" s="37">
        <v>0</v>
      </c>
      <c r="S40" s="37" t="s">
        <v>1936</v>
      </c>
      <c r="T40" s="37">
        <v>463</v>
      </c>
    </row>
    <row r="41" spans="1:21">
      <c r="A41" s="54">
        <v>45316</v>
      </c>
      <c r="B41" s="37" t="s">
        <v>836</v>
      </c>
      <c r="C41" s="37" t="s">
        <v>712</v>
      </c>
      <c r="D41" s="37" t="s">
        <v>592</v>
      </c>
      <c r="E41" s="56" t="s">
        <v>834</v>
      </c>
      <c r="F41" s="37" t="s">
        <v>782</v>
      </c>
      <c r="G41" s="37" t="s">
        <v>1956</v>
      </c>
      <c r="H41" s="37">
        <v>52.5</v>
      </c>
      <c r="I41" s="37">
        <v>0</v>
      </c>
      <c r="J41" s="38">
        <v>31733.07</v>
      </c>
      <c r="K41" s="37" t="s">
        <v>615</v>
      </c>
      <c r="O41" s="37">
        <v>0</v>
      </c>
      <c r="P41" s="37">
        <v>0</v>
      </c>
      <c r="Q41" s="37">
        <v>0</v>
      </c>
      <c r="R41" s="37">
        <v>0</v>
      </c>
      <c r="S41" s="37" t="s">
        <v>1952</v>
      </c>
      <c r="T41" s="37">
        <v>502</v>
      </c>
    </row>
    <row r="42" spans="1:21">
      <c r="A42" s="54">
        <v>45316</v>
      </c>
      <c r="B42" s="37" t="s">
        <v>1952</v>
      </c>
      <c r="C42" s="37" t="s">
        <v>712</v>
      </c>
      <c r="D42" s="37" t="s">
        <v>592</v>
      </c>
      <c r="E42" s="56" t="s">
        <v>834</v>
      </c>
      <c r="F42" s="37" t="s">
        <v>782</v>
      </c>
      <c r="G42" s="37" t="s">
        <v>1898</v>
      </c>
      <c r="H42" s="37">
        <v>52.5</v>
      </c>
      <c r="I42" s="37">
        <v>0</v>
      </c>
      <c r="J42" s="38">
        <v>31575.57</v>
      </c>
      <c r="K42" s="37" t="s">
        <v>615</v>
      </c>
      <c r="O42" s="37">
        <v>0</v>
      </c>
      <c r="P42" s="37">
        <v>0</v>
      </c>
      <c r="Q42" s="37">
        <v>0</v>
      </c>
      <c r="R42" s="37">
        <v>0</v>
      </c>
      <c r="S42" s="37" t="s">
        <v>1953</v>
      </c>
      <c r="T42" s="37">
        <v>499</v>
      </c>
    </row>
    <row r="43" spans="1:21">
      <c r="A43" s="54">
        <v>45316</v>
      </c>
      <c r="B43" s="37" t="s">
        <v>1949</v>
      </c>
      <c r="C43" s="37" t="s">
        <v>712</v>
      </c>
      <c r="D43" s="37" t="s">
        <v>592</v>
      </c>
      <c r="E43" s="56" t="s">
        <v>834</v>
      </c>
      <c r="F43" s="37" t="s">
        <v>782</v>
      </c>
      <c r="G43" s="37" t="s">
        <v>1929</v>
      </c>
      <c r="H43" s="37">
        <v>52.5</v>
      </c>
      <c r="I43" s="37">
        <v>0</v>
      </c>
      <c r="J43" s="38">
        <v>31470.57</v>
      </c>
      <c r="K43" s="37" t="s">
        <v>615</v>
      </c>
      <c r="O43" s="37">
        <v>0</v>
      </c>
      <c r="P43" s="37">
        <v>0</v>
      </c>
      <c r="Q43" s="37">
        <v>0</v>
      </c>
      <c r="R43" s="37">
        <v>0</v>
      </c>
      <c r="S43" s="37" t="s">
        <v>1950</v>
      </c>
      <c r="T43" s="37">
        <v>497</v>
      </c>
    </row>
    <row r="44" spans="1:21">
      <c r="A44" s="54">
        <v>45316</v>
      </c>
      <c r="B44" s="37" t="s">
        <v>1278</v>
      </c>
      <c r="C44" s="37" t="s">
        <v>712</v>
      </c>
      <c r="D44" s="37" t="s">
        <v>592</v>
      </c>
      <c r="E44" s="56" t="s">
        <v>834</v>
      </c>
      <c r="F44" s="37" t="s">
        <v>782</v>
      </c>
      <c r="G44" s="37" t="s">
        <v>1883</v>
      </c>
      <c r="H44" s="37">
        <v>52.5</v>
      </c>
      <c r="I44" s="37">
        <v>0</v>
      </c>
      <c r="J44" s="38">
        <v>31523.07</v>
      </c>
      <c r="K44" s="37" t="s">
        <v>615</v>
      </c>
      <c r="O44" s="37">
        <v>0</v>
      </c>
      <c r="P44" s="37">
        <v>0</v>
      </c>
      <c r="Q44" s="37">
        <v>0</v>
      </c>
      <c r="R44" s="37">
        <v>0</v>
      </c>
      <c r="S44" s="37" t="s">
        <v>1951</v>
      </c>
      <c r="T44" s="37">
        <v>498</v>
      </c>
    </row>
    <row r="45" spans="1:21">
      <c r="A45" s="54">
        <v>45316</v>
      </c>
      <c r="B45" s="37" t="s">
        <v>1280</v>
      </c>
      <c r="C45" s="37" t="s">
        <v>712</v>
      </c>
      <c r="D45" s="37" t="s">
        <v>592</v>
      </c>
      <c r="E45" s="56" t="s">
        <v>834</v>
      </c>
      <c r="F45" s="37" t="s">
        <v>782</v>
      </c>
      <c r="G45" s="37" t="s">
        <v>1955</v>
      </c>
      <c r="H45" s="37">
        <v>52.5</v>
      </c>
      <c r="I45" s="37">
        <v>0</v>
      </c>
      <c r="J45" s="38">
        <v>31680.57</v>
      </c>
      <c r="K45" s="37" t="s">
        <v>615</v>
      </c>
      <c r="O45" s="37">
        <v>0</v>
      </c>
      <c r="P45" s="37">
        <v>0</v>
      </c>
      <c r="Q45" s="37">
        <v>0</v>
      </c>
      <c r="R45" s="37">
        <v>0</v>
      </c>
      <c r="S45" s="37" t="s">
        <v>1278</v>
      </c>
      <c r="T45" s="37">
        <v>501</v>
      </c>
    </row>
    <row r="46" spans="1:21">
      <c r="A46" s="54">
        <v>45316</v>
      </c>
      <c r="B46" s="37" t="s">
        <v>1279</v>
      </c>
      <c r="C46" s="37" t="s">
        <v>712</v>
      </c>
      <c r="D46" s="37" t="s">
        <v>592</v>
      </c>
      <c r="E46" s="56" t="s">
        <v>834</v>
      </c>
      <c r="F46" s="37" t="s">
        <v>782</v>
      </c>
      <c r="G46" s="37" t="s">
        <v>1954</v>
      </c>
      <c r="H46" s="37">
        <v>52.5</v>
      </c>
      <c r="I46" s="37">
        <v>0</v>
      </c>
      <c r="J46" s="38">
        <v>31628.07</v>
      </c>
      <c r="K46" s="37" t="s">
        <v>615</v>
      </c>
      <c r="O46" s="37">
        <v>0</v>
      </c>
      <c r="P46" s="37">
        <v>0</v>
      </c>
      <c r="Q46" s="37">
        <v>0</v>
      </c>
      <c r="R46" s="37">
        <v>0</v>
      </c>
      <c r="S46" s="37" t="s">
        <v>1949</v>
      </c>
      <c r="T46" s="37">
        <v>500</v>
      </c>
    </row>
    <row r="47" spans="1:21">
      <c r="A47" s="54">
        <v>45319</v>
      </c>
      <c r="B47" s="37" t="s">
        <v>1957</v>
      </c>
      <c r="C47" s="37" t="s">
        <v>712</v>
      </c>
      <c r="D47" s="37" t="s">
        <v>592</v>
      </c>
      <c r="E47" s="56" t="s">
        <v>834</v>
      </c>
      <c r="F47" s="37" t="s">
        <v>782</v>
      </c>
      <c r="G47" s="37" t="s">
        <v>1883</v>
      </c>
      <c r="H47" s="37">
        <v>52.5</v>
      </c>
      <c r="I47" s="37">
        <v>0</v>
      </c>
      <c r="J47" s="38">
        <v>31785.57</v>
      </c>
      <c r="K47" s="37" t="s">
        <v>615</v>
      </c>
      <c r="O47" s="37">
        <v>0</v>
      </c>
      <c r="P47" s="37">
        <v>0</v>
      </c>
      <c r="Q47" s="37">
        <v>0</v>
      </c>
      <c r="R47" s="37">
        <v>0</v>
      </c>
      <c r="S47" s="37" t="s">
        <v>1958</v>
      </c>
      <c r="T47" s="37">
        <v>536</v>
      </c>
    </row>
    <row r="48" spans="1:21">
      <c r="A48" s="54">
        <v>45321</v>
      </c>
      <c r="B48" s="37" t="s">
        <v>1963</v>
      </c>
      <c r="C48" s="37" t="s">
        <v>712</v>
      </c>
      <c r="D48" s="37" t="s">
        <v>592</v>
      </c>
      <c r="E48" s="56" t="s">
        <v>834</v>
      </c>
      <c r="F48" s="37" t="s">
        <v>782</v>
      </c>
      <c r="G48" s="37" t="s">
        <v>1900</v>
      </c>
      <c r="H48" s="37">
        <v>52.5</v>
      </c>
      <c r="I48" s="37">
        <v>0</v>
      </c>
      <c r="J48" s="38">
        <v>32603.08</v>
      </c>
      <c r="K48" s="37" t="s">
        <v>615</v>
      </c>
      <c r="O48" s="37">
        <v>0</v>
      </c>
      <c r="P48" s="37">
        <v>0</v>
      </c>
      <c r="Q48" s="37">
        <v>0</v>
      </c>
      <c r="R48" s="37">
        <v>0</v>
      </c>
      <c r="S48" s="37" t="s">
        <v>1964</v>
      </c>
      <c r="T48" s="37">
        <v>594</v>
      </c>
    </row>
    <row r="49" spans="1:20">
      <c r="A49" s="54">
        <v>45321</v>
      </c>
      <c r="B49" s="37" t="s">
        <v>1959</v>
      </c>
      <c r="C49" s="37" t="s">
        <v>1534</v>
      </c>
      <c r="D49" s="37" t="s">
        <v>1535</v>
      </c>
      <c r="E49" s="56" t="s">
        <v>800</v>
      </c>
      <c r="F49" s="37" t="s">
        <v>782</v>
      </c>
      <c r="G49" s="37" t="s">
        <v>1960</v>
      </c>
      <c r="H49" s="37">
        <v>521.6</v>
      </c>
      <c r="I49" s="37">
        <v>0</v>
      </c>
      <c r="J49" s="38">
        <v>32307.17</v>
      </c>
      <c r="K49" s="37" t="s">
        <v>615</v>
      </c>
      <c r="O49" s="37">
        <v>0</v>
      </c>
      <c r="P49" s="37">
        <v>0</v>
      </c>
      <c r="Q49" s="37">
        <v>0</v>
      </c>
      <c r="R49" s="37">
        <v>0</v>
      </c>
      <c r="S49" s="37" t="s">
        <v>1959</v>
      </c>
      <c r="T49" s="37">
        <v>584</v>
      </c>
    </row>
    <row r="50" spans="1:20">
      <c r="A50" s="54">
        <v>45321</v>
      </c>
      <c r="B50" s="37" t="s">
        <v>1961</v>
      </c>
      <c r="C50" s="37" t="s">
        <v>1534</v>
      </c>
      <c r="D50" s="37" t="s">
        <v>1535</v>
      </c>
      <c r="E50" s="56" t="s">
        <v>800</v>
      </c>
      <c r="F50" s="37" t="s">
        <v>782</v>
      </c>
      <c r="G50" s="37" t="s">
        <v>1960</v>
      </c>
      <c r="H50" s="37">
        <v>243.41</v>
      </c>
      <c r="I50" s="37">
        <v>0</v>
      </c>
      <c r="J50" s="38">
        <v>32550.58</v>
      </c>
      <c r="K50" s="37" t="s">
        <v>615</v>
      </c>
      <c r="O50" s="37">
        <v>0</v>
      </c>
      <c r="P50" s="37">
        <v>0</v>
      </c>
      <c r="Q50" s="37">
        <v>0</v>
      </c>
      <c r="R50" s="37">
        <v>0</v>
      </c>
      <c r="S50" s="37" t="s">
        <v>1962</v>
      </c>
      <c r="T50" s="37">
        <v>593</v>
      </c>
    </row>
    <row r="51" spans="1:20">
      <c r="A51" s="54">
        <v>45322</v>
      </c>
      <c r="B51" s="37" t="s">
        <v>1965</v>
      </c>
      <c r="C51" s="37" t="s">
        <v>712</v>
      </c>
      <c r="D51" s="37" t="s">
        <v>592</v>
      </c>
      <c r="E51" s="56" t="s">
        <v>834</v>
      </c>
      <c r="F51" s="37" t="s">
        <v>616</v>
      </c>
      <c r="G51" s="37" t="s">
        <v>1966</v>
      </c>
      <c r="H51" s="38">
        <v>7620.45</v>
      </c>
      <c r="I51" s="37">
        <v>0</v>
      </c>
      <c r="J51" s="38">
        <v>40223.53</v>
      </c>
      <c r="K51" s="37" t="s">
        <v>615</v>
      </c>
      <c r="O51" s="37">
        <v>0</v>
      </c>
      <c r="P51" s="37">
        <v>0</v>
      </c>
      <c r="Q51" s="37">
        <v>0</v>
      </c>
      <c r="R51" s="37">
        <v>0</v>
      </c>
      <c r="T51" s="37">
        <v>595</v>
      </c>
    </row>
    <row r="52" spans="1:20">
      <c r="A52" s="54">
        <v>45322</v>
      </c>
      <c r="B52" s="37" t="s">
        <v>1967</v>
      </c>
      <c r="C52" s="37" t="s">
        <v>712</v>
      </c>
      <c r="D52" s="37" t="s">
        <v>592</v>
      </c>
      <c r="E52" s="56" t="s">
        <v>834</v>
      </c>
      <c r="F52" s="37" t="s">
        <v>782</v>
      </c>
      <c r="G52" s="37" t="s">
        <v>1883</v>
      </c>
      <c r="H52" s="37">
        <v>87</v>
      </c>
      <c r="I52" s="37">
        <v>0</v>
      </c>
      <c r="J52" s="38">
        <v>40310.53</v>
      </c>
      <c r="K52" s="37" t="s">
        <v>615</v>
      </c>
      <c r="O52" s="37">
        <v>0</v>
      </c>
      <c r="P52" s="37">
        <v>0</v>
      </c>
      <c r="Q52" s="37">
        <v>0</v>
      </c>
      <c r="R52" s="37">
        <v>0</v>
      </c>
      <c r="S52" s="37" t="s">
        <v>1965</v>
      </c>
      <c r="T52" s="37">
        <v>596</v>
      </c>
    </row>
    <row r="53" spans="1:20">
      <c r="A53" s="54">
        <v>45322</v>
      </c>
      <c r="B53" s="37" t="s">
        <v>1972</v>
      </c>
      <c r="C53" s="37" t="s">
        <v>712</v>
      </c>
      <c r="D53" s="37" t="s">
        <v>592</v>
      </c>
      <c r="E53" s="56" t="s">
        <v>834</v>
      </c>
      <c r="F53" s="37" t="s">
        <v>782</v>
      </c>
      <c r="G53" s="37" t="s">
        <v>1883</v>
      </c>
      <c r="H53" s="37">
        <v>52.5</v>
      </c>
      <c r="I53" s="37">
        <v>0</v>
      </c>
      <c r="J53" s="38">
        <v>40714.36</v>
      </c>
      <c r="K53" s="37" t="s">
        <v>615</v>
      </c>
      <c r="O53" s="37">
        <v>0</v>
      </c>
      <c r="P53" s="37">
        <v>0</v>
      </c>
      <c r="Q53" s="37">
        <v>0</v>
      </c>
      <c r="R53" s="37">
        <v>0</v>
      </c>
      <c r="S53" s="37" t="s">
        <v>1973</v>
      </c>
      <c r="T53" s="37">
        <v>667</v>
      </c>
    </row>
    <row r="54" spans="1:20">
      <c r="A54" s="54">
        <v>45322</v>
      </c>
      <c r="B54" s="37" t="s">
        <v>1968</v>
      </c>
      <c r="C54" s="37" t="s">
        <v>712</v>
      </c>
      <c r="D54" s="37" t="s">
        <v>592</v>
      </c>
      <c r="E54" s="56" t="s">
        <v>835</v>
      </c>
      <c r="F54" s="37" t="s">
        <v>616</v>
      </c>
      <c r="G54" s="37" t="s">
        <v>1969</v>
      </c>
      <c r="H54" s="37">
        <v>350.65</v>
      </c>
      <c r="I54" s="37">
        <v>0</v>
      </c>
      <c r="J54" s="38">
        <v>40661.18</v>
      </c>
      <c r="K54" s="37" t="s">
        <v>615</v>
      </c>
      <c r="O54" s="37">
        <v>0</v>
      </c>
      <c r="P54" s="37">
        <v>0</v>
      </c>
      <c r="Q54" s="37">
        <v>0</v>
      </c>
      <c r="R54" s="37">
        <v>0</v>
      </c>
      <c r="T54" s="37">
        <v>622</v>
      </c>
    </row>
    <row r="55" spans="1:20">
      <c r="A55" s="54">
        <v>45322</v>
      </c>
      <c r="B55" s="37" t="s">
        <v>1977</v>
      </c>
      <c r="C55" s="37" t="s">
        <v>1536</v>
      </c>
      <c r="D55" s="37" t="s">
        <v>1975</v>
      </c>
      <c r="E55" s="56" t="s">
        <v>800</v>
      </c>
      <c r="F55" s="37" t="s">
        <v>792</v>
      </c>
      <c r="G55" s="37" t="s">
        <v>1978</v>
      </c>
      <c r="H55" s="38">
        <v>7935.02</v>
      </c>
      <c r="I55" s="37">
        <v>0</v>
      </c>
      <c r="J55" s="38">
        <v>49426.98</v>
      </c>
      <c r="K55" s="37" t="s">
        <v>615</v>
      </c>
      <c r="O55" s="37">
        <v>0</v>
      </c>
      <c r="P55" s="37">
        <v>0</v>
      </c>
      <c r="Q55" s="37">
        <v>0</v>
      </c>
      <c r="R55" s="37">
        <v>0</v>
      </c>
      <c r="T55" s="37">
        <v>669</v>
      </c>
    </row>
    <row r="56" spans="1:20">
      <c r="A56" s="54">
        <v>45322</v>
      </c>
      <c r="B56" s="37" t="s">
        <v>1974</v>
      </c>
      <c r="C56" s="37" t="s">
        <v>1536</v>
      </c>
      <c r="D56" s="37" t="s">
        <v>1975</v>
      </c>
      <c r="E56" s="56" t="s">
        <v>800</v>
      </c>
      <c r="F56" s="37" t="s">
        <v>792</v>
      </c>
      <c r="G56" s="37" t="s">
        <v>1976</v>
      </c>
      <c r="H56" s="37">
        <v>777.6</v>
      </c>
      <c r="I56" s="37">
        <v>0</v>
      </c>
      <c r="J56" s="38">
        <v>41491.96</v>
      </c>
      <c r="K56" s="37" t="s">
        <v>615</v>
      </c>
      <c r="O56" s="37">
        <v>0</v>
      </c>
      <c r="P56" s="37">
        <v>0</v>
      </c>
      <c r="Q56" s="37">
        <v>0</v>
      </c>
      <c r="R56" s="37">
        <v>0</v>
      </c>
      <c r="T56" s="37">
        <v>668</v>
      </c>
    </row>
    <row r="57" spans="1:20">
      <c r="A57" s="54">
        <v>45322</v>
      </c>
      <c r="B57" s="37" t="s">
        <v>1970</v>
      </c>
      <c r="C57" s="37" t="s">
        <v>765</v>
      </c>
      <c r="D57" s="37" t="s">
        <v>766</v>
      </c>
      <c r="E57" s="56" t="s">
        <v>800</v>
      </c>
      <c r="F57" s="37" t="s">
        <v>616</v>
      </c>
      <c r="G57" s="37" t="s">
        <v>1971</v>
      </c>
      <c r="H57" s="37">
        <v>0.68</v>
      </c>
      <c r="I57" s="37">
        <v>0</v>
      </c>
      <c r="J57" s="38">
        <v>40661.86</v>
      </c>
      <c r="K57" s="37" t="s">
        <v>615</v>
      </c>
      <c r="O57" s="37">
        <v>0</v>
      </c>
      <c r="P57" s="37">
        <v>0</v>
      </c>
      <c r="Q57" s="37">
        <v>0</v>
      </c>
      <c r="R57" s="37">
        <v>0</v>
      </c>
      <c r="T57" s="37">
        <v>639</v>
      </c>
    </row>
    <row r="58" spans="1:20">
      <c r="A58" s="54">
        <v>45322</v>
      </c>
      <c r="B58" s="37" t="s">
        <v>1981</v>
      </c>
      <c r="C58" s="37" t="s">
        <v>1536</v>
      </c>
      <c r="D58" s="37" t="s">
        <v>1975</v>
      </c>
      <c r="E58" s="56" t="s">
        <v>800</v>
      </c>
      <c r="F58" s="37" t="s">
        <v>792</v>
      </c>
      <c r="G58" s="37" t="s">
        <v>1982</v>
      </c>
      <c r="H58" s="38">
        <v>2285.6799999999998</v>
      </c>
      <c r="I58" s="37">
        <v>0</v>
      </c>
      <c r="J58" s="38">
        <v>52027.99</v>
      </c>
      <c r="K58" s="37" t="s">
        <v>615</v>
      </c>
      <c r="O58" s="37">
        <v>0</v>
      </c>
      <c r="P58" s="37">
        <v>0</v>
      </c>
      <c r="Q58" s="37">
        <v>0</v>
      </c>
      <c r="R58" s="37">
        <v>0</v>
      </c>
      <c r="T58" s="37">
        <v>680</v>
      </c>
    </row>
    <row r="59" spans="1:20">
      <c r="A59" s="54">
        <v>45322</v>
      </c>
      <c r="B59" s="37" t="s">
        <v>1979</v>
      </c>
      <c r="C59" s="37" t="s">
        <v>1536</v>
      </c>
      <c r="D59" s="37" t="s">
        <v>1975</v>
      </c>
      <c r="E59" s="56" t="s">
        <v>800</v>
      </c>
      <c r="F59" s="37" t="s">
        <v>792</v>
      </c>
      <c r="G59" s="37" t="s">
        <v>1980</v>
      </c>
      <c r="H59" s="37">
        <v>143.06</v>
      </c>
      <c r="I59" s="37">
        <v>0</v>
      </c>
      <c r="J59" s="38">
        <v>49570.04</v>
      </c>
      <c r="K59" s="37" t="s">
        <v>615</v>
      </c>
      <c r="O59" s="37">
        <v>0</v>
      </c>
      <c r="P59" s="37">
        <v>0</v>
      </c>
      <c r="Q59" s="37">
        <v>0</v>
      </c>
      <c r="R59" s="37">
        <v>0</v>
      </c>
      <c r="T59" s="37">
        <v>676</v>
      </c>
    </row>
    <row r="60" spans="1:20">
      <c r="A60" s="54">
        <v>45322</v>
      </c>
      <c r="B60" s="37" t="s">
        <v>1979</v>
      </c>
      <c r="C60" s="37" t="s">
        <v>1536</v>
      </c>
      <c r="D60" s="37" t="s">
        <v>1975</v>
      </c>
      <c r="E60" s="56" t="s">
        <v>800</v>
      </c>
      <c r="F60" s="37" t="s">
        <v>792</v>
      </c>
      <c r="G60" s="37" t="s">
        <v>1980</v>
      </c>
      <c r="H60" s="37">
        <v>128.47</v>
      </c>
      <c r="I60" s="37">
        <v>0</v>
      </c>
      <c r="J60" s="38">
        <v>49698.51</v>
      </c>
      <c r="K60" s="37" t="s">
        <v>615</v>
      </c>
      <c r="O60" s="37">
        <v>0</v>
      </c>
      <c r="P60" s="37">
        <v>0</v>
      </c>
      <c r="Q60" s="37">
        <v>0</v>
      </c>
      <c r="R60" s="37">
        <v>0</v>
      </c>
      <c r="T60" s="37">
        <v>676</v>
      </c>
    </row>
    <row r="61" spans="1:20">
      <c r="A61" s="54">
        <v>45322</v>
      </c>
      <c r="B61" s="37" t="s">
        <v>1979</v>
      </c>
      <c r="C61" s="37" t="s">
        <v>1536</v>
      </c>
      <c r="D61" s="37" t="s">
        <v>1975</v>
      </c>
      <c r="E61" s="56" t="s">
        <v>800</v>
      </c>
      <c r="F61" s="37" t="s">
        <v>792</v>
      </c>
      <c r="G61" s="37" t="s">
        <v>1980</v>
      </c>
      <c r="H61" s="37">
        <v>0.06</v>
      </c>
      <c r="I61" s="37">
        <v>0</v>
      </c>
      <c r="J61" s="38">
        <v>49698.57</v>
      </c>
      <c r="K61" s="37" t="s">
        <v>615</v>
      </c>
      <c r="O61" s="37">
        <v>0</v>
      </c>
      <c r="P61" s="37">
        <v>0</v>
      </c>
      <c r="Q61" s="37">
        <v>0</v>
      </c>
      <c r="R61" s="37">
        <v>0</v>
      </c>
      <c r="T61" s="37">
        <v>676</v>
      </c>
    </row>
    <row r="62" spans="1:20">
      <c r="A62" s="54">
        <v>45322</v>
      </c>
      <c r="B62" s="37" t="s">
        <v>1979</v>
      </c>
      <c r="C62" s="37" t="s">
        <v>1536</v>
      </c>
      <c r="D62" s="37" t="s">
        <v>1975</v>
      </c>
      <c r="E62" s="56" t="s">
        <v>800</v>
      </c>
      <c r="F62" s="37" t="s">
        <v>792</v>
      </c>
      <c r="G62" s="37" t="s">
        <v>1980</v>
      </c>
      <c r="H62" s="37">
        <v>0.47</v>
      </c>
      <c r="I62" s="37">
        <v>0</v>
      </c>
      <c r="J62" s="38">
        <v>49699.040000000001</v>
      </c>
      <c r="K62" s="37" t="s">
        <v>615</v>
      </c>
      <c r="O62" s="37">
        <v>0</v>
      </c>
      <c r="P62" s="37">
        <v>0</v>
      </c>
      <c r="Q62" s="37">
        <v>0</v>
      </c>
      <c r="R62" s="37">
        <v>0</v>
      </c>
      <c r="T62" s="37">
        <v>676</v>
      </c>
    </row>
    <row r="63" spans="1:20">
      <c r="A63" s="54">
        <v>45322</v>
      </c>
      <c r="B63" s="37" t="s">
        <v>1979</v>
      </c>
      <c r="C63" s="37" t="s">
        <v>1536</v>
      </c>
      <c r="D63" s="37" t="s">
        <v>1975</v>
      </c>
      <c r="E63" s="56" t="s">
        <v>800</v>
      </c>
      <c r="F63" s="37" t="s">
        <v>792</v>
      </c>
      <c r="G63" s="37" t="s">
        <v>1980</v>
      </c>
      <c r="H63" s="37">
        <v>0.04</v>
      </c>
      <c r="I63" s="37">
        <v>0</v>
      </c>
      <c r="J63" s="38">
        <v>49699.08</v>
      </c>
      <c r="K63" s="37" t="s">
        <v>615</v>
      </c>
      <c r="O63" s="37">
        <v>0</v>
      </c>
      <c r="P63" s="37">
        <v>0</v>
      </c>
      <c r="Q63" s="37">
        <v>0</v>
      </c>
      <c r="R63" s="37">
        <v>0</v>
      </c>
      <c r="T63" s="37">
        <v>676</v>
      </c>
    </row>
    <row r="64" spans="1:20">
      <c r="A64" s="54">
        <v>45322</v>
      </c>
      <c r="B64" s="37" t="s">
        <v>1979</v>
      </c>
      <c r="C64" s="37" t="s">
        <v>1536</v>
      </c>
      <c r="D64" s="37" t="s">
        <v>1975</v>
      </c>
      <c r="E64" s="56" t="s">
        <v>800</v>
      </c>
      <c r="F64" s="37" t="s">
        <v>792</v>
      </c>
      <c r="G64" s="37" t="s">
        <v>1980</v>
      </c>
      <c r="H64" s="37">
        <v>0.01</v>
      </c>
      <c r="I64" s="37">
        <v>0</v>
      </c>
      <c r="J64" s="38">
        <v>49699.09</v>
      </c>
      <c r="K64" s="37" t="s">
        <v>615</v>
      </c>
      <c r="O64" s="37">
        <v>0</v>
      </c>
      <c r="P64" s="37">
        <v>0</v>
      </c>
      <c r="Q64" s="37">
        <v>0</v>
      </c>
      <c r="R64" s="37">
        <v>0</v>
      </c>
      <c r="T64" s="37">
        <v>676</v>
      </c>
    </row>
    <row r="65" spans="1:20">
      <c r="A65" s="54">
        <v>45322</v>
      </c>
      <c r="B65" s="37" t="s">
        <v>1979</v>
      </c>
      <c r="C65" s="37" t="s">
        <v>1536</v>
      </c>
      <c r="D65" s="37" t="s">
        <v>1975</v>
      </c>
      <c r="E65" s="56" t="s">
        <v>800</v>
      </c>
      <c r="F65" s="37" t="s">
        <v>792</v>
      </c>
      <c r="G65" s="37" t="s">
        <v>1980</v>
      </c>
      <c r="H65" s="37">
        <v>0.02</v>
      </c>
      <c r="I65" s="37">
        <v>0</v>
      </c>
      <c r="J65" s="38">
        <v>49699.11</v>
      </c>
      <c r="K65" s="37" t="s">
        <v>615</v>
      </c>
      <c r="O65" s="37">
        <v>0</v>
      </c>
      <c r="P65" s="37">
        <v>0</v>
      </c>
      <c r="Q65" s="37">
        <v>0</v>
      </c>
      <c r="R65" s="37">
        <v>0</v>
      </c>
      <c r="T65" s="37">
        <v>676</v>
      </c>
    </row>
    <row r="66" spans="1:20">
      <c r="A66" s="54">
        <v>45322</v>
      </c>
      <c r="B66" s="37" t="s">
        <v>1979</v>
      </c>
      <c r="C66" s="37" t="s">
        <v>1536</v>
      </c>
      <c r="D66" s="37" t="s">
        <v>1975</v>
      </c>
      <c r="E66" s="56" t="s">
        <v>800</v>
      </c>
      <c r="F66" s="37" t="s">
        <v>792</v>
      </c>
      <c r="G66" s="37" t="s">
        <v>1980</v>
      </c>
      <c r="H66" s="37">
        <v>0.01</v>
      </c>
      <c r="I66" s="37">
        <v>0</v>
      </c>
      <c r="J66" s="38">
        <v>49699.12</v>
      </c>
      <c r="K66" s="37" t="s">
        <v>615</v>
      </c>
      <c r="O66" s="37">
        <v>0</v>
      </c>
      <c r="P66" s="37">
        <v>0</v>
      </c>
      <c r="Q66" s="37">
        <v>0</v>
      </c>
      <c r="R66" s="37">
        <v>0</v>
      </c>
      <c r="T66" s="37">
        <v>676</v>
      </c>
    </row>
    <row r="67" spans="1:20">
      <c r="A67" s="54">
        <v>45322</v>
      </c>
      <c r="B67" s="37" t="s">
        <v>1979</v>
      </c>
      <c r="C67" s="37" t="s">
        <v>1536</v>
      </c>
      <c r="D67" s="37" t="s">
        <v>1975</v>
      </c>
      <c r="E67" s="56" t="s">
        <v>800</v>
      </c>
      <c r="F67" s="37" t="s">
        <v>792</v>
      </c>
      <c r="G67" s="37" t="s">
        <v>1980</v>
      </c>
      <c r="H67" s="37">
        <v>0.01</v>
      </c>
      <c r="I67" s="37">
        <v>0</v>
      </c>
      <c r="J67" s="38">
        <v>49699.13</v>
      </c>
      <c r="K67" s="37" t="s">
        <v>615</v>
      </c>
      <c r="O67" s="37">
        <v>0</v>
      </c>
      <c r="P67" s="37">
        <v>0</v>
      </c>
      <c r="Q67" s="37">
        <v>0</v>
      </c>
      <c r="R67" s="37">
        <v>0</v>
      </c>
      <c r="T67" s="37">
        <v>676</v>
      </c>
    </row>
    <row r="68" spans="1:20">
      <c r="A68" s="54">
        <v>45322</v>
      </c>
      <c r="B68" s="37" t="s">
        <v>1979</v>
      </c>
      <c r="C68" s="37" t="s">
        <v>1536</v>
      </c>
      <c r="D68" s="37" t="s">
        <v>1975</v>
      </c>
      <c r="E68" s="56" t="s">
        <v>800</v>
      </c>
      <c r="F68" s="37" t="s">
        <v>792</v>
      </c>
      <c r="G68" s="37" t="s">
        <v>1980</v>
      </c>
      <c r="H68" s="37">
        <v>18.190000000000001</v>
      </c>
      <c r="I68" s="37">
        <v>0</v>
      </c>
      <c r="J68" s="38">
        <v>49717.32</v>
      </c>
      <c r="K68" s="37" t="s">
        <v>615</v>
      </c>
      <c r="O68" s="37">
        <v>0</v>
      </c>
      <c r="P68" s="37">
        <v>0</v>
      </c>
      <c r="Q68" s="37">
        <v>0</v>
      </c>
      <c r="R68" s="37">
        <v>0</v>
      </c>
      <c r="T68" s="37">
        <v>676</v>
      </c>
    </row>
    <row r="69" spans="1:20">
      <c r="A69" s="54">
        <v>45322</v>
      </c>
      <c r="B69" s="37" t="s">
        <v>1979</v>
      </c>
      <c r="C69" s="37" t="s">
        <v>1536</v>
      </c>
      <c r="D69" s="37" t="s">
        <v>1975</v>
      </c>
      <c r="E69" s="56" t="s">
        <v>800</v>
      </c>
      <c r="F69" s="37" t="s">
        <v>792</v>
      </c>
      <c r="G69" s="37" t="s">
        <v>1980</v>
      </c>
      <c r="H69" s="37">
        <v>24.97</v>
      </c>
      <c r="I69" s="37">
        <v>0</v>
      </c>
      <c r="J69" s="38">
        <v>49742.29</v>
      </c>
      <c r="K69" s="37" t="s">
        <v>615</v>
      </c>
      <c r="O69" s="37">
        <v>0</v>
      </c>
      <c r="P69" s="37">
        <v>0</v>
      </c>
      <c r="Q69" s="37">
        <v>0</v>
      </c>
      <c r="R69" s="37">
        <v>0</v>
      </c>
      <c r="T69" s="37">
        <v>676</v>
      </c>
    </row>
    <row r="70" spans="1:20">
      <c r="A70" s="54">
        <v>45322</v>
      </c>
      <c r="B70" s="37" t="s">
        <v>1979</v>
      </c>
      <c r="C70" s="37" t="s">
        <v>1536</v>
      </c>
      <c r="D70" s="37" t="s">
        <v>1975</v>
      </c>
      <c r="E70" s="56" t="s">
        <v>800</v>
      </c>
      <c r="F70" s="37" t="s">
        <v>792</v>
      </c>
      <c r="G70" s="37" t="s">
        <v>1980</v>
      </c>
      <c r="H70" s="37">
        <v>0.01</v>
      </c>
      <c r="I70" s="37">
        <v>0</v>
      </c>
      <c r="J70" s="38">
        <v>49742.3</v>
      </c>
      <c r="K70" s="37" t="s">
        <v>615</v>
      </c>
      <c r="O70" s="37">
        <v>0</v>
      </c>
      <c r="P70" s="37">
        <v>0</v>
      </c>
      <c r="Q70" s="37">
        <v>0</v>
      </c>
      <c r="R70" s="37">
        <v>0</v>
      </c>
      <c r="T70" s="37">
        <v>676</v>
      </c>
    </row>
    <row r="71" spans="1:20">
      <c r="A71" s="54">
        <v>45322</v>
      </c>
      <c r="B71" s="37" t="s">
        <v>1979</v>
      </c>
      <c r="C71" s="37" t="s">
        <v>1536</v>
      </c>
      <c r="D71" s="37" t="s">
        <v>1975</v>
      </c>
      <c r="E71" s="56" t="s">
        <v>800</v>
      </c>
      <c r="F71" s="37" t="s">
        <v>792</v>
      </c>
      <c r="G71" s="37" t="s">
        <v>1980</v>
      </c>
      <c r="H71" s="37">
        <v>0.01</v>
      </c>
      <c r="I71" s="37">
        <v>0</v>
      </c>
      <c r="J71" s="38">
        <v>49742.31</v>
      </c>
      <c r="K71" s="37" t="s">
        <v>615</v>
      </c>
      <c r="O71" s="37">
        <v>0</v>
      </c>
      <c r="P71" s="37">
        <v>0</v>
      </c>
      <c r="Q71" s="37">
        <v>0</v>
      </c>
      <c r="R71" s="37">
        <v>0</v>
      </c>
      <c r="T71" s="37">
        <v>676</v>
      </c>
    </row>
    <row r="72" spans="1:20">
      <c r="A72" s="54">
        <v>45322</v>
      </c>
      <c r="B72" s="37" t="s">
        <v>1983</v>
      </c>
      <c r="C72" s="37" t="s">
        <v>1536</v>
      </c>
      <c r="D72" s="37" t="s">
        <v>1975</v>
      </c>
      <c r="E72" s="56" t="s">
        <v>800</v>
      </c>
      <c r="F72" s="37" t="s">
        <v>792</v>
      </c>
      <c r="G72" s="37" t="s">
        <v>1984</v>
      </c>
      <c r="H72" s="37">
        <v>990</v>
      </c>
      <c r="I72" s="37">
        <v>0</v>
      </c>
      <c r="J72" s="38">
        <v>53017.99</v>
      </c>
      <c r="K72" s="37" t="s">
        <v>615</v>
      </c>
      <c r="O72" s="37">
        <v>0</v>
      </c>
      <c r="P72" s="37">
        <v>0</v>
      </c>
      <c r="Q72" s="37">
        <v>0</v>
      </c>
      <c r="R72" s="37">
        <v>0</v>
      </c>
      <c r="T72" s="37">
        <v>684</v>
      </c>
    </row>
    <row r="73" spans="1:20">
      <c r="A73" s="54">
        <v>45322</v>
      </c>
      <c r="B73" s="37" t="s">
        <v>1983</v>
      </c>
      <c r="C73" s="37" t="s">
        <v>1536</v>
      </c>
      <c r="D73" s="37" t="s">
        <v>1975</v>
      </c>
      <c r="E73" s="56" t="s">
        <v>800</v>
      </c>
      <c r="F73" s="37" t="s">
        <v>792</v>
      </c>
      <c r="G73" s="37" t="s">
        <v>1984</v>
      </c>
      <c r="H73" s="37">
        <v>0.14000000000000001</v>
      </c>
      <c r="I73" s="37">
        <v>0</v>
      </c>
      <c r="J73" s="38">
        <v>53018.13</v>
      </c>
      <c r="K73" s="37" t="s">
        <v>615</v>
      </c>
      <c r="O73" s="37">
        <v>0</v>
      </c>
      <c r="P73" s="37">
        <v>0</v>
      </c>
      <c r="Q73" s="37">
        <v>0</v>
      </c>
      <c r="R73" s="37">
        <v>0</v>
      </c>
      <c r="T73" s="37">
        <v>684</v>
      </c>
    </row>
    <row r="74" spans="1:20">
      <c r="A74" s="54">
        <v>45322</v>
      </c>
      <c r="B74" s="37" t="s">
        <v>1983</v>
      </c>
      <c r="C74" s="37" t="s">
        <v>1536</v>
      </c>
      <c r="D74" s="37" t="s">
        <v>1975</v>
      </c>
      <c r="E74" s="56" t="s">
        <v>800</v>
      </c>
      <c r="F74" s="37" t="s">
        <v>792</v>
      </c>
      <c r="G74" s="37" t="s">
        <v>1984</v>
      </c>
      <c r="H74" s="37">
        <v>0.1</v>
      </c>
      <c r="I74" s="37">
        <v>0</v>
      </c>
      <c r="J74" s="38">
        <v>53018.23</v>
      </c>
      <c r="K74" s="37" t="s">
        <v>615</v>
      </c>
      <c r="O74" s="37">
        <v>0</v>
      </c>
      <c r="P74" s="37">
        <v>0</v>
      </c>
      <c r="Q74" s="37">
        <v>0</v>
      </c>
      <c r="R74" s="37">
        <v>0</v>
      </c>
      <c r="T74" s="37">
        <v>684</v>
      </c>
    </row>
    <row r="75" spans="1:20">
      <c r="A75" s="54">
        <v>45322</v>
      </c>
      <c r="B75" s="37" t="s">
        <v>1983</v>
      </c>
      <c r="C75" s="37" t="s">
        <v>1536</v>
      </c>
      <c r="D75" s="37" t="s">
        <v>1975</v>
      </c>
      <c r="E75" s="56" t="s">
        <v>800</v>
      </c>
      <c r="F75" s="37" t="s">
        <v>792</v>
      </c>
      <c r="G75" s="37" t="s">
        <v>1984</v>
      </c>
      <c r="H75" s="38">
        <v>5677.38</v>
      </c>
      <c r="I75" s="37">
        <v>0</v>
      </c>
      <c r="J75" s="38">
        <v>58695.61</v>
      </c>
      <c r="K75" s="37" t="s">
        <v>615</v>
      </c>
      <c r="O75" s="37">
        <v>0</v>
      </c>
      <c r="P75" s="37">
        <v>0</v>
      </c>
      <c r="Q75" s="37">
        <v>0</v>
      </c>
      <c r="R75" s="37">
        <v>0</v>
      </c>
      <c r="T75" s="37">
        <v>684</v>
      </c>
    </row>
    <row r="76" spans="1:20">
      <c r="A76" s="54">
        <v>45322</v>
      </c>
      <c r="B76" s="37" t="s">
        <v>1983</v>
      </c>
      <c r="C76" s="37" t="s">
        <v>1536</v>
      </c>
      <c r="D76" s="37" t="s">
        <v>1975</v>
      </c>
      <c r="E76" s="56" t="s">
        <v>800</v>
      </c>
      <c r="F76" s="37" t="s">
        <v>792</v>
      </c>
      <c r="G76" s="37" t="s">
        <v>1984</v>
      </c>
      <c r="H76" s="37">
        <v>0.2</v>
      </c>
      <c r="I76" s="37">
        <v>0</v>
      </c>
      <c r="J76" s="38">
        <v>58695.81</v>
      </c>
      <c r="K76" s="37" t="s">
        <v>615</v>
      </c>
      <c r="O76" s="37">
        <v>0</v>
      </c>
      <c r="P76" s="37">
        <v>0</v>
      </c>
      <c r="Q76" s="37">
        <v>0</v>
      </c>
      <c r="R76" s="37">
        <v>0</v>
      </c>
      <c r="T76" s="37">
        <v>684</v>
      </c>
    </row>
    <row r="77" spans="1:20">
      <c r="A77" s="54">
        <v>45322</v>
      </c>
      <c r="B77" s="37" t="s">
        <v>1983</v>
      </c>
      <c r="C77" s="37" t="s">
        <v>1536</v>
      </c>
      <c r="D77" s="37" t="s">
        <v>1975</v>
      </c>
      <c r="E77" s="56" t="s">
        <v>800</v>
      </c>
      <c r="F77" s="37" t="s">
        <v>792</v>
      </c>
      <c r="G77" s="37" t="s">
        <v>1984</v>
      </c>
      <c r="H77" s="37">
        <v>0.23</v>
      </c>
      <c r="I77" s="37">
        <v>0</v>
      </c>
      <c r="J77" s="38">
        <v>58696.04</v>
      </c>
      <c r="K77" s="37" t="s">
        <v>615</v>
      </c>
      <c r="O77" s="37">
        <v>0</v>
      </c>
      <c r="P77" s="37">
        <v>0</v>
      </c>
      <c r="Q77" s="37">
        <v>0</v>
      </c>
      <c r="R77" s="37">
        <v>0</v>
      </c>
      <c r="T77" s="37">
        <v>684</v>
      </c>
    </row>
    <row r="78" spans="1:20">
      <c r="A78" s="54">
        <v>45322</v>
      </c>
      <c r="B78" s="37" t="s">
        <v>1983</v>
      </c>
      <c r="C78" s="37" t="s">
        <v>1536</v>
      </c>
      <c r="D78" s="37" t="s">
        <v>1975</v>
      </c>
      <c r="E78" s="56" t="s">
        <v>800</v>
      </c>
      <c r="F78" s="37" t="s">
        <v>792</v>
      </c>
      <c r="G78" s="37" t="s">
        <v>1984</v>
      </c>
      <c r="H78" s="37">
        <v>817.74</v>
      </c>
      <c r="I78" s="37">
        <v>0</v>
      </c>
      <c r="J78" s="38">
        <v>59513.78</v>
      </c>
      <c r="K78" s="37" t="s">
        <v>615</v>
      </c>
      <c r="O78" s="37">
        <v>0</v>
      </c>
      <c r="P78" s="37">
        <v>0</v>
      </c>
      <c r="Q78" s="37">
        <v>0</v>
      </c>
      <c r="R78" s="37">
        <v>0</v>
      </c>
      <c r="T78" s="37">
        <v>684</v>
      </c>
    </row>
    <row r="79" spans="1:20">
      <c r="A79" s="54">
        <v>45322</v>
      </c>
      <c r="B79" s="37" t="s">
        <v>1983</v>
      </c>
      <c r="C79" s="37" t="s">
        <v>1536</v>
      </c>
      <c r="D79" s="37" t="s">
        <v>1975</v>
      </c>
      <c r="E79" s="56" t="s">
        <v>800</v>
      </c>
      <c r="F79" s="37" t="s">
        <v>792</v>
      </c>
      <c r="G79" s="37" t="s">
        <v>1984</v>
      </c>
      <c r="H79" s="37">
        <v>0.36</v>
      </c>
      <c r="I79" s="37">
        <v>0</v>
      </c>
      <c r="J79" s="38">
        <v>59514.14</v>
      </c>
      <c r="K79" s="37" t="s">
        <v>615</v>
      </c>
      <c r="O79" s="37">
        <v>0</v>
      </c>
      <c r="P79" s="37">
        <v>0</v>
      </c>
      <c r="Q79" s="37">
        <v>0</v>
      </c>
      <c r="R79" s="37">
        <v>0</v>
      </c>
      <c r="T79" s="37">
        <v>684</v>
      </c>
    </row>
    <row r="80" spans="1:20">
      <c r="A80" s="54">
        <v>45322</v>
      </c>
      <c r="B80" s="37" t="s">
        <v>1983</v>
      </c>
      <c r="C80" s="37" t="s">
        <v>1536</v>
      </c>
      <c r="D80" s="37" t="s">
        <v>1975</v>
      </c>
      <c r="E80" s="56" t="s">
        <v>800</v>
      </c>
      <c r="F80" s="37" t="s">
        <v>792</v>
      </c>
      <c r="G80" s="37" t="s">
        <v>1984</v>
      </c>
      <c r="H80" s="38">
        <v>3162.13</v>
      </c>
      <c r="I80" s="37">
        <v>0</v>
      </c>
      <c r="J80" s="38">
        <v>62676.27</v>
      </c>
      <c r="K80" s="37" t="s">
        <v>615</v>
      </c>
      <c r="O80" s="37">
        <v>0</v>
      </c>
      <c r="P80" s="37">
        <v>0</v>
      </c>
      <c r="Q80" s="37">
        <v>0</v>
      </c>
      <c r="R80" s="37">
        <v>0</v>
      </c>
      <c r="T80" s="37">
        <v>684</v>
      </c>
    </row>
    <row r="81" spans="1:20">
      <c r="A81" s="54">
        <v>45322</v>
      </c>
      <c r="B81" s="37" t="s">
        <v>1983</v>
      </c>
      <c r="C81" s="37" t="s">
        <v>1536</v>
      </c>
      <c r="D81" s="37" t="s">
        <v>1975</v>
      </c>
      <c r="E81" s="56" t="s">
        <v>800</v>
      </c>
      <c r="F81" s="37" t="s">
        <v>792</v>
      </c>
      <c r="G81" s="37" t="s">
        <v>1984</v>
      </c>
      <c r="H81" s="37">
        <v>413.38</v>
      </c>
      <c r="I81" s="37">
        <v>0</v>
      </c>
      <c r="J81" s="38">
        <v>63089.65</v>
      </c>
      <c r="K81" s="37" t="s">
        <v>615</v>
      </c>
      <c r="O81" s="37">
        <v>0</v>
      </c>
      <c r="P81" s="37">
        <v>0</v>
      </c>
      <c r="Q81" s="37">
        <v>0</v>
      </c>
      <c r="R81" s="37">
        <v>0</v>
      </c>
      <c r="T81" s="37">
        <v>684</v>
      </c>
    </row>
    <row r="82" spans="1:20">
      <c r="A82" s="54">
        <v>45322</v>
      </c>
      <c r="B82" s="37" t="s">
        <v>1983</v>
      </c>
      <c r="C82" s="37" t="s">
        <v>1536</v>
      </c>
      <c r="D82" s="37" t="s">
        <v>1975</v>
      </c>
      <c r="E82" s="56" t="s">
        <v>800</v>
      </c>
      <c r="F82" s="37" t="s">
        <v>792</v>
      </c>
      <c r="G82" s="37" t="s">
        <v>1984</v>
      </c>
      <c r="H82" s="37">
        <v>133.81</v>
      </c>
      <c r="I82" s="37">
        <v>0</v>
      </c>
      <c r="J82" s="38">
        <v>63223.46</v>
      </c>
      <c r="K82" s="37" t="s">
        <v>615</v>
      </c>
      <c r="O82" s="37">
        <v>0</v>
      </c>
      <c r="P82" s="37">
        <v>0</v>
      </c>
      <c r="Q82" s="37">
        <v>0</v>
      </c>
      <c r="R82" s="37">
        <v>0</v>
      </c>
      <c r="T82" s="37">
        <v>684</v>
      </c>
    </row>
    <row r="83" spans="1:20">
      <c r="A83" s="54">
        <v>45322</v>
      </c>
      <c r="B83" s="37" t="s">
        <v>1983</v>
      </c>
      <c r="C83" s="37" t="s">
        <v>1536</v>
      </c>
      <c r="D83" s="37" t="s">
        <v>1975</v>
      </c>
      <c r="E83" s="56" t="s">
        <v>800</v>
      </c>
      <c r="F83" s="37" t="s">
        <v>792</v>
      </c>
      <c r="G83" s="37" t="s">
        <v>1984</v>
      </c>
      <c r="H83" s="37">
        <v>8.2200000000000006</v>
      </c>
      <c r="I83" s="37">
        <v>0</v>
      </c>
      <c r="J83" s="38">
        <v>63231.68</v>
      </c>
      <c r="K83" s="37" t="s">
        <v>615</v>
      </c>
      <c r="O83" s="37">
        <v>0</v>
      </c>
      <c r="P83" s="37">
        <v>0</v>
      </c>
      <c r="Q83" s="37">
        <v>0</v>
      </c>
      <c r="R83" s="37">
        <v>0</v>
      </c>
      <c r="T83" s="37">
        <v>684</v>
      </c>
    </row>
    <row r="84" spans="1:20">
      <c r="A84" s="54">
        <v>45323</v>
      </c>
      <c r="B84" s="37" t="s">
        <v>1987</v>
      </c>
      <c r="C84" s="37" t="s">
        <v>712</v>
      </c>
      <c r="D84" s="37" t="s">
        <v>592</v>
      </c>
      <c r="E84" s="56" t="s">
        <v>835</v>
      </c>
      <c r="F84" s="37" t="s">
        <v>616</v>
      </c>
      <c r="G84" s="37" t="s">
        <v>1988</v>
      </c>
      <c r="H84" s="37">
        <v>79.56</v>
      </c>
      <c r="I84" s="37">
        <v>0</v>
      </c>
      <c r="J84" s="38">
        <v>65883.929999999993</v>
      </c>
      <c r="K84" s="37" t="s">
        <v>615</v>
      </c>
      <c r="O84" s="37">
        <v>0</v>
      </c>
      <c r="P84" s="37">
        <v>0</v>
      </c>
      <c r="Q84" s="37">
        <v>0</v>
      </c>
      <c r="R84" s="37">
        <v>0</v>
      </c>
      <c r="T84" s="37">
        <v>737</v>
      </c>
    </row>
    <row r="85" spans="1:20">
      <c r="A85" s="54">
        <v>45323</v>
      </c>
      <c r="B85" s="37" t="s">
        <v>1985</v>
      </c>
      <c r="C85" s="37" t="s">
        <v>1534</v>
      </c>
      <c r="D85" s="37" t="s">
        <v>1535</v>
      </c>
      <c r="E85" s="56" t="s">
        <v>800</v>
      </c>
      <c r="F85" s="37" t="s">
        <v>792</v>
      </c>
      <c r="G85" s="37" t="s">
        <v>1986</v>
      </c>
      <c r="H85" s="38">
        <v>2572.69</v>
      </c>
      <c r="I85" s="37">
        <v>0</v>
      </c>
      <c r="J85" s="38">
        <v>65804.37</v>
      </c>
      <c r="K85" s="37" t="s">
        <v>615</v>
      </c>
      <c r="O85" s="37">
        <v>0</v>
      </c>
      <c r="P85" s="37">
        <v>0</v>
      </c>
      <c r="Q85" s="37">
        <v>0</v>
      </c>
      <c r="R85" s="37">
        <v>0</v>
      </c>
      <c r="T85" s="37">
        <v>722</v>
      </c>
    </row>
    <row r="86" spans="1:20">
      <c r="A86" s="54">
        <v>45324</v>
      </c>
      <c r="B86" s="37" t="s">
        <v>1991</v>
      </c>
      <c r="C86" s="37" t="s">
        <v>712</v>
      </c>
      <c r="D86" s="37" t="s">
        <v>592</v>
      </c>
      <c r="E86" s="56" t="s">
        <v>834</v>
      </c>
      <c r="F86" s="37" t="s">
        <v>782</v>
      </c>
      <c r="G86" s="37" t="s">
        <v>1929</v>
      </c>
      <c r="H86" s="37">
        <v>52.5</v>
      </c>
      <c r="I86" s="37">
        <v>0</v>
      </c>
      <c r="J86" s="38">
        <v>66050.429999999993</v>
      </c>
      <c r="K86" s="37" t="s">
        <v>615</v>
      </c>
      <c r="O86" s="37">
        <v>0</v>
      </c>
      <c r="P86" s="37">
        <v>0</v>
      </c>
      <c r="Q86" s="37">
        <v>0</v>
      </c>
      <c r="R86" s="37">
        <v>0</v>
      </c>
      <c r="S86" s="37" t="s">
        <v>1992</v>
      </c>
      <c r="T86" s="37">
        <v>757</v>
      </c>
    </row>
    <row r="87" spans="1:20">
      <c r="A87" s="54">
        <v>45324</v>
      </c>
      <c r="B87" s="37" t="s">
        <v>1989</v>
      </c>
      <c r="C87" s="37" t="s">
        <v>712</v>
      </c>
      <c r="D87" s="37" t="s">
        <v>592</v>
      </c>
      <c r="E87" s="56" t="s">
        <v>834</v>
      </c>
      <c r="F87" s="37" t="s">
        <v>782</v>
      </c>
      <c r="G87" s="37" t="s">
        <v>1883</v>
      </c>
      <c r="H87" s="37">
        <v>114</v>
      </c>
      <c r="I87" s="37">
        <v>0</v>
      </c>
      <c r="J87" s="38">
        <v>65997.929999999993</v>
      </c>
      <c r="K87" s="37" t="s">
        <v>615</v>
      </c>
      <c r="O87" s="37">
        <v>0</v>
      </c>
      <c r="P87" s="37">
        <v>0</v>
      </c>
      <c r="Q87" s="37">
        <v>0</v>
      </c>
      <c r="R87" s="37">
        <v>0</v>
      </c>
      <c r="S87" s="37" t="s">
        <v>1990</v>
      </c>
      <c r="T87" s="37">
        <v>756</v>
      </c>
    </row>
    <row r="88" spans="1:20">
      <c r="A88" s="54">
        <v>45324</v>
      </c>
      <c r="B88" s="37" t="s">
        <v>1993</v>
      </c>
      <c r="C88" s="37" t="s">
        <v>712</v>
      </c>
      <c r="D88" s="37" t="s">
        <v>592</v>
      </c>
      <c r="E88" s="56" t="s">
        <v>834</v>
      </c>
      <c r="F88" s="37" t="s">
        <v>782</v>
      </c>
      <c r="G88" s="37" t="s">
        <v>1908</v>
      </c>
      <c r="H88" s="37">
        <v>60</v>
      </c>
      <c r="I88" s="37">
        <v>0</v>
      </c>
      <c r="J88" s="38">
        <v>66110.429999999993</v>
      </c>
      <c r="K88" s="37" t="s">
        <v>615</v>
      </c>
      <c r="O88" s="37">
        <v>0</v>
      </c>
      <c r="P88" s="37">
        <v>0</v>
      </c>
      <c r="Q88" s="37">
        <v>0</v>
      </c>
      <c r="R88" s="37">
        <v>0</v>
      </c>
      <c r="S88" s="37" t="s">
        <v>1281</v>
      </c>
      <c r="T88" s="37">
        <v>758</v>
      </c>
    </row>
    <row r="89" spans="1:20">
      <c r="A89" s="54">
        <v>45325</v>
      </c>
      <c r="B89" s="37" t="s">
        <v>1994</v>
      </c>
      <c r="C89" s="37" t="s">
        <v>712</v>
      </c>
      <c r="D89" s="37" t="s">
        <v>592</v>
      </c>
      <c r="E89" s="56" t="s">
        <v>834</v>
      </c>
      <c r="F89" s="37" t="s">
        <v>782</v>
      </c>
      <c r="G89" s="37" t="s">
        <v>1883</v>
      </c>
      <c r="H89" s="37">
        <v>52.5</v>
      </c>
      <c r="I89" s="37">
        <v>0</v>
      </c>
      <c r="J89" s="38">
        <v>66162.929999999993</v>
      </c>
      <c r="K89" s="37" t="s">
        <v>615</v>
      </c>
      <c r="O89" s="37">
        <v>0</v>
      </c>
      <c r="P89" s="37">
        <v>0</v>
      </c>
      <c r="Q89" s="37">
        <v>0</v>
      </c>
      <c r="R89" s="37">
        <v>0</v>
      </c>
      <c r="S89" s="37" t="s">
        <v>1994</v>
      </c>
      <c r="T89" s="37">
        <v>772</v>
      </c>
    </row>
    <row r="90" spans="1:20">
      <c r="A90" s="54">
        <v>45328</v>
      </c>
      <c r="B90" s="37" t="s">
        <v>1995</v>
      </c>
      <c r="C90" s="37" t="s">
        <v>712</v>
      </c>
      <c r="D90" s="37" t="s">
        <v>592</v>
      </c>
      <c r="E90" s="56" t="s">
        <v>834</v>
      </c>
      <c r="F90" s="37" t="s">
        <v>782</v>
      </c>
      <c r="G90" s="37" t="s">
        <v>1996</v>
      </c>
      <c r="H90" s="37">
        <v>52.5</v>
      </c>
      <c r="I90" s="37">
        <v>0</v>
      </c>
      <c r="J90" s="38">
        <v>66215.429999999993</v>
      </c>
      <c r="K90" s="37" t="s">
        <v>615</v>
      </c>
      <c r="O90" s="37">
        <v>0</v>
      </c>
      <c r="P90" s="37">
        <v>0</v>
      </c>
      <c r="Q90" s="37">
        <v>0</v>
      </c>
      <c r="R90" s="37">
        <v>0</v>
      </c>
      <c r="S90" s="37" t="s">
        <v>1299</v>
      </c>
      <c r="T90" s="37">
        <v>800</v>
      </c>
    </row>
    <row r="91" spans="1:20">
      <c r="A91" s="54">
        <v>45329</v>
      </c>
      <c r="B91" s="37" t="s">
        <v>1997</v>
      </c>
      <c r="C91" s="37" t="s">
        <v>712</v>
      </c>
      <c r="D91" s="37" t="s">
        <v>592</v>
      </c>
      <c r="E91" s="56" t="s">
        <v>834</v>
      </c>
      <c r="F91" s="37" t="s">
        <v>782</v>
      </c>
      <c r="G91" s="37" t="s">
        <v>1898</v>
      </c>
      <c r="H91" s="37">
        <v>18</v>
      </c>
      <c r="I91" s="37">
        <v>0</v>
      </c>
      <c r="J91" s="38">
        <v>66233.429999999993</v>
      </c>
      <c r="K91" s="37" t="s">
        <v>615</v>
      </c>
      <c r="O91" s="37">
        <v>0</v>
      </c>
      <c r="P91" s="37">
        <v>0</v>
      </c>
      <c r="Q91" s="37">
        <v>0</v>
      </c>
      <c r="R91" s="37">
        <v>0</v>
      </c>
      <c r="S91" s="37" t="s">
        <v>1998</v>
      </c>
      <c r="T91" s="37">
        <v>832</v>
      </c>
    </row>
    <row r="92" spans="1:20">
      <c r="A92" s="54">
        <v>45329</v>
      </c>
      <c r="B92" s="37" t="s">
        <v>1999</v>
      </c>
      <c r="C92" s="37" t="s">
        <v>712</v>
      </c>
      <c r="D92" s="37" t="s">
        <v>592</v>
      </c>
      <c r="E92" s="56" t="s">
        <v>834</v>
      </c>
      <c r="F92" s="37" t="s">
        <v>782</v>
      </c>
      <c r="G92" s="37" t="s">
        <v>1898</v>
      </c>
      <c r="H92" s="37">
        <v>52.5</v>
      </c>
      <c r="I92" s="37">
        <v>0</v>
      </c>
      <c r="J92" s="38">
        <v>66285.929999999993</v>
      </c>
      <c r="K92" s="37" t="s">
        <v>615</v>
      </c>
      <c r="O92" s="37">
        <v>0</v>
      </c>
      <c r="P92" s="37">
        <v>0</v>
      </c>
      <c r="Q92" s="37">
        <v>0</v>
      </c>
      <c r="R92" s="37">
        <v>0</v>
      </c>
      <c r="S92" s="37" t="s">
        <v>2000</v>
      </c>
      <c r="T92" s="37">
        <v>849</v>
      </c>
    </row>
    <row r="93" spans="1:20">
      <c r="A93" s="54">
        <v>45330</v>
      </c>
      <c r="B93" s="37" t="s">
        <v>2002</v>
      </c>
      <c r="C93" s="37" t="s">
        <v>712</v>
      </c>
      <c r="D93" s="37" t="s">
        <v>592</v>
      </c>
      <c r="E93" s="56" t="s">
        <v>834</v>
      </c>
      <c r="F93" s="37" t="s">
        <v>782</v>
      </c>
      <c r="G93" s="37" t="s">
        <v>1898</v>
      </c>
      <c r="H93" s="37">
        <v>52.5</v>
      </c>
      <c r="I93" s="37">
        <v>0</v>
      </c>
      <c r="J93" s="38">
        <v>66390.929999999993</v>
      </c>
      <c r="K93" s="37" t="s">
        <v>615</v>
      </c>
      <c r="O93" s="37">
        <v>0</v>
      </c>
      <c r="P93" s="37">
        <v>0</v>
      </c>
      <c r="Q93" s="37">
        <v>0</v>
      </c>
      <c r="R93" s="37">
        <v>0</v>
      </c>
      <c r="S93" s="37" t="s">
        <v>1302</v>
      </c>
      <c r="T93" s="37">
        <v>854</v>
      </c>
    </row>
    <row r="94" spans="1:20">
      <c r="A94" s="54">
        <v>45330</v>
      </c>
      <c r="B94" s="37" t="s">
        <v>1303</v>
      </c>
      <c r="C94" s="37" t="s">
        <v>712</v>
      </c>
      <c r="D94" s="37" t="s">
        <v>592</v>
      </c>
      <c r="E94" s="56" t="s">
        <v>834</v>
      </c>
      <c r="F94" s="37" t="s">
        <v>782</v>
      </c>
      <c r="G94" s="37" t="s">
        <v>1900</v>
      </c>
      <c r="H94" s="37">
        <v>52.5</v>
      </c>
      <c r="I94" s="37">
        <v>0</v>
      </c>
      <c r="J94" s="38">
        <v>66338.429999999993</v>
      </c>
      <c r="K94" s="37" t="s">
        <v>615</v>
      </c>
      <c r="O94" s="37">
        <v>0</v>
      </c>
      <c r="P94" s="37">
        <v>0</v>
      </c>
      <c r="Q94" s="37">
        <v>0</v>
      </c>
      <c r="R94" s="37">
        <v>0</v>
      </c>
      <c r="S94" s="37" t="s">
        <v>2001</v>
      </c>
      <c r="T94" s="37">
        <v>853</v>
      </c>
    </row>
    <row r="95" spans="1:20">
      <c r="A95" s="54">
        <v>45331</v>
      </c>
      <c r="B95" s="37" t="s">
        <v>2003</v>
      </c>
      <c r="C95" s="37" t="s">
        <v>712</v>
      </c>
      <c r="D95" s="37" t="s">
        <v>592</v>
      </c>
      <c r="E95" s="56" t="s">
        <v>834</v>
      </c>
      <c r="F95" s="37" t="s">
        <v>782</v>
      </c>
      <c r="G95" s="37" t="s">
        <v>1900</v>
      </c>
      <c r="H95" s="37">
        <v>24</v>
      </c>
      <c r="I95" s="37">
        <v>0</v>
      </c>
      <c r="J95" s="38">
        <v>66414.929999999993</v>
      </c>
      <c r="K95" s="37" t="s">
        <v>615</v>
      </c>
      <c r="O95" s="37">
        <v>0</v>
      </c>
      <c r="P95" s="37">
        <v>0</v>
      </c>
      <c r="Q95" s="37">
        <v>0</v>
      </c>
      <c r="R95" s="37">
        <v>0</v>
      </c>
      <c r="S95" s="37" t="s">
        <v>2003</v>
      </c>
      <c r="T95" s="37">
        <v>870</v>
      </c>
    </row>
    <row r="96" spans="1:20">
      <c r="A96" s="54">
        <v>45331</v>
      </c>
      <c r="B96" s="37" t="s">
        <v>2004</v>
      </c>
      <c r="C96" s="37" t="s">
        <v>712</v>
      </c>
      <c r="D96" s="37" t="s">
        <v>592</v>
      </c>
      <c r="E96" s="56" t="s">
        <v>834</v>
      </c>
      <c r="F96" s="37" t="s">
        <v>782</v>
      </c>
      <c r="G96" s="37" t="s">
        <v>1900</v>
      </c>
      <c r="H96" s="37">
        <v>52.5</v>
      </c>
      <c r="I96" s="37">
        <v>0</v>
      </c>
      <c r="J96" s="38">
        <v>66467.429999999993</v>
      </c>
      <c r="K96" s="37" t="s">
        <v>615</v>
      </c>
      <c r="O96" s="37">
        <v>0</v>
      </c>
      <c r="P96" s="37">
        <v>0</v>
      </c>
      <c r="Q96" s="37">
        <v>0</v>
      </c>
      <c r="R96" s="37">
        <v>0</v>
      </c>
      <c r="S96" s="37" t="s">
        <v>2004</v>
      </c>
      <c r="T96" s="37">
        <v>873</v>
      </c>
    </row>
    <row r="97" spans="1:20">
      <c r="A97" s="54">
        <v>45332</v>
      </c>
      <c r="B97" s="37" t="s">
        <v>2005</v>
      </c>
      <c r="C97" s="37" t="s">
        <v>712</v>
      </c>
      <c r="D97" s="37" t="s">
        <v>592</v>
      </c>
      <c r="E97" s="56" t="s">
        <v>834</v>
      </c>
      <c r="F97" s="37" t="s">
        <v>616</v>
      </c>
      <c r="G97" s="37" t="s">
        <v>2006</v>
      </c>
      <c r="H97" s="38">
        <v>5482.8</v>
      </c>
      <c r="I97" s="37">
        <v>0</v>
      </c>
      <c r="J97" s="38">
        <v>71950.23</v>
      </c>
      <c r="K97" s="37" t="s">
        <v>615</v>
      </c>
      <c r="O97" s="37">
        <v>0</v>
      </c>
      <c r="P97" s="37">
        <v>0</v>
      </c>
      <c r="Q97" s="37">
        <v>0</v>
      </c>
      <c r="R97" s="37">
        <v>0</v>
      </c>
      <c r="T97" s="37">
        <v>887</v>
      </c>
    </row>
    <row r="98" spans="1:20">
      <c r="A98" s="54">
        <v>45335</v>
      </c>
      <c r="B98" s="37" t="s">
        <v>2007</v>
      </c>
      <c r="C98" s="37" t="s">
        <v>712</v>
      </c>
      <c r="D98" s="37" t="s">
        <v>592</v>
      </c>
      <c r="E98" s="56" t="s">
        <v>834</v>
      </c>
      <c r="F98" s="37" t="s">
        <v>782</v>
      </c>
      <c r="G98" s="37" t="s">
        <v>1900</v>
      </c>
      <c r="H98" s="37">
        <v>52.5</v>
      </c>
      <c r="I98" s="37">
        <v>0</v>
      </c>
      <c r="J98" s="38">
        <v>72002.73</v>
      </c>
      <c r="K98" s="37" t="s">
        <v>615</v>
      </c>
      <c r="O98" s="37">
        <v>0</v>
      </c>
      <c r="P98" s="37">
        <v>0</v>
      </c>
      <c r="Q98" s="37">
        <v>0</v>
      </c>
      <c r="R98" s="37">
        <v>0</v>
      </c>
      <c r="S98" s="37" t="s">
        <v>2008</v>
      </c>
      <c r="T98" s="37">
        <v>913</v>
      </c>
    </row>
    <row r="99" spans="1:20">
      <c r="A99" s="54">
        <v>45336</v>
      </c>
      <c r="B99" s="37" t="s">
        <v>2009</v>
      </c>
      <c r="C99" s="37" t="s">
        <v>712</v>
      </c>
      <c r="D99" s="37" t="s">
        <v>592</v>
      </c>
      <c r="E99" s="56" t="s">
        <v>834</v>
      </c>
      <c r="F99" s="37" t="s">
        <v>782</v>
      </c>
      <c r="G99" s="37" t="s">
        <v>1908</v>
      </c>
      <c r="H99" s="37">
        <v>60</v>
      </c>
      <c r="I99" s="37">
        <v>0</v>
      </c>
      <c r="J99" s="38">
        <v>72062.73</v>
      </c>
      <c r="K99" s="37" t="s">
        <v>615</v>
      </c>
      <c r="O99" s="37">
        <v>0</v>
      </c>
      <c r="P99" s="37">
        <v>0</v>
      </c>
      <c r="Q99" s="37">
        <v>0</v>
      </c>
      <c r="R99" s="37">
        <v>0</v>
      </c>
      <c r="S99" s="37" t="s">
        <v>2010</v>
      </c>
      <c r="T99" s="37">
        <v>958</v>
      </c>
    </row>
    <row r="100" spans="1:20">
      <c r="A100" s="54">
        <v>45337</v>
      </c>
      <c r="B100" s="37" t="s">
        <v>2011</v>
      </c>
      <c r="C100" s="37" t="s">
        <v>712</v>
      </c>
      <c r="D100" s="37" t="s">
        <v>592</v>
      </c>
      <c r="E100" s="56" t="s">
        <v>834</v>
      </c>
      <c r="F100" s="37" t="s">
        <v>782</v>
      </c>
      <c r="G100" s="37" t="s">
        <v>1900</v>
      </c>
      <c r="H100" s="37">
        <v>52.5</v>
      </c>
      <c r="I100" s="37">
        <v>0</v>
      </c>
      <c r="J100" s="38">
        <v>72115.23</v>
      </c>
      <c r="K100" s="37" t="s">
        <v>615</v>
      </c>
      <c r="O100" s="37">
        <v>0</v>
      </c>
      <c r="P100" s="37">
        <v>0</v>
      </c>
      <c r="Q100" s="37">
        <v>0</v>
      </c>
      <c r="R100" s="37">
        <v>0</v>
      </c>
      <c r="S100" s="37" t="s">
        <v>2012</v>
      </c>
      <c r="T100" s="37">
        <v>994</v>
      </c>
    </row>
    <row r="101" spans="1:20">
      <c r="A101" s="54">
        <v>45337</v>
      </c>
      <c r="B101" s="37" t="s">
        <v>2013</v>
      </c>
      <c r="C101" s="37" t="s">
        <v>712</v>
      </c>
      <c r="D101" s="37" t="s">
        <v>592</v>
      </c>
      <c r="E101" s="56" t="s">
        <v>834</v>
      </c>
      <c r="F101" s="37" t="s">
        <v>782</v>
      </c>
      <c r="G101" s="37" t="s">
        <v>1900</v>
      </c>
      <c r="H101" s="37">
        <v>87</v>
      </c>
      <c r="I101" s="37">
        <v>0</v>
      </c>
      <c r="J101" s="38">
        <v>72202.23</v>
      </c>
      <c r="K101" s="37" t="s">
        <v>615</v>
      </c>
      <c r="O101" s="37">
        <v>0</v>
      </c>
      <c r="P101" s="37">
        <v>0</v>
      </c>
      <c r="Q101" s="37">
        <v>0</v>
      </c>
      <c r="R101" s="37">
        <v>0</v>
      </c>
      <c r="S101" s="37" t="s">
        <v>2014</v>
      </c>
      <c r="T101" s="37">
        <v>995</v>
      </c>
    </row>
    <row r="102" spans="1:20">
      <c r="A102" s="54">
        <v>45337</v>
      </c>
      <c r="B102" s="37" t="s">
        <v>2015</v>
      </c>
      <c r="C102" s="37" t="s">
        <v>712</v>
      </c>
      <c r="D102" s="37" t="s">
        <v>592</v>
      </c>
      <c r="E102" s="56" t="s">
        <v>834</v>
      </c>
      <c r="F102" s="37" t="s">
        <v>782</v>
      </c>
      <c r="G102" s="37" t="s">
        <v>1900</v>
      </c>
      <c r="H102" s="37">
        <v>52.5</v>
      </c>
      <c r="I102" s="37">
        <v>0</v>
      </c>
      <c r="J102" s="38">
        <v>72254.73</v>
      </c>
      <c r="K102" s="37" t="s">
        <v>615</v>
      </c>
      <c r="O102" s="37">
        <v>0</v>
      </c>
      <c r="P102" s="37">
        <v>0</v>
      </c>
      <c r="Q102" s="37">
        <v>0</v>
      </c>
      <c r="R102" s="37">
        <v>0</v>
      </c>
      <c r="S102" s="37" t="s">
        <v>2016</v>
      </c>
      <c r="T102" s="37">
        <v>996</v>
      </c>
    </row>
    <row r="103" spans="1:20">
      <c r="A103" s="54">
        <v>45337</v>
      </c>
      <c r="B103" s="37" t="s">
        <v>2017</v>
      </c>
      <c r="C103" s="37" t="s">
        <v>712</v>
      </c>
      <c r="D103" s="37" t="s">
        <v>592</v>
      </c>
      <c r="E103" s="56" t="s">
        <v>834</v>
      </c>
      <c r="F103" s="37" t="s">
        <v>782</v>
      </c>
      <c r="G103" s="37" t="s">
        <v>1900</v>
      </c>
      <c r="H103" s="37">
        <v>114</v>
      </c>
      <c r="I103" s="37">
        <v>0</v>
      </c>
      <c r="J103" s="38">
        <v>72368.73</v>
      </c>
      <c r="K103" s="37" t="s">
        <v>615</v>
      </c>
      <c r="O103" s="37">
        <v>0</v>
      </c>
      <c r="P103" s="37">
        <v>0</v>
      </c>
      <c r="Q103" s="37">
        <v>0</v>
      </c>
      <c r="R103" s="37">
        <v>0</v>
      </c>
      <c r="S103" s="37" t="s">
        <v>2018</v>
      </c>
      <c r="T103" s="37">
        <v>997</v>
      </c>
    </row>
    <row r="104" spans="1:20">
      <c r="A104" s="54">
        <v>45338</v>
      </c>
      <c r="B104" s="37" t="s">
        <v>2019</v>
      </c>
      <c r="C104" s="37" t="s">
        <v>712</v>
      </c>
      <c r="D104" s="37" t="s">
        <v>592</v>
      </c>
      <c r="E104" s="56" t="s">
        <v>834</v>
      </c>
      <c r="F104" s="37" t="s">
        <v>782</v>
      </c>
      <c r="G104" s="37" t="s">
        <v>1900</v>
      </c>
      <c r="H104" s="37">
        <v>52.5</v>
      </c>
      <c r="I104" s="37">
        <v>0</v>
      </c>
      <c r="J104" s="38">
        <v>72421.23</v>
      </c>
      <c r="K104" s="37" t="s">
        <v>615</v>
      </c>
      <c r="O104" s="37">
        <v>0</v>
      </c>
      <c r="P104" s="37">
        <v>0</v>
      </c>
      <c r="Q104" s="37">
        <v>0</v>
      </c>
      <c r="R104" s="37">
        <v>0</v>
      </c>
      <c r="S104" s="37" t="s">
        <v>2020</v>
      </c>
      <c r="T104" s="37">
        <v>1015</v>
      </c>
    </row>
    <row r="105" spans="1:20">
      <c r="A105" s="54">
        <v>45339</v>
      </c>
      <c r="B105" s="37" t="s">
        <v>2022</v>
      </c>
      <c r="C105" s="37" t="s">
        <v>712</v>
      </c>
      <c r="D105" s="37" t="s">
        <v>592</v>
      </c>
      <c r="E105" s="56" t="s">
        <v>834</v>
      </c>
      <c r="F105" s="37" t="s">
        <v>782</v>
      </c>
      <c r="G105" s="37" t="s">
        <v>1883</v>
      </c>
      <c r="H105" s="37">
        <v>52.5</v>
      </c>
      <c r="I105" s="37">
        <v>0</v>
      </c>
      <c r="J105" s="38">
        <v>72526.23</v>
      </c>
      <c r="K105" s="37" t="s">
        <v>615</v>
      </c>
      <c r="O105" s="37">
        <v>0</v>
      </c>
      <c r="P105" s="37">
        <v>0</v>
      </c>
      <c r="Q105" s="37">
        <v>0</v>
      </c>
      <c r="R105" s="37">
        <v>0</v>
      </c>
      <c r="S105" s="37" t="s">
        <v>2022</v>
      </c>
      <c r="T105" s="37">
        <v>1029</v>
      </c>
    </row>
    <row r="106" spans="1:20">
      <c r="A106" s="54">
        <v>45339</v>
      </c>
      <c r="B106" s="37" t="s">
        <v>2021</v>
      </c>
      <c r="C106" s="37" t="s">
        <v>712</v>
      </c>
      <c r="D106" s="37" t="s">
        <v>592</v>
      </c>
      <c r="E106" s="56" t="s">
        <v>834</v>
      </c>
      <c r="F106" s="37" t="s">
        <v>782</v>
      </c>
      <c r="G106" s="37" t="s">
        <v>1900</v>
      </c>
      <c r="H106" s="37">
        <v>52.5</v>
      </c>
      <c r="I106" s="37">
        <v>0</v>
      </c>
      <c r="J106" s="38">
        <v>72473.73</v>
      </c>
      <c r="K106" s="37" t="s">
        <v>615</v>
      </c>
      <c r="O106" s="37">
        <v>0</v>
      </c>
      <c r="P106" s="37">
        <v>0</v>
      </c>
      <c r="Q106" s="37">
        <v>0</v>
      </c>
      <c r="R106" s="37">
        <v>0</v>
      </c>
      <c r="S106" s="37" t="s">
        <v>2021</v>
      </c>
      <c r="T106" s="37">
        <v>1028</v>
      </c>
    </row>
    <row r="107" spans="1:20">
      <c r="A107" s="54">
        <v>45341</v>
      </c>
      <c r="B107" s="37" t="s">
        <v>2023</v>
      </c>
      <c r="C107" s="37" t="s">
        <v>765</v>
      </c>
      <c r="D107" s="37" t="s">
        <v>766</v>
      </c>
      <c r="E107" s="56" t="s">
        <v>800</v>
      </c>
      <c r="F107" s="37" t="s">
        <v>616</v>
      </c>
      <c r="G107" s="37" t="s">
        <v>2024</v>
      </c>
      <c r="H107" s="37">
        <v>0.04</v>
      </c>
      <c r="I107" s="37">
        <v>0</v>
      </c>
      <c r="J107" s="38">
        <v>72526.27</v>
      </c>
      <c r="K107" s="37" t="s">
        <v>615</v>
      </c>
      <c r="O107" s="37">
        <v>0</v>
      </c>
      <c r="P107" s="37">
        <v>0</v>
      </c>
      <c r="Q107" s="37">
        <v>0</v>
      </c>
      <c r="R107" s="37">
        <v>0</v>
      </c>
      <c r="T107" s="37">
        <v>1054</v>
      </c>
    </row>
    <row r="108" spans="1:20">
      <c r="A108" s="54">
        <v>45342</v>
      </c>
      <c r="B108" s="37" t="s">
        <v>2025</v>
      </c>
      <c r="C108" s="37" t="s">
        <v>712</v>
      </c>
      <c r="D108" s="37" t="s">
        <v>592</v>
      </c>
      <c r="E108" s="56" t="s">
        <v>834</v>
      </c>
      <c r="F108" s="37" t="s">
        <v>616</v>
      </c>
      <c r="G108" s="37" t="s">
        <v>2026</v>
      </c>
      <c r="H108" s="38">
        <v>6309.08</v>
      </c>
      <c r="I108" s="37">
        <v>0</v>
      </c>
      <c r="J108" s="38">
        <v>78835.350000000006</v>
      </c>
      <c r="K108" s="37" t="s">
        <v>615</v>
      </c>
      <c r="O108" s="37">
        <v>0</v>
      </c>
      <c r="P108" s="37">
        <v>0</v>
      </c>
      <c r="Q108" s="37">
        <v>0</v>
      </c>
      <c r="R108" s="37">
        <v>0</v>
      </c>
      <c r="T108" s="37">
        <v>1061</v>
      </c>
    </row>
    <row r="109" spans="1:20">
      <c r="A109" s="54">
        <v>45342</v>
      </c>
      <c r="B109" s="37" t="s">
        <v>2030</v>
      </c>
      <c r="C109" s="37" t="s">
        <v>712</v>
      </c>
      <c r="D109" s="37" t="s">
        <v>592</v>
      </c>
      <c r="E109" s="56" t="s">
        <v>834</v>
      </c>
      <c r="F109" s="37" t="s">
        <v>782</v>
      </c>
      <c r="G109" s="37" t="s">
        <v>1883</v>
      </c>
      <c r="H109" s="37">
        <v>52.5</v>
      </c>
      <c r="I109" s="37">
        <v>0</v>
      </c>
      <c r="J109" s="38">
        <v>78982.350000000006</v>
      </c>
      <c r="K109" s="37" t="s">
        <v>615</v>
      </c>
      <c r="O109" s="37">
        <v>0</v>
      </c>
      <c r="P109" s="37">
        <v>0</v>
      </c>
      <c r="Q109" s="37">
        <v>0</v>
      </c>
      <c r="R109" s="37">
        <v>0</v>
      </c>
      <c r="S109" s="37" t="s">
        <v>2031</v>
      </c>
      <c r="T109" s="37">
        <v>1072</v>
      </c>
    </row>
    <row r="110" spans="1:20">
      <c r="A110" s="54">
        <v>45342</v>
      </c>
      <c r="B110" s="37" t="s">
        <v>2027</v>
      </c>
      <c r="C110" s="37" t="s">
        <v>712</v>
      </c>
      <c r="D110" s="37" t="s">
        <v>592</v>
      </c>
      <c r="E110" s="56" t="s">
        <v>834</v>
      </c>
      <c r="F110" s="37" t="s">
        <v>782</v>
      </c>
      <c r="G110" s="37" t="s">
        <v>1900</v>
      </c>
      <c r="H110" s="37">
        <v>42</v>
      </c>
      <c r="I110" s="37">
        <v>0</v>
      </c>
      <c r="J110" s="38">
        <v>78877.350000000006</v>
      </c>
      <c r="K110" s="37" t="s">
        <v>615</v>
      </c>
      <c r="O110" s="37">
        <v>0</v>
      </c>
      <c r="P110" s="37">
        <v>0</v>
      </c>
      <c r="Q110" s="37">
        <v>0</v>
      </c>
      <c r="R110" s="37">
        <v>0</v>
      </c>
      <c r="S110" s="37" t="s">
        <v>2028</v>
      </c>
      <c r="T110" s="37">
        <v>1070</v>
      </c>
    </row>
    <row r="111" spans="1:20">
      <c r="A111" s="54">
        <v>45342</v>
      </c>
      <c r="B111" s="37" t="s">
        <v>2029</v>
      </c>
      <c r="C111" s="37" t="s">
        <v>712</v>
      </c>
      <c r="D111" s="37" t="s">
        <v>592</v>
      </c>
      <c r="E111" s="56" t="s">
        <v>834</v>
      </c>
      <c r="F111" s="37" t="s">
        <v>782</v>
      </c>
      <c r="G111" s="37" t="s">
        <v>1900</v>
      </c>
      <c r="H111" s="37">
        <v>52.5</v>
      </c>
      <c r="I111" s="37">
        <v>0</v>
      </c>
      <c r="J111" s="38">
        <v>78929.850000000006</v>
      </c>
      <c r="K111" s="37" t="s">
        <v>615</v>
      </c>
      <c r="O111" s="37">
        <v>0</v>
      </c>
      <c r="P111" s="37">
        <v>0</v>
      </c>
      <c r="Q111" s="37">
        <v>0</v>
      </c>
      <c r="R111" s="37">
        <v>0</v>
      </c>
      <c r="S111" s="37" t="s">
        <v>1282</v>
      </c>
      <c r="T111" s="37">
        <v>1071</v>
      </c>
    </row>
    <row r="112" spans="1:20">
      <c r="A112" s="54">
        <v>45343</v>
      </c>
      <c r="B112" s="37" t="s">
        <v>2036</v>
      </c>
      <c r="C112" s="37" t="s">
        <v>712</v>
      </c>
      <c r="D112" s="37" t="s">
        <v>592</v>
      </c>
      <c r="E112" s="56" t="s">
        <v>834</v>
      </c>
      <c r="F112" s="37" t="s">
        <v>782</v>
      </c>
      <c r="G112" s="37" t="s">
        <v>1929</v>
      </c>
      <c r="H112" s="37">
        <v>52.5</v>
      </c>
      <c r="I112" s="37">
        <v>0</v>
      </c>
      <c r="J112" s="38">
        <v>79174.350000000006</v>
      </c>
      <c r="K112" s="37" t="s">
        <v>615</v>
      </c>
      <c r="O112" s="37">
        <v>0</v>
      </c>
      <c r="P112" s="37">
        <v>0</v>
      </c>
      <c r="Q112" s="37">
        <v>0</v>
      </c>
      <c r="R112" s="37">
        <v>0</v>
      </c>
      <c r="S112" s="37" t="s">
        <v>1304</v>
      </c>
      <c r="T112" s="37">
        <v>1094</v>
      </c>
    </row>
    <row r="113" spans="1:20">
      <c r="A113" s="54">
        <v>45343</v>
      </c>
      <c r="B113" s="37" t="s">
        <v>2032</v>
      </c>
      <c r="C113" s="37" t="s">
        <v>712</v>
      </c>
      <c r="D113" s="37" t="s">
        <v>592</v>
      </c>
      <c r="E113" s="56" t="s">
        <v>834</v>
      </c>
      <c r="F113" s="37" t="s">
        <v>782</v>
      </c>
      <c r="G113" s="37" t="s">
        <v>1900</v>
      </c>
      <c r="H113" s="37">
        <v>87</v>
      </c>
      <c r="I113" s="37">
        <v>0</v>
      </c>
      <c r="J113" s="38">
        <v>79069.350000000006</v>
      </c>
      <c r="K113" s="37" t="s">
        <v>615</v>
      </c>
      <c r="O113" s="37">
        <v>0</v>
      </c>
      <c r="P113" s="37">
        <v>0</v>
      </c>
      <c r="Q113" s="37">
        <v>0</v>
      </c>
      <c r="R113" s="37">
        <v>0</v>
      </c>
      <c r="S113" s="37" t="s">
        <v>2033</v>
      </c>
      <c r="T113" s="37">
        <v>1092</v>
      </c>
    </row>
    <row r="114" spans="1:20">
      <c r="A114" s="54">
        <v>45343</v>
      </c>
      <c r="B114" s="37" t="s">
        <v>2034</v>
      </c>
      <c r="C114" s="37" t="s">
        <v>712</v>
      </c>
      <c r="D114" s="37" t="s">
        <v>592</v>
      </c>
      <c r="E114" s="56" t="s">
        <v>834</v>
      </c>
      <c r="F114" s="37" t="s">
        <v>782</v>
      </c>
      <c r="G114" s="37" t="s">
        <v>1900</v>
      </c>
      <c r="H114" s="37">
        <v>52.5</v>
      </c>
      <c r="I114" s="37">
        <v>0</v>
      </c>
      <c r="J114" s="38">
        <v>79121.850000000006</v>
      </c>
      <c r="K114" s="37" t="s">
        <v>615</v>
      </c>
      <c r="O114" s="37">
        <v>0</v>
      </c>
      <c r="P114" s="37">
        <v>0</v>
      </c>
      <c r="Q114" s="37">
        <v>0</v>
      </c>
      <c r="R114" s="37">
        <v>0</v>
      </c>
      <c r="S114" s="37" t="s">
        <v>2035</v>
      </c>
      <c r="T114" s="37">
        <v>1093</v>
      </c>
    </row>
    <row r="115" spans="1:20">
      <c r="A115" s="54">
        <v>45343</v>
      </c>
      <c r="B115" s="37" t="s">
        <v>2037</v>
      </c>
      <c r="C115" s="37" t="s">
        <v>712</v>
      </c>
      <c r="D115" s="37" t="s">
        <v>592</v>
      </c>
      <c r="E115" s="56" t="s">
        <v>834</v>
      </c>
      <c r="F115" s="37" t="s">
        <v>782</v>
      </c>
      <c r="G115" s="37" t="s">
        <v>1900</v>
      </c>
      <c r="H115" s="37">
        <v>99</v>
      </c>
      <c r="I115" s="37">
        <v>0</v>
      </c>
      <c r="J115" s="38">
        <v>79273.350000000006</v>
      </c>
      <c r="K115" s="37" t="s">
        <v>615</v>
      </c>
      <c r="O115" s="37">
        <v>0</v>
      </c>
      <c r="P115" s="37">
        <v>0</v>
      </c>
      <c r="Q115" s="37">
        <v>0</v>
      </c>
      <c r="R115" s="37">
        <v>0</v>
      </c>
      <c r="S115" s="37" t="s">
        <v>2038</v>
      </c>
      <c r="T115" s="37">
        <v>1095</v>
      </c>
    </row>
    <row r="116" spans="1:20">
      <c r="A116" s="54">
        <v>45344</v>
      </c>
      <c r="B116" s="37" t="s">
        <v>2041</v>
      </c>
      <c r="C116" s="37" t="s">
        <v>712</v>
      </c>
      <c r="D116" s="37" t="s">
        <v>592</v>
      </c>
      <c r="E116" s="56" t="s">
        <v>834</v>
      </c>
      <c r="F116" s="37" t="s">
        <v>782</v>
      </c>
      <c r="G116" s="37" t="s">
        <v>1883</v>
      </c>
      <c r="H116" s="37">
        <v>52.5</v>
      </c>
      <c r="I116" s="37">
        <v>0</v>
      </c>
      <c r="J116" s="38">
        <v>79378.350000000006</v>
      </c>
      <c r="K116" s="37" t="s">
        <v>615</v>
      </c>
      <c r="O116" s="37">
        <v>0</v>
      </c>
      <c r="P116" s="37">
        <v>0</v>
      </c>
      <c r="Q116" s="37">
        <v>0</v>
      </c>
      <c r="R116" s="37">
        <v>0</v>
      </c>
      <c r="S116" s="37" t="s">
        <v>2042</v>
      </c>
      <c r="T116" s="37">
        <v>1108</v>
      </c>
    </row>
    <row r="117" spans="1:20">
      <c r="A117" s="54">
        <v>45344</v>
      </c>
      <c r="B117" s="37" t="s">
        <v>2039</v>
      </c>
      <c r="C117" s="37" t="s">
        <v>712</v>
      </c>
      <c r="D117" s="37" t="s">
        <v>592</v>
      </c>
      <c r="E117" s="56" t="s">
        <v>834</v>
      </c>
      <c r="F117" s="37" t="s">
        <v>782</v>
      </c>
      <c r="G117" s="37" t="s">
        <v>1900</v>
      </c>
      <c r="H117" s="37">
        <v>52.5</v>
      </c>
      <c r="I117" s="37">
        <v>0</v>
      </c>
      <c r="J117" s="38">
        <v>79325.850000000006</v>
      </c>
      <c r="K117" s="37" t="s">
        <v>615</v>
      </c>
      <c r="O117" s="37">
        <v>0</v>
      </c>
      <c r="P117" s="37">
        <v>0</v>
      </c>
      <c r="Q117" s="37">
        <v>0</v>
      </c>
      <c r="R117" s="37">
        <v>0</v>
      </c>
      <c r="S117" s="37" t="s">
        <v>2040</v>
      </c>
      <c r="T117" s="37">
        <v>1107</v>
      </c>
    </row>
    <row r="118" spans="1:20">
      <c r="A118" s="54">
        <v>45345</v>
      </c>
      <c r="B118" s="37" t="s">
        <v>2043</v>
      </c>
      <c r="C118" s="37" t="s">
        <v>712</v>
      </c>
      <c r="D118" s="37" t="s">
        <v>592</v>
      </c>
      <c r="E118" s="56" t="s">
        <v>834</v>
      </c>
      <c r="F118" s="37" t="s">
        <v>782</v>
      </c>
      <c r="G118" s="37" t="s">
        <v>1883</v>
      </c>
      <c r="H118" s="37">
        <v>52.5</v>
      </c>
      <c r="I118" s="37">
        <v>0</v>
      </c>
      <c r="J118" s="38">
        <v>79430.850000000006</v>
      </c>
      <c r="K118" s="37" t="s">
        <v>615</v>
      </c>
      <c r="O118" s="37">
        <v>0</v>
      </c>
      <c r="P118" s="37">
        <v>0</v>
      </c>
      <c r="Q118" s="37">
        <v>0</v>
      </c>
      <c r="R118" s="37">
        <v>0</v>
      </c>
      <c r="S118" s="37" t="s">
        <v>2044</v>
      </c>
      <c r="T118" s="37">
        <v>1117</v>
      </c>
    </row>
    <row r="119" spans="1:20">
      <c r="A119" s="54">
        <v>45347</v>
      </c>
      <c r="B119" s="37" t="s">
        <v>1284</v>
      </c>
      <c r="C119" s="37" t="s">
        <v>712</v>
      </c>
      <c r="D119" s="37" t="s">
        <v>592</v>
      </c>
      <c r="E119" s="56" t="s">
        <v>834</v>
      </c>
      <c r="F119" s="37" t="s">
        <v>782</v>
      </c>
      <c r="G119" s="37" t="s">
        <v>1900</v>
      </c>
      <c r="H119" s="37">
        <v>52.5</v>
      </c>
      <c r="I119" s="37">
        <v>0</v>
      </c>
      <c r="J119" s="38">
        <v>79483.350000000006</v>
      </c>
      <c r="K119" s="37" t="s">
        <v>615</v>
      </c>
      <c r="O119" s="37">
        <v>0</v>
      </c>
      <c r="P119" s="37">
        <v>0</v>
      </c>
      <c r="Q119" s="37">
        <v>0</v>
      </c>
      <c r="R119" s="37">
        <v>0</v>
      </c>
      <c r="S119" s="37" t="s">
        <v>1283</v>
      </c>
      <c r="T119" s="37">
        <v>1172</v>
      </c>
    </row>
    <row r="120" spans="1:20">
      <c r="A120" s="54">
        <v>45347</v>
      </c>
      <c r="B120" s="37" t="s">
        <v>2045</v>
      </c>
      <c r="C120" s="37" t="s">
        <v>712</v>
      </c>
      <c r="D120" s="37" t="s">
        <v>592</v>
      </c>
      <c r="E120" s="56" t="s">
        <v>834</v>
      </c>
      <c r="F120" s="37" t="s">
        <v>782</v>
      </c>
      <c r="G120" s="37" t="s">
        <v>1900</v>
      </c>
      <c r="H120" s="37">
        <v>99</v>
      </c>
      <c r="I120" s="37">
        <v>0</v>
      </c>
      <c r="J120" s="38">
        <v>79582.350000000006</v>
      </c>
      <c r="K120" s="37" t="s">
        <v>615</v>
      </c>
      <c r="O120" s="37">
        <v>0</v>
      </c>
      <c r="P120" s="37">
        <v>0</v>
      </c>
      <c r="Q120" s="37">
        <v>0</v>
      </c>
      <c r="R120" s="37">
        <v>0</v>
      </c>
      <c r="S120" s="37" t="s">
        <v>1284</v>
      </c>
      <c r="T120" s="37">
        <v>1173</v>
      </c>
    </row>
    <row r="121" spans="1:20">
      <c r="A121" s="54">
        <v>45347</v>
      </c>
      <c r="B121" s="37" t="s">
        <v>2046</v>
      </c>
      <c r="C121" s="37" t="s">
        <v>712</v>
      </c>
      <c r="D121" s="37" t="s">
        <v>592</v>
      </c>
      <c r="E121" s="56" t="s">
        <v>834</v>
      </c>
      <c r="F121" s="37" t="s">
        <v>782</v>
      </c>
      <c r="G121" s="37" t="s">
        <v>1900</v>
      </c>
      <c r="H121" s="37">
        <v>114</v>
      </c>
      <c r="I121" s="37">
        <v>0</v>
      </c>
      <c r="J121" s="38">
        <v>79696.350000000006</v>
      </c>
      <c r="K121" s="37" t="s">
        <v>615</v>
      </c>
      <c r="O121" s="37">
        <v>0</v>
      </c>
      <c r="P121" s="37">
        <v>0</v>
      </c>
      <c r="Q121" s="37">
        <v>0</v>
      </c>
      <c r="R121" s="37">
        <v>0</v>
      </c>
      <c r="S121" s="37" t="s">
        <v>2045</v>
      </c>
      <c r="T121" s="37">
        <v>1174</v>
      </c>
    </row>
    <row r="122" spans="1:20">
      <c r="A122" s="54">
        <v>45348</v>
      </c>
      <c r="B122" s="37" t="s">
        <v>2047</v>
      </c>
      <c r="C122" s="37" t="s">
        <v>712</v>
      </c>
      <c r="D122" s="37" t="s">
        <v>592</v>
      </c>
      <c r="E122" s="56" t="s">
        <v>834</v>
      </c>
      <c r="F122" s="37" t="s">
        <v>782</v>
      </c>
      <c r="G122" s="37" t="s">
        <v>1929</v>
      </c>
      <c r="H122" s="37">
        <v>52.5</v>
      </c>
      <c r="I122" s="37">
        <v>0</v>
      </c>
      <c r="J122" s="38">
        <v>79748.850000000006</v>
      </c>
      <c r="K122" s="37" t="s">
        <v>615</v>
      </c>
      <c r="O122" s="37">
        <v>0</v>
      </c>
      <c r="P122" s="37">
        <v>0</v>
      </c>
      <c r="Q122" s="37">
        <v>0</v>
      </c>
      <c r="R122" s="37">
        <v>0</v>
      </c>
      <c r="S122" s="37" t="s">
        <v>2048</v>
      </c>
      <c r="T122" s="37">
        <v>1189</v>
      </c>
    </row>
    <row r="123" spans="1:20">
      <c r="A123" s="54">
        <v>45349</v>
      </c>
      <c r="B123" s="37" t="s">
        <v>1285</v>
      </c>
      <c r="C123" s="37" t="s">
        <v>712</v>
      </c>
      <c r="D123" s="37" t="s">
        <v>592</v>
      </c>
      <c r="E123" s="56" t="s">
        <v>834</v>
      </c>
      <c r="F123" s="37" t="s">
        <v>782</v>
      </c>
      <c r="G123" s="37" t="s">
        <v>1883</v>
      </c>
      <c r="H123" s="37">
        <v>87</v>
      </c>
      <c r="I123" s="37">
        <v>0</v>
      </c>
      <c r="J123" s="38">
        <v>79835.850000000006</v>
      </c>
      <c r="K123" s="37" t="s">
        <v>615</v>
      </c>
      <c r="O123" s="37">
        <v>0</v>
      </c>
      <c r="P123" s="37">
        <v>0</v>
      </c>
      <c r="Q123" s="37">
        <v>0</v>
      </c>
      <c r="R123" s="37">
        <v>0</v>
      </c>
      <c r="S123" s="37" t="s">
        <v>2049</v>
      </c>
      <c r="T123" s="37">
        <v>1200</v>
      </c>
    </row>
    <row r="124" spans="1:20">
      <c r="A124" s="54">
        <v>45349</v>
      </c>
      <c r="B124" s="37" t="s">
        <v>2050</v>
      </c>
      <c r="C124" s="37" t="s">
        <v>712</v>
      </c>
      <c r="D124" s="37" t="s">
        <v>592</v>
      </c>
      <c r="E124" s="56" t="s">
        <v>834</v>
      </c>
      <c r="F124" s="37" t="s">
        <v>782</v>
      </c>
      <c r="G124" s="37" t="s">
        <v>1883</v>
      </c>
      <c r="H124" s="37">
        <v>114</v>
      </c>
      <c r="I124" s="37">
        <v>0</v>
      </c>
      <c r="J124" s="38">
        <v>79949.850000000006</v>
      </c>
      <c r="K124" s="37" t="s">
        <v>615</v>
      </c>
      <c r="O124" s="37">
        <v>0</v>
      </c>
      <c r="P124" s="37">
        <v>0</v>
      </c>
      <c r="Q124" s="37">
        <v>0</v>
      </c>
      <c r="R124" s="37">
        <v>0</v>
      </c>
      <c r="S124" s="37" t="s">
        <v>2051</v>
      </c>
      <c r="T124" s="37">
        <v>1201</v>
      </c>
    </row>
    <row r="125" spans="1:20">
      <c r="A125" s="54">
        <v>45349</v>
      </c>
      <c r="B125" s="37" t="s">
        <v>2052</v>
      </c>
      <c r="C125" s="37" t="s">
        <v>712</v>
      </c>
      <c r="D125" s="37" t="s">
        <v>592</v>
      </c>
      <c r="E125" s="56" t="s">
        <v>834</v>
      </c>
      <c r="F125" s="37" t="s">
        <v>782</v>
      </c>
      <c r="G125" s="37" t="s">
        <v>1883</v>
      </c>
      <c r="H125" s="37">
        <v>52.5</v>
      </c>
      <c r="I125" s="37">
        <v>0</v>
      </c>
      <c r="J125" s="38">
        <v>80002.350000000006</v>
      </c>
      <c r="K125" s="37" t="s">
        <v>615</v>
      </c>
      <c r="O125" s="37">
        <v>0</v>
      </c>
      <c r="P125" s="37">
        <v>0</v>
      </c>
      <c r="Q125" s="37">
        <v>0</v>
      </c>
      <c r="R125" s="37">
        <v>0</v>
      </c>
      <c r="S125" s="37" t="s">
        <v>2053</v>
      </c>
      <c r="T125" s="37">
        <v>1202</v>
      </c>
    </row>
    <row r="126" spans="1:20">
      <c r="A126" s="54">
        <v>45350</v>
      </c>
      <c r="B126" s="37" t="s">
        <v>2056</v>
      </c>
      <c r="C126" s="37" t="s">
        <v>712</v>
      </c>
      <c r="D126" s="37" t="s">
        <v>592</v>
      </c>
      <c r="E126" s="56" t="s">
        <v>834</v>
      </c>
      <c r="F126" s="37" t="s">
        <v>782</v>
      </c>
      <c r="G126" s="37" t="s">
        <v>1908</v>
      </c>
      <c r="H126" s="37">
        <v>60</v>
      </c>
      <c r="I126" s="37">
        <v>0</v>
      </c>
      <c r="J126" s="38">
        <v>82239.25</v>
      </c>
      <c r="K126" s="37" t="s">
        <v>615</v>
      </c>
      <c r="O126" s="37">
        <v>0</v>
      </c>
      <c r="P126" s="37">
        <v>0</v>
      </c>
      <c r="Q126" s="37">
        <v>0</v>
      </c>
      <c r="R126" s="37">
        <v>0</v>
      </c>
      <c r="S126" s="37" t="s">
        <v>2057</v>
      </c>
      <c r="T126" s="37">
        <v>1216</v>
      </c>
    </row>
    <row r="127" spans="1:20">
      <c r="A127" s="54">
        <v>45350</v>
      </c>
      <c r="B127" s="37" t="s">
        <v>2058</v>
      </c>
      <c r="C127" s="37" t="s">
        <v>712</v>
      </c>
      <c r="D127" s="37" t="s">
        <v>592</v>
      </c>
      <c r="E127" s="56" t="s">
        <v>834</v>
      </c>
      <c r="F127" s="37" t="s">
        <v>782</v>
      </c>
      <c r="G127" s="37" t="s">
        <v>1900</v>
      </c>
      <c r="H127" s="37">
        <v>52.5</v>
      </c>
      <c r="I127" s="37">
        <v>0</v>
      </c>
      <c r="J127" s="38">
        <v>82291.75</v>
      </c>
      <c r="K127" s="37" t="s">
        <v>615</v>
      </c>
      <c r="O127" s="37">
        <v>0</v>
      </c>
      <c r="P127" s="37">
        <v>0</v>
      </c>
      <c r="Q127" s="37">
        <v>0</v>
      </c>
      <c r="R127" s="37">
        <v>0</v>
      </c>
      <c r="S127" s="37" t="s">
        <v>2059</v>
      </c>
      <c r="T127" s="37">
        <v>1217</v>
      </c>
    </row>
    <row r="128" spans="1:20">
      <c r="A128" s="54">
        <v>45350</v>
      </c>
      <c r="B128" s="37" t="s">
        <v>1719</v>
      </c>
      <c r="C128" s="37" t="s">
        <v>1534</v>
      </c>
      <c r="D128" s="37" t="s">
        <v>1535</v>
      </c>
      <c r="E128" s="56" t="s">
        <v>2408</v>
      </c>
      <c r="F128" s="37" t="s">
        <v>782</v>
      </c>
      <c r="G128" s="37" t="s">
        <v>2054</v>
      </c>
      <c r="H128" s="38">
        <v>2176.9</v>
      </c>
      <c r="I128" s="37">
        <v>0</v>
      </c>
      <c r="J128" s="38">
        <v>82179.25</v>
      </c>
      <c r="K128" s="37" t="s">
        <v>615</v>
      </c>
      <c r="O128" s="37">
        <v>0</v>
      </c>
      <c r="P128" s="37">
        <v>0</v>
      </c>
      <c r="Q128" s="37">
        <v>0</v>
      </c>
      <c r="R128" s="37">
        <v>0</v>
      </c>
      <c r="S128" s="37" t="s">
        <v>2055</v>
      </c>
      <c r="T128" s="37">
        <v>1213</v>
      </c>
    </row>
    <row r="129" spans="1:20">
      <c r="A129" s="54">
        <v>45351</v>
      </c>
      <c r="B129" s="37" t="s">
        <v>2062</v>
      </c>
      <c r="C129" s="37" t="s">
        <v>712</v>
      </c>
      <c r="D129" s="37" t="s">
        <v>592</v>
      </c>
      <c r="E129" s="56" t="s">
        <v>834</v>
      </c>
      <c r="F129" s="37" t="s">
        <v>616</v>
      </c>
      <c r="G129" s="37" t="s">
        <v>2063</v>
      </c>
      <c r="H129" s="38">
        <v>6244.22</v>
      </c>
      <c r="I129" s="37">
        <v>0</v>
      </c>
      <c r="J129" s="38">
        <v>88861.25</v>
      </c>
      <c r="K129" s="37" t="s">
        <v>615</v>
      </c>
      <c r="O129" s="37">
        <v>0</v>
      </c>
      <c r="P129" s="37">
        <v>0</v>
      </c>
      <c r="Q129" s="37">
        <v>0</v>
      </c>
      <c r="R129" s="37">
        <v>0</v>
      </c>
      <c r="T129" s="37">
        <v>1231</v>
      </c>
    </row>
    <row r="130" spans="1:20">
      <c r="A130" s="54">
        <v>45351</v>
      </c>
      <c r="B130" s="37" t="s">
        <v>2060</v>
      </c>
      <c r="C130" s="37" t="s">
        <v>712</v>
      </c>
      <c r="D130" s="37" t="s">
        <v>592</v>
      </c>
      <c r="E130" s="56" t="s">
        <v>835</v>
      </c>
      <c r="F130" s="37" t="s">
        <v>616</v>
      </c>
      <c r="G130" s="37" t="s">
        <v>2061</v>
      </c>
      <c r="H130" s="37">
        <v>325.27999999999997</v>
      </c>
      <c r="I130" s="37">
        <v>0</v>
      </c>
      <c r="J130" s="38">
        <v>82617.03</v>
      </c>
      <c r="K130" s="37" t="s">
        <v>615</v>
      </c>
      <c r="O130" s="37">
        <v>0</v>
      </c>
      <c r="P130" s="37">
        <v>0</v>
      </c>
      <c r="Q130" s="37">
        <v>0</v>
      </c>
      <c r="R130" s="37">
        <v>0</v>
      </c>
      <c r="T130" s="37">
        <v>1230</v>
      </c>
    </row>
    <row r="131" spans="1:20">
      <c r="A131" s="54">
        <v>45352</v>
      </c>
      <c r="B131" s="37" t="s">
        <v>2064</v>
      </c>
      <c r="C131" s="37" t="s">
        <v>712</v>
      </c>
      <c r="D131" s="37" t="s">
        <v>592</v>
      </c>
      <c r="E131" s="56" t="s">
        <v>834</v>
      </c>
      <c r="F131" s="37" t="s">
        <v>782</v>
      </c>
      <c r="G131" s="37" t="s">
        <v>1883</v>
      </c>
      <c r="H131" s="37">
        <v>52.5</v>
      </c>
      <c r="I131" s="37">
        <v>0</v>
      </c>
      <c r="J131" s="38">
        <v>88913.75</v>
      </c>
      <c r="K131" s="37" t="s">
        <v>615</v>
      </c>
      <c r="O131" s="37">
        <v>0</v>
      </c>
      <c r="P131" s="37">
        <v>0</v>
      </c>
      <c r="Q131" s="37">
        <v>0</v>
      </c>
      <c r="R131" s="37">
        <v>0</v>
      </c>
      <c r="S131" s="37" t="s">
        <v>2065</v>
      </c>
      <c r="T131" s="37">
        <v>1327</v>
      </c>
    </row>
    <row r="132" spans="1:20">
      <c r="A132" s="54">
        <v>45352</v>
      </c>
      <c r="B132" s="37" t="s">
        <v>2066</v>
      </c>
      <c r="C132" s="37" t="s">
        <v>712</v>
      </c>
      <c r="D132" s="37" t="s">
        <v>592</v>
      </c>
      <c r="E132" s="56" t="s">
        <v>835</v>
      </c>
      <c r="F132" s="37" t="s">
        <v>616</v>
      </c>
      <c r="G132" s="37" t="s">
        <v>2067</v>
      </c>
      <c r="H132" s="37">
        <v>77.25</v>
      </c>
      <c r="I132" s="37">
        <v>0</v>
      </c>
      <c r="J132" s="38">
        <v>88991</v>
      </c>
      <c r="K132" s="37" t="s">
        <v>615</v>
      </c>
      <c r="O132" s="37">
        <v>0</v>
      </c>
      <c r="P132" s="37">
        <v>0</v>
      </c>
      <c r="Q132" s="37">
        <v>0</v>
      </c>
      <c r="R132" s="37">
        <v>0</v>
      </c>
      <c r="T132" s="37">
        <v>1331</v>
      </c>
    </row>
    <row r="133" spans="1:20">
      <c r="A133" s="54">
        <v>45352</v>
      </c>
      <c r="B133" s="37" t="s">
        <v>2068</v>
      </c>
      <c r="C133" s="37" t="s">
        <v>712</v>
      </c>
      <c r="D133" s="37" t="s">
        <v>592</v>
      </c>
      <c r="E133" s="56" t="s">
        <v>800</v>
      </c>
      <c r="F133" s="37" t="s">
        <v>616</v>
      </c>
      <c r="G133" s="37" t="s">
        <v>2069</v>
      </c>
      <c r="H133" s="37">
        <v>75</v>
      </c>
      <c r="I133" s="37">
        <v>0</v>
      </c>
      <c r="J133" s="38">
        <v>89066</v>
      </c>
      <c r="K133" s="37" t="s">
        <v>615</v>
      </c>
      <c r="O133" s="37">
        <v>0</v>
      </c>
      <c r="P133" s="37">
        <v>0</v>
      </c>
      <c r="Q133" s="37">
        <v>0</v>
      </c>
      <c r="R133" s="37">
        <v>0</v>
      </c>
      <c r="T133" s="37">
        <v>1340</v>
      </c>
    </row>
    <row r="134" spans="1:20">
      <c r="A134" s="54">
        <v>45352</v>
      </c>
      <c r="B134" s="37" t="s">
        <v>2070</v>
      </c>
      <c r="C134" s="37" t="s">
        <v>712</v>
      </c>
      <c r="D134" s="37" t="s">
        <v>592</v>
      </c>
      <c r="E134" s="56" t="s">
        <v>800</v>
      </c>
      <c r="F134" s="37" t="s">
        <v>616</v>
      </c>
      <c r="G134" s="37" t="s">
        <v>2071</v>
      </c>
      <c r="H134" s="37">
        <v>30</v>
      </c>
      <c r="I134" s="37">
        <v>0</v>
      </c>
      <c r="J134" s="38">
        <v>89096</v>
      </c>
      <c r="K134" s="37" t="s">
        <v>615</v>
      </c>
      <c r="O134" s="37">
        <v>0</v>
      </c>
      <c r="P134" s="37">
        <v>0</v>
      </c>
      <c r="Q134" s="37">
        <v>0</v>
      </c>
      <c r="R134" s="37">
        <v>0</v>
      </c>
      <c r="T134" s="37">
        <v>1341</v>
      </c>
    </row>
    <row r="135" spans="1:20">
      <c r="A135" s="54">
        <v>45352</v>
      </c>
      <c r="B135" s="37" t="s">
        <v>2076</v>
      </c>
      <c r="C135" s="37" t="s">
        <v>712</v>
      </c>
      <c r="D135" s="37" t="s">
        <v>592</v>
      </c>
      <c r="E135" s="56" t="s">
        <v>800</v>
      </c>
      <c r="F135" s="37" t="s">
        <v>616</v>
      </c>
      <c r="G135" s="37" t="s">
        <v>2077</v>
      </c>
      <c r="H135" s="37">
        <v>7.5</v>
      </c>
      <c r="I135" s="37">
        <v>0</v>
      </c>
      <c r="J135" s="38">
        <v>89291.5</v>
      </c>
      <c r="K135" s="37" t="s">
        <v>615</v>
      </c>
      <c r="O135" s="37">
        <v>0</v>
      </c>
      <c r="P135" s="37">
        <v>0</v>
      </c>
      <c r="Q135" s="37">
        <v>0</v>
      </c>
      <c r="R135" s="37">
        <v>0</v>
      </c>
      <c r="T135" s="37">
        <v>1346</v>
      </c>
    </row>
    <row r="136" spans="1:20">
      <c r="A136" s="54">
        <v>45352</v>
      </c>
      <c r="B136" s="37" t="s">
        <v>2072</v>
      </c>
      <c r="C136" s="37" t="s">
        <v>712</v>
      </c>
      <c r="D136" s="37" t="s">
        <v>592</v>
      </c>
      <c r="E136" s="56" t="s">
        <v>800</v>
      </c>
      <c r="F136" s="37" t="s">
        <v>616</v>
      </c>
      <c r="G136" s="37" t="s">
        <v>2073</v>
      </c>
      <c r="H136" s="37">
        <v>68</v>
      </c>
      <c r="I136" s="37">
        <v>0</v>
      </c>
      <c r="J136" s="38">
        <v>89164</v>
      </c>
      <c r="K136" s="37" t="s">
        <v>615</v>
      </c>
      <c r="O136" s="37">
        <v>0</v>
      </c>
      <c r="P136" s="37">
        <v>0</v>
      </c>
      <c r="Q136" s="37">
        <v>0</v>
      </c>
      <c r="R136" s="37">
        <v>0</v>
      </c>
      <c r="T136" s="37">
        <v>1342</v>
      </c>
    </row>
    <row r="137" spans="1:20">
      <c r="A137" s="54">
        <v>45352</v>
      </c>
      <c r="B137" s="37" t="s">
        <v>2074</v>
      </c>
      <c r="C137" s="37" t="s">
        <v>712</v>
      </c>
      <c r="D137" s="37" t="s">
        <v>592</v>
      </c>
      <c r="E137" s="56" t="s">
        <v>800</v>
      </c>
      <c r="F137" s="37" t="s">
        <v>616</v>
      </c>
      <c r="G137" s="37" t="s">
        <v>2075</v>
      </c>
      <c r="H137" s="37">
        <v>120</v>
      </c>
      <c r="I137" s="37">
        <v>0</v>
      </c>
      <c r="J137" s="38">
        <v>89284</v>
      </c>
      <c r="K137" s="37" t="s">
        <v>615</v>
      </c>
      <c r="O137" s="37">
        <v>0</v>
      </c>
      <c r="P137" s="37">
        <v>0</v>
      </c>
      <c r="Q137" s="37">
        <v>0</v>
      </c>
      <c r="R137" s="37">
        <v>0</v>
      </c>
      <c r="T137" s="37">
        <v>1343</v>
      </c>
    </row>
    <row r="138" spans="1:20">
      <c r="A138" s="54">
        <v>45354</v>
      </c>
      <c r="B138" s="37" t="s">
        <v>2078</v>
      </c>
      <c r="C138" s="37" t="s">
        <v>712</v>
      </c>
      <c r="D138" s="37" t="s">
        <v>592</v>
      </c>
      <c r="E138" s="56" t="s">
        <v>834</v>
      </c>
      <c r="F138" s="37" t="s">
        <v>616</v>
      </c>
      <c r="G138" s="37" t="s">
        <v>2079</v>
      </c>
      <c r="H138" s="38">
        <v>2927.78</v>
      </c>
      <c r="I138" s="37">
        <v>0</v>
      </c>
      <c r="J138" s="38">
        <v>92219.28</v>
      </c>
      <c r="K138" s="37" t="s">
        <v>615</v>
      </c>
      <c r="O138" s="37">
        <v>0</v>
      </c>
      <c r="P138" s="37">
        <v>0</v>
      </c>
      <c r="Q138" s="37">
        <v>0</v>
      </c>
      <c r="R138" s="37">
        <v>0</v>
      </c>
      <c r="T138" s="37">
        <v>1352</v>
      </c>
    </row>
    <row r="139" spans="1:20">
      <c r="A139" s="54">
        <v>45354</v>
      </c>
      <c r="B139" s="37" t="s">
        <v>2080</v>
      </c>
      <c r="C139" s="37" t="s">
        <v>712</v>
      </c>
      <c r="D139" s="37" t="s">
        <v>592</v>
      </c>
      <c r="E139" s="56" t="s">
        <v>834</v>
      </c>
      <c r="F139" s="37" t="s">
        <v>616</v>
      </c>
      <c r="G139" s="37" t="s">
        <v>2081</v>
      </c>
      <c r="H139" s="38">
        <v>8023.23</v>
      </c>
      <c r="I139" s="37">
        <v>0</v>
      </c>
      <c r="J139" s="38">
        <v>100242.51</v>
      </c>
      <c r="K139" s="37" t="s">
        <v>615</v>
      </c>
      <c r="O139" s="37">
        <v>0</v>
      </c>
      <c r="P139" s="37">
        <v>0</v>
      </c>
      <c r="Q139" s="37">
        <v>0</v>
      </c>
      <c r="R139" s="37">
        <v>0</v>
      </c>
      <c r="T139" s="37">
        <v>1353</v>
      </c>
    </row>
    <row r="140" spans="1:20">
      <c r="A140" s="54">
        <v>45357</v>
      </c>
      <c r="B140" s="37" t="s">
        <v>2082</v>
      </c>
      <c r="C140" s="37" t="s">
        <v>712</v>
      </c>
      <c r="D140" s="37" t="s">
        <v>592</v>
      </c>
      <c r="E140" s="56" t="s">
        <v>834</v>
      </c>
      <c r="F140" s="37" t="s">
        <v>782</v>
      </c>
      <c r="G140" s="37" t="s">
        <v>1996</v>
      </c>
      <c r="H140" s="37">
        <v>52.5</v>
      </c>
      <c r="I140" s="37">
        <v>0</v>
      </c>
      <c r="J140" s="38">
        <v>100295.01</v>
      </c>
      <c r="K140" s="37" t="s">
        <v>615</v>
      </c>
      <c r="O140" s="37">
        <v>0</v>
      </c>
      <c r="P140" s="37">
        <v>0</v>
      </c>
      <c r="Q140" s="37">
        <v>0</v>
      </c>
      <c r="R140" s="37">
        <v>0</v>
      </c>
      <c r="S140" s="37" t="s">
        <v>2083</v>
      </c>
      <c r="T140" s="37">
        <v>1393</v>
      </c>
    </row>
    <row r="141" spans="1:20">
      <c r="A141" s="54">
        <v>45358</v>
      </c>
      <c r="B141" s="37" t="s">
        <v>2085</v>
      </c>
      <c r="C141" s="37" t="s">
        <v>712</v>
      </c>
      <c r="D141" s="37" t="s">
        <v>592</v>
      </c>
      <c r="E141" s="56" t="s">
        <v>834</v>
      </c>
      <c r="F141" s="37" t="s">
        <v>616</v>
      </c>
      <c r="G141" s="37" t="s">
        <v>2086</v>
      </c>
      <c r="H141" s="38">
        <v>2927.78</v>
      </c>
      <c r="I141" s="37">
        <v>0</v>
      </c>
      <c r="J141" s="38">
        <v>103275.29</v>
      </c>
      <c r="K141" s="37" t="s">
        <v>615</v>
      </c>
      <c r="O141" s="37">
        <v>0</v>
      </c>
      <c r="P141" s="37">
        <v>0</v>
      </c>
      <c r="Q141" s="37">
        <v>0</v>
      </c>
      <c r="R141" s="37">
        <v>0</v>
      </c>
      <c r="T141" s="37">
        <v>1421</v>
      </c>
    </row>
    <row r="142" spans="1:20">
      <c r="A142" s="54">
        <v>45358</v>
      </c>
      <c r="B142" s="37" t="s">
        <v>2087</v>
      </c>
      <c r="C142" s="37" t="s">
        <v>712</v>
      </c>
      <c r="D142" s="37" t="s">
        <v>592</v>
      </c>
      <c r="E142" s="56" t="s">
        <v>834</v>
      </c>
      <c r="F142" s="37" t="s">
        <v>616</v>
      </c>
      <c r="G142" s="37" t="s">
        <v>2088</v>
      </c>
      <c r="H142" s="38">
        <v>4459.2</v>
      </c>
      <c r="I142" s="37">
        <v>0</v>
      </c>
      <c r="J142" s="38">
        <v>107734.49</v>
      </c>
      <c r="K142" s="37" t="s">
        <v>615</v>
      </c>
      <c r="O142" s="37">
        <v>0</v>
      </c>
      <c r="P142" s="37">
        <v>0</v>
      </c>
      <c r="Q142" s="37">
        <v>0</v>
      </c>
      <c r="R142" s="37">
        <v>0</v>
      </c>
      <c r="T142" s="37">
        <v>1422</v>
      </c>
    </row>
    <row r="143" spans="1:20">
      <c r="A143" s="54">
        <v>45358</v>
      </c>
      <c r="B143" s="37" t="s">
        <v>2084</v>
      </c>
      <c r="C143" s="37" t="s">
        <v>712</v>
      </c>
      <c r="D143" s="37" t="s">
        <v>592</v>
      </c>
      <c r="E143" s="56" t="s">
        <v>834</v>
      </c>
      <c r="F143" s="37" t="s">
        <v>782</v>
      </c>
      <c r="G143" s="37" t="s">
        <v>1996</v>
      </c>
      <c r="H143" s="37">
        <v>52.5</v>
      </c>
      <c r="I143" s="37">
        <v>0</v>
      </c>
      <c r="J143" s="38">
        <v>100347.51</v>
      </c>
      <c r="K143" s="37" t="s">
        <v>615</v>
      </c>
      <c r="O143" s="37">
        <v>0</v>
      </c>
      <c r="P143" s="37">
        <v>0</v>
      </c>
      <c r="Q143" s="37">
        <v>0</v>
      </c>
      <c r="R143" s="37">
        <v>0</v>
      </c>
      <c r="S143" s="37" t="s">
        <v>1305</v>
      </c>
      <c r="T143" s="37">
        <v>1409</v>
      </c>
    </row>
    <row r="144" spans="1:20">
      <c r="A144" s="54">
        <v>45359</v>
      </c>
      <c r="B144" s="37" t="s">
        <v>2089</v>
      </c>
      <c r="C144" s="37" t="s">
        <v>765</v>
      </c>
      <c r="D144" s="37" t="s">
        <v>766</v>
      </c>
      <c r="E144" s="56" t="s">
        <v>800</v>
      </c>
      <c r="F144" s="37" t="s">
        <v>616</v>
      </c>
      <c r="G144" s="37" t="s">
        <v>2090</v>
      </c>
      <c r="H144" s="37">
        <v>0.45</v>
      </c>
      <c r="I144" s="37">
        <v>0</v>
      </c>
      <c r="J144" s="38">
        <v>107734.94</v>
      </c>
      <c r="K144" s="37" t="s">
        <v>615</v>
      </c>
      <c r="O144" s="37">
        <v>0</v>
      </c>
      <c r="P144" s="37">
        <v>0</v>
      </c>
      <c r="Q144" s="37">
        <v>0</v>
      </c>
      <c r="R144" s="37">
        <v>0</v>
      </c>
      <c r="T144" s="37">
        <v>1462</v>
      </c>
    </row>
    <row r="145" spans="1:20">
      <c r="A145" s="54">
        <v>45359</v>
      </c>
      <c r="B145" s="37" t="s">
        <v>2091</v>
      </c>
      <c r="C145" s="37" t="s">
        <v>765</v>
      </c>
      <c r="D145" s="37" t="s">
        <v>766</v>
      </c>
      <c r="E145" s="56" t="s">
        <v>800</v>
      </c>
      <c r="F145" s="37" t="s">
        <v>616</v>
      </c>
      <c r="G145" s="37" t="s">
        <v>2092</v>
      </c>
      <c r="H145" s="37">
        <v>2.12</v>
      </c>
      <c r="I145" s="37">
        <v>0</v>
      </c>
      <c r="J145" s="38">
        <v>107737.06</v>
      </c>
      <c r="K145" s="37" t="s">
        <v>615</v>
      </c>
      <c r="O145" s="37">
        <v>0</v>
      </c>
      <c r="P145" s="37">
        <v>0</v>
      </c>
      <c r="Q145" s="37">
        <v>0</v>
      </c>
      <c r="R145" s="37">
        <v>0</v>
      </c>
      <c r="T145" s="37">
        <v>1474</v>
      </c>
    </row>
    <row r="146" spans="1:20">
      <c r="A146" s="54">
        <v>45360</v>
      </c>
      <c r="B146" s="37" t="s">
        <v>2093</v>
      </c>
      <c r="C146" s="37" t="s">
        <v>712</v>
      </c>
      <c r="D146" s="37" t="s">
        <v>592</v>
      </c>
      <c r="E146" s="56" t="s">
        <v>834</v>
      </c>
      <c r="F146" s="37" t="s">
        <v>782</v>
      </c>
      <c r="G146" s="37" t="s">
        <v>1898</v>
      </c>
      <c r="H146" s="37">
        <v>52.5</v>
      </c>
      <c r="I146" s="37">
        <v>0</v>
      </c>
      <c r="J146" s="38">
        <v>107789.56</v>
      </c>
      <c r="K146" s="37" t="s">
        <v>615</v>
      </c>
      <c r="O146" s="37">
        <v>0</v>
      </c>
      <c r="P146" s="37">
        <v>0</v>
      </c>
      <c r="Q146" s="37">
        <v>0</v>
      </c>
      <c r="R146" s="37">
        <v>0</v>
      </c>
      <c r="S146" s="37" t="s">
        <v>2093</v>
      </c>
      <c r="T146" s="37">
        <v>1477</v>
      </c>
    </row>
    <row r="147" spans="1:20">
      <c r="A147" s="54">
        <v>45360</v>
      </c>
      <c r="B147" s="37" t="s">
        <v>2094</v>
      </c>
      <c r="C147" s="37" t="s">
        <v>712</v>
      </c>
      <c r="D147" s="37" t="s">
        <v>592</v>
      </c>
      <c r="E147" s="56" t="s">
        <v>800</v>
      </c>
      <c r="F147" s="37" t="s">
        <v>616</v>
      </c>
      <c r="G147" s="37" t="s">
        <v>2095</v>
      </c>
      <c r="H147" s="37">
        <v>48</v>
      </c>
      <c r="I147" s="37">
        <v>0</v>
      </c>
      <c r="J147" s="38">
        <v>107837.56</v>
      </c>
      <c r="K147" s="37" t="s">
        <v>615</v>
      </c>
      <c r="O147" s="37">
        <v>0</v>
      </c>
      <c r="P147" s="37">
        <v>0</v>
      </c>
      <c r="Q147" s="37">
        <v>0</v>
      </c>
      <c r="R147" s="37">
        <v>0</v>
      </c>
      <c r="T147" s="37">
        <v>1480</v>
      </c>
    </row>
    <row r="148" spans="1:20">
      <c r="A148" s="54">
        <v>45361</v>
      </c>
      <c r="B148" s="37" t="s">
        <v>2096</v>
      </c>
      <c r="C148" s="37" t="s">
        <v>712</v>
      </c>
      <c r="D148" s="37" t="s">
        <v>592</v>
      </c>
      <c r="E148" s="56" t="s">
        <v>834</v>
      </c>
      <c r="F148" s="37" t="s">
        <v>616</v>
      </c>
      <c r="G148" s="37" t="s">
        <v>2097</v>
      </c>
      <c r="H148" s="38">
        <v>5147.2299999999996</v>
      </c>
      <c r="I148" s="37">
        <v>0</v>
      </c>
      <c r="J148" s="38">
        <v>112984.79</v>
      </c>
      <c r="K148" s="37" t="s">
        <v>615</v>
      </c>
      <c r="O148" s="37">
        <v>0</v>
      </c>
      <c r="P148" s="37">
        <v>0</v>
      </c>
      <c r="Q148" s="37">
        <v>0</v>
      </c>
      <c r="R148" s="37">
        <v>0</v>
      </c>
      <c r="T148" s="37">
        <v>1482</v>
      </c>
    </row>
    <row r="149" spans="1:20">
      <c r="A149" s="54">
        <v>45363</v>
      </c>
      <c r="B149" s="37" t="s">
        <v>2098</v>
      </c>
      <c r="C149" s="37" t="s">
        <v>712</v>
      </c>
      <c r="D149" s="37" t="s">
        <v>592</v>
      </c>
      <c r="E149" s="56" t="s">
        <v>834</v>
      </c>
      <c r="F149" s="37" t="s">
        <v>782</v>
      </c>
      <c r="G149" s="37" t="s">
        <v>1900</v>
      </c>
      <c r="H149" s="37">
        <v>52.5</v>
      </c>
      <c r="I149" s="37">
        <v>0</v>
      </c>
      <c r="J149" s="38">
        <v>113037.29</v>
      </c>
      <c r="K149" s="37" t="s">
        <v>615</v>
      </c>
      <c r="O149" s="37">
        <v>0</v>
      </c>
      <c r="P149" s="37">
        <v>0</v>
      </c>
      <c r="Q149" s="37">
        <v>0</v>
      </c>
      <c r="R149" s="37">
        <v>0</v>
      </c>
      <c r="S149" s="37" t="s">
        <v>2099</v>
      </c>
      <c r="T149" s="37">
        <v>1510</v>
      </c>
    </row>
    <row r="150" spans="1:20">
      <c r="A150" s="54">
        <v>45363</v>
      </c>
      <c r="B150" s="37" t="s">
        <v>2100</v>
      </c>
      <c r="C150" s="37" t="s">
        <v>712</v>
      </c>
      <c r="D150" s="37" t="s">
        <v>592</v>
      </c>
      <c r="E150" s="56" t="s">
        <v>834</v>
      </c>
      <c r="F150" s="37" t="s">
        <v>782</v>
      </c>
      <c r="G150" s="37" t="s">
        <v>1900</v>
      </c>
      <c r="H150" s="37">
        <v>114</v>
      </c>
      <c r="I150" s="37">
        <v>0</v>
      </c>
      <c r="J150" s="38">
        <v>113151.29</v>
      </c>
      <c r="K150" s="37" t="s">
        <v>615</v>
      </c>
      <c r="O150" s="37">
        <v>0</v>
      </c>
      <c r="P150" s="37">
        <v>0</v>
      </c>
      <c r="Q150" s="37">
        <v>0</v>
      </c>
      <c r="R150" s="37">
        <v>0</v>
      </c>
      <c r="S150" s="37" t="s">
        <v>2101</v>
      </c>
      <c r="T150" s="37">
        <v>1511</v>
      </c>
    </row>
    <row r="151" spans="1:20">
      <c r="A151" s="54">
        <v>45364</v>
      </c>
      <c r="B151" s="37" t="s">
        <v>2110</v>
      </c>
      <c r="C151" s="37" t="s">
        <v>712</v>
      </c>
      <c r="D151" s="37" t="s">
        <v>592</v>
      </c>
      <c r="E151" s="56" t="s">
        <v>834</v>
      </c>
      <c r="F151" s="37" t="s">
        <v>616</v>
      </c>
      <c r="G151" s="37" t="s">
        <v>2111</v>
      </c>
      <c r="H151" s="38">
        <v>2360.85</v>
      </c>
      <c r="I151" s="37">
        <v>0</v>
      </c>
      <c r="J151" s="38">
        <v>115672.64</v>
      </c>
      <c r="K151" s="37" t="s">
        <v>615</v>
      </c>
      <c r="O151" s="37">
        <v>0</v>
      </c>
      <c r="P151" s="37">
        <v>0</v>
      </c>
      <c r="Q151" s="37">
        <v>0</v>
      </c>
      <c r="R151" s="37">
        <v>0</v>
      </c>
      <c r="T151" s="37">
        <v>1532</v>
      </c>
    </row>
    <row r="152" spans="1:20">
      <c r="A152" s="54">
        <v>45364</v>
      </c>
      <c r="B152" s="37" t="s">
        <v>2104</v>
      </c>
      <c r="C152" s="37" t="s">
        <v>712</v>
      </c>
      <c r="D152" s="37" t="s">
        <v>592</v>
      </c>
      <c r="E152" s="56" t="s">
        <v>834</v>
      </c>
      <c r="F152" s="37" t="s">
        <v>782</v>
      </c>
      <c r="G152" s="37" t="s">
        <v>1883</v>
      </c>
      <c r="H152" s="37">
        <v>52.5</v>
      </c>
      <c r="I152" s="37">
        <v>0</v>
      </c>
      <c r="J152" s="38">
        <v>113256.29</v>
      </c>
      <c r="K152" s="37" t="s">
        <v>615</v>
      </c>
      <c r="O152" s="37">
        <v>0</v>
      </c>
      <c r="P152" s="37">
        <v>0</v>
      </c>
      <c r="Q152" s="37">
        <v>0</v>
      </c>
      <c r="R152" s="37">
        <v>0</v>
      </c>
      <c r="S152" s="37" t="s">
        <v>2105</v>
      </c>
      <c r="T152" s="37">
        <v>1528</v>
      </c>
    </row>
    <row r="153" spans="1:20">
      <c r="A153" s="54">
        <v>45364</v>
      </c>
      <c r="B153" s="37" t="s">
        <v>2102</v>
      </c>
      <c r="C153" s="37" t="s">
        <v>712</v>
      </c>
      <c r="D153" s="37" t="s">
        <v>592</v>
      </c>
      <c r="E153" s="56" t="s">
        <v>834</v>
      </c>
      <c r="F153" s="37" t="s">
        <v>782</v>
      </c>
      <c r="G153" s="37" t="s">
        <v>1900</v>
      </c>
      <c r="H153" s="37">
        <v>52.5</v>
      </c>
      <c r="I153" s="37">
        <v>0</v>
      </c>
      <c r="J153" s="38">
        <v>113203.79</v>
      </c>
      <c r="K153" s="37" t="s">
        <v>615</v>
      </c>
      <c r="O153" s="37">
        <v>0</v>
      </c>
      <c r="P153" s="37">
        <v>0</v>
      </c>
      <c r="Q153" s="37">
        <v>0</v>
      </c>
      <c r="R153" s="37">
        <v>0</v>
      </c>
      <c r="S153" s="37" t="s">
        <v>2103</v>
      </c>
      <c r="T153" s="37">
        <v>1527</v>
      </c>
    </row>
    <row r="154" spans="1:20">
      <c r="A154" s="54">
        <v>45364</v>
      </c>
      <c r="B154" s="37" t="s">
        <v>2106</v>
      </c>
      <c r="C154" s="37" t="s">
        <v>712</v>
      </c>
      <c r="D154" s="37" t="s">
        <v>592</v>
      </c>
      <c r="E154" s="56" t="s">
        <v>834</v>
      </c>
      <c r="F154" s="37" t="s">
        <v>782</v>
      </c>
      <c r="G154" s="37" t="s">
        <v>1900</v>
      </c>
      <c r="H154" s="37">
        <v>3</v>
      </c>
      <c r="I154" s="37">
        <v>0</v>
      </c>
      <c r="J154" s="38">
        <v>113259.29</v>
      </c>
      <c r="K154" s="37" t="s">
        <v>615</v>
      </c>
      <c r="O154" s="37">
        <v>0</v>
      </c>
      <c r="P154" s="37">
        <v>0</v>
      </c>
      <c r="Q154" s="37">
        <v>0</v>
      </c>
      <c r="R154" s="37">
        <v>0</v>
      </c>
      <c r="S154" s="37" t="s">
        <v>2107</v>
      </c>
      <c r="T154" s="37">
        <v>1529</v>
      </c>
    </row>
    <row r="155" spans="1:20">
      <c r="A155" s="54">
        <v>45364</v>
      </c>
      <c r="B155" s="37" t="s">
        <v>2108</v>
      </c>
      <c r="C155" s="37" t="s">
        <v>712</v>
      </c>
      <c r="D155" s="37" t="s">
        <v>592</v>
      </c>
      <c r="E155" s="56" t="s">
        <v>834</v>
      </c>
      <c r="F155" s="37" t="s">
        <v>782</v>
      </c>
      <c r="G155" s="37" t="s">
        <v>1900</v>
      </c>
      <c r="H155" s="37">
        <v>52.5</v>
      </c>
      <c r="I155" s="37">
        <v>0</v>
      </c>
      <c r="J155" s="38">
        <v>113311.79</v>
      </c>
      <c r="K155" s="37" t="s">
        <v>615</v>
      </c>
      <c r="O155" s="37">
        <v>0</v>
      </c>
      <c r="P155" s="37">
        <v>0</v>
      </c>
      <c r="Q155" s="37">
        <v>0</v>
      </c>
      <c r="R155" s="37">
        <v>0</v>
      </c>
      <c r="S155" s="37" t="s">
        <v>2109</v>
      </c>
      <c r="T155" s="37">
        <v>1530</v>
      </c>
    </row>
    <row r="156" spans="1:20">
      <c r="A156" s="54">
        <v>45365</v>
      </c>
      <c r="B156" s="37" t="s">
        <v>2114</v>
      </c>
      <c r="C156" s="37" t="s">
        <v>712</v>
      </c>
      <c r="D156" s="37" t="s">
        <v>592</v>
      </c>
      <c r="E156" s="56" t="s">
        <v>834</v>
      </c>
      <c r="F156" s="37" t="s">
        <v>782</v>
      </c>
      <c r="G156" s="37" t="s">
        <v>1883</v>
      </c>
      <c r="H156" s="37">
        <v>52.5</v>
      </c>
      <c r="I156" s="37">
        <v>0</v>
      </c>
      <c r="J156" s="38">
        <v>115777.64</v>
      </c>
      <c r="K156" s="37" t="s">
        <v>615</v>
      </c>
      <c r="O156" s="37">
        <v>0</v>
      </c>
      <c r="P156" s="37">
        <v>0</v>
      </c>
      <c r="Q156" s="37">
        <v>0</v>
      </c>
      <c r="R156" s="37">
        <v>0</v>
      </c>
      <c r="S156" s="37" t="s">
        <v>2115</v>
      </c>
      <c r="T156" s="37">
        <v>1552</v>
      </c>
    </row>
    <row r="157" spans="1:20">
      <c r="A157" s="54">
        <v>45365</v>
      </c>
      <c r="B157" s="37" t="s">
        <v>2112</v>
      </c>
      <c r="C157" s="37" t="s">
        <v>712</v>
      </c>
      <c r="D157" s="37" t="s">
        <v>592</v>
      </c>
      <c r="E157" s="56" t="s">
        <v>834</v>
      </c>
      <c r="F157" s="37" t="s">
        <v>782</v>
      </c>
      <c r="G157" s="37" t="s">
        <v>1900</v>
      </c>
      <c r="H157" s="37">
        <v>52.5</v>
      </c>
      <c r="I157" s="37">
        <v>0</v>
      </c>
      <c r="J157" s="38">
        <v>115725.14</v>
      </c>
      <c r="K157" s="37" t="s">
        <v>615</v>
      </c>
      <c r="O157" s="37">
        <v>0</v>
      </c>
      <c r="P157" s="37">
        <v>0</v>
      </c>
      <c r="Q157" s="37">
        <v>0</v>
      </c>
      <c r="R157" s="37">
        <v>0</v>
      </c>
      <c r="S157" s="37" t="s">
        <v>2113</v>
      </c>
      <c r="T157" s="37">
        <v>1551</v>
      </c>
    </row>
    <row r="158" spans="1:20">
      <c r="A158" s="54">
        <v>45365</v>
      </c>
      <c r="B158" s="37" t="s">
        <v>2116</v>
      </c>
      <c r="C158" s="37" t="s">
        <v>765</v>
      </c>
      <c r="D158" s="37" t="s">
        <v>766</v>
      </c>
      <c r="E158" s="56" t="s">
        <v>800</v>
      </c>
      <c r="F158" s="37" t="s">
        <v>616</v>
      </c>
      <c r="G158" s="37" t="s">
        <v>2117</v>
      </c>
      <c r="H158" s="37">
        <v>1</v>
      </c>
      <c r="I158" s="37">
        <v>0</v>
      </c>
      <c r="J158" s="38">
        <v>115778.64</v>
      </c>
      <c r="K158" s="37" t="s">
        <v>615</v>
      </c>
      <c r="O158" s="37">
        <v>0</v>
      </c>
      <c r="P158" s="37">
        <v>0</v>
      </c>
      <c r="Q158" s="37">
        <v>0</v>
      </c>
      <c r="R158" s="37">
        <v>0</v>
      </c>
      <c r="T158" s="37">
        <v>1558</v>
      </c>
    </row>
    <row r="159" spans="1:20">
      <c r="A159" s="54">
        <v>45367</v>
      </c>
      <c r="B159" s="37" t="s">
        <v>2118</v>
      </c>
      <c r="C159" s="37" t="s">
        <v>712</v>
      </c>
      <c r="D159" s="37" t="s">
        <v>592</v>
      </c>
      <c r="E159" s="56" t="s">
        <v>834</v>
      </c>
      <c r="F159" s="37" t="s">
        <v>782</v>
      </c>
      <c r="G159" s="37" t="s">
        <v>1900</v>
      </c>
      <c r="H159" s="37">
        <v>52.5</v>
      </c>
      <c r="I159" s="37">
        <v>0</v>
      </c>
      <c r="J159" s="38">
        <v>115831.14</v>
      </c>
      <c r="K159" s="37" t="s">
        <v>615</v>
      </c>
      <c r="O159" s="37">
        <v>0</v>
      </c>
      <c r="P159" s="37">
        <v>0</v>
      </c>
      <c r="Q159" s="37">
        <v>0</v>
      </c>
      <c r="R159" s="37">
        <v>0</v>
      </c>
      <c r="S159" s="37" t="s">
        <v>2118</v>
      </c>
      <c r="T159" s="37">
        <v>1584</v>
      </c>
    </row>
    <row r="160" spans="1:20">
      <c r="A160" s="54">
        <v>45369</v>
      </c>
      <c r="B160" s="37" t="s">
        <v>2119</v>
      </c>
      <c r="C160" s="37" t="s">
        <v>712</v>
      </c>
      <c r="D160" s="37" t="s">
        <v>592</v>
      </c>
      <c r="E160" s="56" t="s">
        <v>834</v>
      </c>
      <c r="F160" s="37" t="s">
        <v>782</v>
      </c>
      <c r="G160" s="37" t="s">
        <v>1900</v>
      </c>
      <c r="H160" s="37">
        <v>52.5</v>
      </c>
      <c r="I160" s="37">
        <v>0</v>
      </c>
      <c r="J160" s="38">
        <v>115883.64</v>
      </c>
      <c r="K160" s="37" t="s">
        <v>615</v>
      </c>
      <c r="O160" s="37">
        <v>0</v>
      </c>
      <c r="P160" s="37">
        <v>0</v>
      </c>
      <c r="Q160" s="37">
        <v>0</v>
      </c>
      <c r="R160" s="37">
        <v>0</v>
      </c>
      <c r="S160" s="37" t="s">
        <v>2120</v>
      </c>
      <c r="T160" s="37">
        <v>1608</v>
      </c>
    </row>
    <row r="161" spans="1:20">
      <c r="A161" s="54">
        <v>45370</v>
      </c>
      <c r="B161" s="37" t="s">
        <v>2121</v>
      </c>
      <c r="C161" s="37" t="s">
        <v>765</v>
      </c>
      <c r="D161" s="37" t="s">
        <v>766</v>
      </c>
      <c r="E161" s="56" t="s">
        <v>800</v>
      </c>
      <c r="F161" s="37" t="s">
        <v>616</v>
      </c>
      <c r="G161" s="37" t="s">
        <v>2122</v>
      </c>
      <c r="H161" s="37">
        <v>1</v>
      </c>
      <c r="I161" s="37">
        <v>0</v>
      </c>
      <c r="J161" s="38">
        <v>115884.64</v>
      </c>
      <c r="K161" s="37" t="s">
        <v>615</v>
      </c>
      <c r="O161" s="37">
        <v>0</v>
      </c>
      <c r="P161" s="37">
        <v>0</v>
      </c>
      <c r="Q161" s="37">
        <v>0</v>
      </c>
      <c r="R161" s="37">
        <v>0</v>
      </c>
      <c r="T161" s="37">
        <v>1628</v>
      </c>
    </row>
    <row r="162" spans="1:20">
      <c r="A162" s="54">
        <v>45371</v>
      </c>
      <c r="B162" s="37" t="s">
        <v>2125</v>
      </c>
      <c r="C162" s="37" t="s">
        <v>712</v>
      </c>
      <c r="D162" s="37" t="s">
        <v>592</v>
      </c>
      <c r="E162" s="56" t="s">
        <v>834</v>
      </c>
      <c r="F162" s="37" t="s">
        <v>616</v>
      </c>
      <c r="G162" s="37" t="s">
        <v>2126</v>
      </c>
      <c r="H162" s="38">
        <v>5586.05</v>
      </c>
      <c r="I162" s="37">
        <v>0</v>
      </c>
      <c r="J162" s="38">
        <v>121523.19</v>
      </c>
      <c r="K162" s="37" t="s">
        <v>615</v>
      </c>
      <c r="O162" s="37">
        <v>0</v>
      </c>
      <c r="P162" s="37">
        <v>0</v>
      </c>
      <c r="Q162" s="37">
        <v>0</v>
      </c>
      <c r="R162" s="37">
        <v>0</v>
      </c>
      <c r="T162" s="37">
        <v>1643</v>
      </c>
    </row>
    <row r="163" spans="1:20">
      <c r="A163" s="54">
        <v>45371</v>
      </c>
      <c r="B163" s="37" t="s">
        <v>2123</v>
      </c>
      <c r="C163" s="37" t="s">
        <v>712</v>
      </c>
      <c r="D163" s="37" t="s">
        <v>592</v>
      </c>
      <c r="E163" s="56" t="s">
        <v>834</v>
      </c>
      <c r="F163" s="37" t="s">
        <v>782</v>
      </c>
      <c r="G163" s="37" t="s">
        <v>1900</v>
      </c>
      <c r="H163" s="37">
        <v>52.5</v>
      </c>
      <c r="I163" s="37">
        <v>0</v>
      </c>
      <c r="J163" s="38">
        <v>115937.14</v>
      </c>
      <c r="K163" s="37" t="s">
        <v>615</v>
      </c>
      <c r="O163" s="37">
        <v>0</v>
      </c>
      <c r="P163" s="37">
        <v>0</v>
      </c>
      <c r="Q163" s="37">
        <v>0</v>
      </c>
      <c r="R163" s="37">
        <v>0</v>
      </c>
      <c r="S163" s="37" t="s">
        <v>2124</v>
      </c>
      <c r="T163" s="37">
        <v>1641</v>
      </c>
    </row>
    <row r="164" spans="1:20">
      <c r="A164" s="54">
        <v>45374</v>
      </c>
      <c r="B164" s="37" t="s">
        <v>2127</v>
      </c>
      <c r="C164" s="37" t="s">
        <v>712</v>
      </c>
      <c r="D164" s="37" t="s">
        <v>592</v>
      </c>
      <c r="E164" s="56" t="s">
        <v>834</v>
      </c>
      <c r="F164" s="37" t="s">
        <v>782</v>
      </c>
      <c r="G164" s="37" t="s">
        <v>1929</v>
      </c>
      <c r="H164" s="37">
        <v>52.5</v>
      </c>
      <c r="I164" s="37">
        <v>0</v>
      </c>
      <c r="J164" s="38">
        <v>121575.69</v>
      </c>
      <c r="K164" s="37" t="s">
        <v>615</v>
      </c>
      <c r="O164" s="37">
        <v>0</v>
      </c>
      <c r="P164" s="37">
        <v>0</v>
      </c>
      <c r="Q164" s="37">
        <v>0</v>
      </c>
      <c r="R164" s="37">
        <v>0</v>
      </c>
      <c r="S164" s="37" t="s">
        <v>2127</v>
      </c>
      <c r="T164" s="37">
        <v>1693</v>
      </c>
    </row>
    <row r="165" spans="1:20">
      <c r="A165" s="54">
        <v>45376</v>
      </c>
      <c r="B165" s="37" t="s">
        <v>2128</v>
      </c>
      <c r="C165" s="37" t="s">
        <v>765</v>
      </c>
      <c r="D165" s="37" t="s">
        <v>766</v>
      </c>
      <c r="E165" s="56" t="s">
        <v>800</v>
      </c>
      <c r="F165" s="37" t="s">
        <v>616</v>
      </c>
      <c r="G165" s="37" t="s">
        <v>2129</v>
      </c>
      <c r="H165" s="37">
        <v>0.48</v>
      </c>
      <c r="I165" s="37">
        <v>0</v>
      </c>
      <c r="J165" s="38">
        <v>121576.17</v>
      </c>
      <c r="K165" s="37" t="s">
        <v>615</v>
      </c>
      <c r="O165" s="37">
        <v>0</v>
      </c>
      <c r="P165" s="37">
        <v>0</v>
      </c>
      <c r="Q165" s="37">
        <v>0</v>
      </c>
      <c r="R165" s="37">
        <v>0</v>
      </c>
      <c r="T165" s="37">
        <v>1701</v>
      </c>
    </row>
    <row r="166" spans="1:20">
      <c r="A166" s="54">
        <v>45377</v>
      </c>
      <c r="B166" s="37" t="s">
        <v>2130</v>
      </c>
      <c r="C166" s="37" t="s">
        <v>1534</v>
      </c>
      <c r="D166" s="37" t="s">
        <v>1535</v>
      </c>
      <c r="E166" s="56" t="s">
        <v>800</v>
      </c>
      <c r="F166" s="37" t="s">
        <v>782</v>
      </c>
      <c r="G166" s="37" t="s">
        <v>2131</v>
      </c>
      <c r="H166" s="37">
        <v>46.77</v>
      </c>
      <c r="I166" s="37">
        <v>0</v>
      </c>
      <c r="J166" s="38">
        <v>121622.94</v>
      </c>
      <c r="K166" s="37" t="s">
        <v>615</v>
      </c>
      <c r="O166" s="37">
        <v>0</v>
      </c>
      <c r="P166" s="37">
        <v>0</v>
      </c>
      <c r="Q166" s="37">
        <v>0</v>
      </c>
      <c r="R166" s="37">
        <v>0</v>
      </c>
      <c r="S166" s="37" t="s">
        <v>2132</v>
      </c>
      <c r="T166" s="37">
        <v>1719</v>
      </c>
    </row>
    <row r="167" spans="1:20">
      <c r="A167" s="54">
        <v>45378</v>
      </c>
      <c r="B167" s="37" t="s">
        <v>2136</v>
      </c>
      <c r="C167" s="37" t="s">
        <v>712</v>
      </c>
      <c r="D167" s="37" t="s">
        <v>592</v>
      </c>
      <c r="E167" s="56" t="s">
        <v>834</v>
      </c>
      <c r="F167" s="37" t="s">
        <v>616</v>
      </c>
      <c r="G167" s="37" t="s">
        <v>2137</v>
      </c>
      <c r="H167" s="38">
        <v>1363.81</v>
      </c>
      <c r="I167" s="37">
        <v>0</v>
      </c>
      <c r="J167" s="38">
        <v>123091.75</v>
      </c>
      <c r="K167" s="37" t="s">
        <v>615</v>
      </c>
      <c r="O167" s="37">
        <v>0</v>
      </c>
      <c r="P167" s="37">
        <v>0</v>
      </c>
      <c r="Q167" s="37">
        <v>0</v>
      </c>
      <c r="R167" s="37">
        <v>0</v>
      </c>
      <c r="T167" s="37">
        <v>1752</v>
      </c>
    </row>
    <row r="168" spans="1:20">
      <c r="A168" s="54">
        <v>45378</v>
      </c>
      <c r="B168" s="37" t="s">
        <v>2134</v>
      </c>
      <c r="C168" s="37" t="s">
        <v>712</v>
      </c>
      <c r="D168" s="37" t="s">
        <v>592</v>
      </c>
      <c r="E168" s="56" t="s">
        <v>834</v>
      </c>
      <c r="F168" s="37" t="s">
        <v>782</v>
      </c>
      <c r="G168" s="37" t="s">
        <v>1898</v>
      </c>
      <c r="H168" s="37">
        <v>52.5</v>
      </c>
      <c r="I168" s="37">
        <v>0</v>
      </c>
      <c r="J168" s="38">
        <v>121727.94</v>
      </c>
      <c r="K168" s="37" t="s">
        <v>615</v>
      </c>
      <c r="O168" s="37">
        <v>0</v>
      </c>
      <c r="P168" s="37">
        <v>0</v>
      </c>
      <c r="Q168" s="37">
        <v>0</v>
      </c>
      <c r="R168" s="37">
        <v>0</v>
      </c>
      <c r="S168" s="37" t="s">
        <v>2135</v>
      </c>
      <c r="T168" s="37">
        <v>1742</v>
      </c>
    </row>
    <row r="169" spans="1:20">
      <c r="A169" s="54">
        <v>45378</v>
      </c>
      <c r="B169" s="37" t="s">
        <v>2133</v>
      </c>
      <c r="C169" s="37" t="s">
        <v>712</v>
      </c>
      <c r="D169" s="37" t="s">
        <v>592</v>
      </c>
      <c r="E169" s="56" t="s">
        <v>834</v>
      </c>
      <c r="F169" s="37" t="s">
        <v>782</v>
      </c>
      <c r="G169" s="37" t="s">
        <v>1900</v>
      </c>
      <c r="H169" s="37">
        <v>52.5</v>
      </c>
      <c r="I169" s="37">
        <v>0</v>
      </c>
      <c r="J169" s="38">
        <v>121675.44</v>
      </c>
      <c r="K169" s="37" t="s">
        <v>615</v>
      </c>
      <c r="O169" s="37">
        <v>0</v>
      </c>
      <c r="P169" s="37">
        <v>0</v>
      </c>
      <c r="Q169" s="37">
        <v>0</v>
      </c>
      <c r="R169" s="37">
        <v>0</v>
      </c>
      <c r="S169" s="37" t="s">
        <v>1289</v>
      </c>
      <c r="T169" s="37">
        <v>1741</v>
      </c>
    </row>
    <row r="170" spans="1:20">
      <c r="A170" s="54">
        <v>45379</v>
      </c>
      <c r="B170" s="37" t="s">
        <v>2138</v>
      </c>
      <c r="C170" s="37" t="s">
        <v>1534</v>
      </c>
      <c r="D170" s="37" t="s">
        <v>1535</v>
      </c>
      <c r="E170" s="56" t="s">
        <v>800</v>
      </c>
      <c r="F170" s="37" t="s">
        <v>782</v>
      </c>
      <c r="G170" s="37" t="s">
        <v>2139</v>
      </c>
      <c r="H170" s="37">
        <v>324.38</v>
      </c>
      <c r="I170" s="37">
        <v>0</v>
      </c>
      <c r="J170" s="38">
        <v>123416.13</v>
      </c>
      <c r="K170" s="37" t="s">
        <v>615</v>
      </c>
      <c r="O170" s="37">
        <v>0</v>
      </c>
      <c r="P170" s="37">
        <v>0</v>
      </c>
      <c r="Q170" s="37">
        <v>0</v>
      </c>
      <c r="R170" s="37">
        <v>0</v>
      </c>
      <c r="S170" s="37" t="s">
        <v>2140</v>
      </c>
      <c r="T170" s="37">
        <v>1756</v>
      </c>
    </row>
    <row r="171" spans="1:20">
      <c r="A171" s="54">
        <v>45379</v>
      </c>
      <c r="B171" s="37" t="s">
        <v>2141</v>
      </c>
      <c r="C171" s="37" t="s">
        <v>1534</v>
      </c>
      <c r="D171" s="37" t="s">
        <v>1535</v>
      </c>
      <c r="E171" s="56" t="s">
        <v>800</v>
      </c>
      <c r="F171" s="37" t="s">
        <v>782</v>
      </c>
      <c r="G171" s="37" t="s">
        <v>2142</v>
      </c>
      <c r="H171" s="37">
        <v>60.55</v>
      </c>
      <c r="I171" s="37">
        <v>0</v>
      </c>
      <c r="J171" s="38">
        <v>123476.68</v>
      </c>
      <c r="K171" s="37" t="s">
        <v>615</v>
      </c>
      <c r="O171" s="37">
        <v>0</v>
      </c>
      <c r="P171" s="37">
        <v>0</v>
      </c>
      <c r="Q171" s="37">
        <v>0</v>
      </c>
      <c r="R171" s="37">
        <v>0</v>
      </c>
      <c r="S171" s="37" t="s">
        <v>2143</v>
      </c>
      <c r="T171" s="37">
        <v>1759</v>
      </c>
    </row>
    <row r="172" spans="1:20">
      <c r="A172" s="54">
        <v>45379</v>
      </c>
      <c r="B172" s="37" t="s">
        <v>2144</v>
      </c>
      <c r="C172" s="37" t="s">
        <v>1534</v>
      </c>
      <c r="D172" s="37" t="s">
        <v>1535</v>
      </c>
      <c r="E172" s="56" t="s">
        <v>800</v>
      </c>
      <c r="F172" s="37" t="s">
        <v>782</v>
      </c>
      <c r="G172" s="37" t="s">
        <v>2145</v>
      </c>
      <c r="H172" s="37">
        <v>754.57</v>
      </c>
      <c r="I172" s="37">
        <v>0</v>
      </c>
      <c r="J172" s="38">
        <v>124231.25</v>
      </c>
      <c r="K172" s="37" t="s">
        <v>615</v>
      </c>
      <c r="O172" s="37">
        <v>0</v>
      </c>
      <c r="P172" s="37">
        <v>0</v>
      </c>
      <c r="Q172" s="37">
        <v>0</v>
      </c>
      <c r="R172" s="37">
        <v>0</v>
      </c>
      <c r="S172" s="37" t="s">
        <v>2146</v>
      </c>
      <c r="T172" s="37">
        <v>1760</v>
      </c>
    </row>
    <row r="173" spans="1:20">
      <c r="A173" s="54">
        <v>45380</v>
      </c>
      <c r="B173" s="37" t="s">
        <v>2147</v>
      </c>
      <c r="C173" s="37" t="s">
        <v>712</v>
      </c>
      <c r="D173" s="37" t="s">
        <v>592</v>
      </c>
      <c r="E173" s="56" t="s">
        <v>834</v>
      </c>
      <c r="F173" s="37" t="s">
        <v>782</v>
      </c>
      <c r="G173" s="37" t="s">
        <v>1900</v>
      </c>
      <c r="H173" s="37">
        <v>52.5</v>
      </c>
      <c r="I173" s="37">
        <v>0</v>
      </c>
      <c r="J173" s="38">
        <v>124283.75</v>
      </c>
      <c r="K173" s="37" t="s">
        <v>615</v>
      </c>
      <c r="O173" s="37">
        <v>0</v>
      </c>
      <c r="P173" s="37">
        <v>0</v>
      </c>
      <c r="Q173" s="37">
        <v>0</v>
      </c>
      <c r="R173" s="37">
        <v>0</v>
      </c>
      <c r="S173" s="37" t="s">
        <v>2148</v>
      </c>
      <c r="T173" s="37">
        <v>1797</v>
      </c>
    </row>
    <row r="174" spans="1:20">
      <c r="A174" s="54">
        <v>45381</v>
      </c>
      <c r="B174" s="37" t="s">
        <v>2151</v>
      </c>
      <c r="C174" s="37" t="s">
        <v>712</v>
      </c>
      <c r="D174" s="37" t="s">
        <v>592</v>
      </c>
      <c r="E174" s="56" t="s">
        <v>834</v>
      </c>
      <c r="F174" s="37" t="s">
        <v>782</v>
      </c>
      <c r="G174" s="37" t="s">
        <v>1929</v>
      </c>
      <c r="H174" s="37">
        <v>52.5</v>
      </c>
      <c r="I174" s="37">
        <v>0</v>
      </c>
      <c r="J174" s="38">
        <v>124388.75</v>
      </c>
      <c r="K174" s="37" t="s">
        <v>615</v>
      </c>
      <c r="O174" s="37">
        <v>0</v>
      </c>
      <c r="P174" s="37">
        <v>0</v>
      </c>
      <c r="Q174" s="37">
        <v>0</v>
      </c>
      <c r="R174" s="37">
        <v>0</v>
      </c>
      <c r="S174" s="37" t="s">
        <v>2152</v>
      </c>
      <c r="T174" s="37">
        <v>1814</v>
      </c>
    </row>
    <row r="175" spans="1:20">
      <c r="A175" s="54">
        <v>45381</v>
      </c>
      <c r="B175" s="37" t="s">
        <v>2149</v>
      </c>
      <c r="C175" s="37" t="s">
        <v>712</v>
      </c>
      <c r="D175" s="37" t="s">
        <v>592</v>
      </c>
      <c r="E175" s="56" t="s">
        <v>834</v>
      </c>
      <c r="F175" s="37" t="s">
        <v>782</v>
      </c>
      <c r="G175" s="37" t="s">
        <v>1900</v>
      </c>
      <c r="H175" s="37">
        <v>52.5</v>
      </c>
      <c r="I175" s="37">
        <v>0</v>
      </c>
      <c r="J175" s="38">
        <v>124336.25</v>
      </c>
      <c r="K175" s="37" t="s">
        <v>615</v>
      </c>
      <c r="O175" s="37">
        <v>0</v>
      </c>
      <c r="P175" s="37">
        <v>0</v>
      </c>
      <c r="Q175" s="37">
        <v>0</v>
      </c>
      <c r="R175" s="37">
        <v>0</v>
      </c>
      <c r="S175" s="37" t="s">
        <v>2150</v>
      </c>
      <c r="T175" s="37">
        <v>1813</v>
      </c>
    </row>
    <row r="176" spans="1:20">
      <c r="A176" s="54">
        <v>45382</v>
      </c>
      <c r="B176" s="37" t="s">
        <v>2153</v>
      </c>
      <c r="C176" s="37" t="s">
        <v>712</v>
      </c>
      <c r="D176" s="37" t="s">
        <v>592</v>
      </c>
      <c r="E176" s="56" t="s">
        <v>834</v>
      </c>
      <c r="F176" s="37" t="s">
        <v>616</v>
      </c>
      <c r="G176" s="37" t="s">
        <v>2154</v>
      </c>
      <c r="H176" s="38">
        <v>4792.99</v>
      </c>
      <c r="I176" s="37">
        <v>0</v>
      </c>
      <c r="J176" s="38">
        <v>129181.74</v>
      </c>
      <c r="K176" s="37" t="s">
        <v>615</v>
      </c>
      <c r="O176" s="37">
        <v>0</v>
      </c>
      <c r="P176" s="37">
        <v>0</v>
      </c>
      <c r="Q176" s="37">
        <v>0</v>
      </c>
      <c r="R176" s="37">
        <v>0</v>
      </c>
      <c r="T176" s="37">
        <v>1827</v>
      </c>
    </row>
    <row r="177" spans="1:20">
      <c r="A177" s="54">
        <v>45382</v>
      </c>
      <c r="B177" s="37" t="s">
        <v>2159</v>
      </c>
      <c r="C177" s="37" t="s">
        <v>712</v>
      </c>
      <c r="D177" s="37" t="s">
        <v>592</v>
      </c>
      <c r="E177" s="56" t="s">
        <v>835</v>
      </c>
      <c r="F177" s="37" t="s">
        <v>616</v>
      </c>
      <c r="G177" s="37" t="s">
        <v>2160</v>
      </c>
      <c r="H177" s="37">
        <v>427</v>
      </c>
      <c r="I177" s="37">
        <v>0</v>
      </c>
      <c r="J177" s="38">
        <v>153766.29999999999</v>
      </c>
      <c r="K177" s="37" t="s">
        <v>615</v>
      </c>
      <c r="O177" s="37">
        <v>0</v>
      </c>
      <c r="P177" s="37">
        <v>0</v>
      </c>
      <c r="Q177" s="37">
        <v>0</v>
      </c>
      <c r="R177" s="37">
        <v>0</v>
      </c>
      <c r="T177" s="37">
        <v>1855</v>
      </c>
    </row>
    <row r="178" spans="1:20">
      <c r="A178" s="54">
        <v>45382</v>
      </c>
      <c r="B178" s="37" t="s">
        <v>2155</v>
      </c>
      <c r="C178" s="37" t="s">
        <v>1536</v>
      </c>
      <c r="D178" s="37" t="s">
        <v>1975</v>
      </c>
      <c r="E178" s="56" t="s">
        <v>800</v>
      </c>
      <c r="F178" s="37" t="s">
        <v>792</v>
      </c>
      <c r="G178" s="37" t="s">
        <v>2156</v>
      </c>
      <c r="H178" s="38">
        <v>19647</v>
      </c>
      <c r="I178" s="37">
        <v>0</v>
      </c>
      <c r="J178" s="38">
        <v>148828.74</v>
      </c>
      <c r="K178" s="37" t="s">
        <v>615</v>
      </c>
      <c r="O178" s="37">
        <v>0</v>
      </c>
      <c r="P178" s="37">
        <v>0</v>
      </c>
      <c r="Q178" s="37">
        <v>0</v>
      </c>
      <c r="R178" s="37">
        <v>0</v>
      </c>
      <c r="T178" s="37">
        <v>1847</v>
      </c>
    </row>
    <row r="179" spans="1:20">
      <c r="A179" s="54">
        <v>45382</v>
      </c>
      <c r="B179" s="37" t="s">
        <v>2157</v>
      </c>
      <c r="C179" s="37" t="s">
        <v>1536</v>
      </c>
      <c r="D179" s="37" t="s">
        <v>1975</v>
      </c>
      <c r="E179" s="56" t="s">
        <v>800</v>
      </c>
      <c r="F179" s="37" t="s">
        <v>792</v>
      </c>
      <c r="G179" s="37" t="s">
        <v>2158</v>
      </c>
      <c r="H179" s="38">
        <v>4510.5600000000004</v>
      </c>
      <c r="I179" s="37">
        <v>0</v>
      </c>
      <c r="J179" s="38">
        <v>153339.29999999999</v>
      </c>
      <c r="K179" s="37" t="s">
        <v>615</v>
      </c>
      <c r="O179" s="37">
        <v>0</v>
      </c>
      <c r="P179" s="37">
        <v>0</v>
      </c>
      <c r="Q179" s="37">
        <v>0</v>
      </c>
      <c r="R179" s="37">
        <v>0</v>
      </c>
      <c r="T179" s="37">
        <v>1849</v>
      </c>
    </row>
    <row r="180" spans="1:20">
      <c r="A180" s="54">
        <v>45383</v>
      </c>
      <c r="B180" s="37" t="s">
        <v>2161</v>
      </c>
      <c r="C180" s="37" t="s">
        <v>712</v>
      </c>
      <c r="D180" s="37" t="s">
        <v>592</v>
      </c>
      <c r="E180" s="56" t="s">
        <v>834</v>
      </c>
      <c r="F180" s="37" t="s">
        <v>616</v>
      </c>
      <c r="G180" s="37" t="s">
        <v>2162</v>
      </c>
      <c r="H180" s="38">
        <v>3444</v>
      </c>
      <c r="I180" s="37">
        <v>0</v>
      </c>
      <c r="J180" s="38">
        <v>157210.29999999999</v>
      </c>
      <c r="K180" s="37" t="s">
        <v>615</v>
      </c>
      <c r="O180" s="37">
        <v>0</v>
      </c>
      <c r="P180" s="37">
        <v>0</v>
      </c>
      <c r="Q180" s="37">
        <v>0</v>
      </c>
      <c r="R180" s="37">
        <v>0</v>
      </c>
      <c r="T180" s="37">
        <v>0</v>
      </c>
    </row>
    <row r="181" spans="1:20">
      <c r="A181" s="54">
        <v>45383</v>
      </c>
      <c r="B181" s="37" t="s">
        <v>2163</v>
      </c>
      <c r="C181" s="37" t="s">
        <v>712</v>
      </c>
      <c r="D181" s="37" t="s">
        <v>592</v>
      </c>
      <c r="E181" s="56" t="s">
        <v>835</v>
      </c>
      <c r="F181" s="37" t="s">
        <v>616</v>
      </c>
      <c r="G181" s="37" t="s">
        <v>2164</v>
      </c>
      <c r="H181" s="37">
        <v>80.33</v>
      </c>
      <c r="I181" s="37">
        <v>0</v>
      </c>
      <c r="J181" s="38">
        <v>157290.63</v>
      </c>
      <c r="K181" s="37" t="s">
        <v>615</v>
      </c>
      <c r="O181" s="37">
        <v>0</v>
      </c>
      <c r="P181" s="37">
        <v>0</v>
      </c>
      <c r="Q181" s="37">
        <v>0</v>
      </c>
      <c r="R181" s="37">
        <v>0</v>
      </c>
      <c r="T181" s="37">
        <v>0</v>
      </c>
    </row>
    <row r="182" spans="1:20">
      <c r="A182" s="54">
        <v>45384</v>
      </c>
      <c r="B182" s="37" t="s">
        <v>2165</v>
      </c>
      <c r="C182" s="37" t="s">
        <v>712</v>
      </c>
      <c r="D182" s="37" t="s">
        <v>592</v>
      </c>
      <c r="E182" s="56" t="s">
        <v>834</v>
      </c>
      <c r="F182" s="37" t="s">
        <v>782</v>
      </c>
      <c r="G182" s="37" t="s">
        <v>1900</v>
      </c>
      <c r="H182" s="37">
        <v>52.5</v>
      </c>
      <c r="I182" s="37">
        <v>0</v>
      </c>
      <c r="J182" s="38">
        <v>157343.13</v>
      </c>
      <c r="K182" s="37" t="s">
        <v>615</v>
      </c>
      <c r="O182" s="37">
        <v>0</v>
      </c>
      <c r="P182" s="37">
        <v>0</v>
      </c>
      <c r="Q182" s="37">
        <v>0</v>
      </c>
      <c r="R182" s="37">
        <v>0</v>
      </c>
      <c r="S182" s="37" t="s">
        <v>1306</v>
      </c>
      <c r="T182" s="37">
        <v>0</v>
      </c>
    </row>
    <row r="183" spans="1:20">
      <c r="A183" s="54">
        <v>45384</v>
      </c>
      <c r="B183" s="37" t="s">
        <v>2166</v>
      </c>
      <c r="C183" s="37" t="s">
        <v>765</v>
      </c>
      <c r="D183" s="37" t="s">
        <v>766</v>
      </c>
      <c r="E183" s="56" t="s">
        <v>800</v>
      </c>
      <c r="F183" s="37" t="s">
        <v>616</v>
      </c>
      <c r="G183" s="37" t="s">
        <v>2167</v>
      </c>
      <c r="H183" s="37">
        <v>0.17</v>
      </c>
      <c r="I183" s="37">
        <v>0</v>
      </c>
      <c r="J183" s="38">
        <v>157343.29999999999</v>
      </c>
      <c r="K183" s="37" t="s">
        <v>615</v>
      </c>
      <c r="O183" s="37">
        <v>0</v>
      </c>
      <c r="P183" s="37">
        <v>0</v>
      </c>
      <c r="Q183" s="37">
        <v>0</v>
      </c>
      <c r="R183" s="37">
        <v>0</v>
      </c>
      <c r="T183" s="37">
        <v>0</v>
      </c>
    </row>
    <row r="184" spans="1:20">
      <c r="A184" s="54">
        <v>45385</v>
      </c>
      <c r="B184" s="37" t="s">
        <v>2168</v>
      </c>
      <c r="C184" s="37" t="s">
        <v>712</v>
      </c>
      <c r="D184" s="37" t="s">
        <v>592</v>
      </c>
      <c r="E184" s="56" t="s">
        <v>834</v>
      </c>
      <c r="F184" s="37" t="s">
        <v>782</v>
      </c>
      <c r="G184" s="37" t="s">
        <v>1883</v>
      </c>
      <c r="H184" s="37">
        <v>52.5</v>
      </c>
      <c r="I184" s="37">
        <v>0</v>
      </c>
      <c r="J184" s="38">
        <v>157395.79999999999</v>
      </c>
      <c r="K184" s="37" t="s">
        <v>615</v>
      </c>
      <c r="O184" s="37">
        <v>0</v>
      </c>
      <c r="P184" s="37">
        <v>0</v>
      </c>
      <c r="Q184" s="37">
        <v>0</v>
      </c>
      <c r="R184" s="37">
        <v>0</v>
      </c>
      <c r="S184" s="37" t="s">
        <v>2168</v>
      </c>
      <c r="T184" s="37">
        <v>0</v>
      </c>
    </row>
    <row r="185" spans="1:20">
      <c r="A185" s="54">
        <v>45386</v>
      </c>
      <c r="B185" s="37" t="s">
        <v>2169</v>
      </c>
      <c r="C185" s="37" t="s">
        <v>712</v>
      </c>
      <c r="D185" s="37" t="s">
        <v>592</v>
      </c>
      <c r="E185" s="56" t="s">
        <v>834</v>
      </c>
      <c r="F185" s="37" t="s">
        <v>782</v>
      </c>
      <c r="G185" s="37" t="s">
        <v>1900</v>
      </c>
      <c r="H185" s="37">
        <v>52.5</v>
      </c>
      <c r="I185" s="37">
        <v>0</v>
      </c>
      <c r="J185" s="38">
        <v>157448.29999999999</v>
      </c>
      <c r="K185" s="37" t="s">
        <v>615</v>
      </c>
      <c r="O185" s="37">
        <v>0</v>
      </c>
      <c r="P185" s="37">
        <v>0</v>
      </c>
      <c r="Q185" s="37">
        <v>0</v>
      </c>
      <c r="R185" s="37">
        <v>0</v>
      </c>
      <c r="S185" s="37" t="s">
        <v>2170</v>
      </c>
      <c r="T185" s="37">
        <v>0</v>
      </c>
    </row>
    <row r="186" spans="1:20">
      <c r="A186" s="54">
        <v>45387</v>
      </c>
      <c r="B186" s="37" t="s">
        <v>2171</v>
      </c>
      <c r="C186" s="37" t="s">
        <v>765</v>
      </c>
      <c r="D186" s="37" t="s">
        <v>766</v>
      </c>
      <c r="E186" s="56" t="s">
        <v>800</v>
      </c>
      <c r="F186" s="37" t="s">
        <v>616</v>
      </c>
      <c r="G186" s="37" t="s">
        <v>2172</v>
      </c>
      <c r="H186" s="37">
        <v>0.03</v>
      </c>
      <c r="I186" s="37">
        <v>0</v>
      </c>
      <c r="J186" s="38">
        <v>157448.32999999999</v>
      </c>
      <c r="K186" s="37" t="s">
        <v>615</v>
      </c>
      <c r="O186" s="37">
        <v>0</v>
      </c>
      <c r="P186" s="37">
        <v>0</v>
      </c>
      <c r="Q186" s="37">
        <v>0</v>
      </c>
      <c r="R186" s="37">
        <v>0</v>
      </c>
      <c r="T186" s="37">
        <v>0</v>
      </c>
    </row>
    <row r="187" spans="1:20">
      <c r="A187" s="54">
        <v>45390</v>
      </c>
      <c r="B187" s="37" t="s">
        <v>2173</v>
      </c>
      <c r="C187" s="37" t="s">
        <v>712</v>
      </c>
      <c r="D187" s="37" t="s">
        <v>592</v>
      </c>
      <c r="E187" s="56" t="s">
        <v>834</v>
      </c>
      <c r="F187" s="37" t="s">
        <v>782</v>
      </c>
      <c r="G187" s="37" t="s">
        <v>1908</v>
      </c>
      <c r="H187" s="37">
        <v>60</v>
      </c>
      <c r="I187" s="37">
        <v>0</v>
      </c>
      <c r="J187" s="38">
        <v>157508.32999999999</v>
      </c>
      <c r="K187" s="37" t="s">
        <v>615</v>
      </c>
      <c r="O187" s="37">
        <v>0</v>
      </c>
      <c r="P187" s="37">
        <v>0</v>
      </c>
      <c r="Q187" s="37">
        <v>0</v>
      </c>
      <c r="R187" s="37">
        <v>0</v>
      </c>
      <c r="S187" s="37" t="s">
        <v>2173</v>
      </c>
      <c r="T187" s="37">
        <v>0</v>
      </c>
    </row>
    <row r="188" spans="1:20">
      <c r="A188" s="54">
        <v>45392</v>
      </c>
      <c r="B188" s="37" t="s">
        <v>2176</v>
      </c>
      <c r="C188" s="37" t="s">
        <v>712</v>
      </c>
      <c r="D188" s="37" t="s">
        <v>592</v>
      </c>
      <c r="E188" s="56" t="s">
        <v>834</v>
      </c>
      <c r="F188" s="37" t="s">
        <v>616</v>
      </c>
      <c r="G188" s="37" t="s">
        <v>2177</v>
      </c>
      <c r="H188" s="38">
        <v>6417.99</v>
      </c>
      <c r="I188" s="37">
        <v>0</v>
      </c>
      <c r="J188" s="38">
        <v>164065.82</v>
      </c>
      <c r="K188" s="37" t="s">
        <v>615</v>
      </c>
      <c r="O188" s="37">
        <v>0</v>
      </c>
      <c r="P188" s="37">
        <v>0</v>
      </c>
      <c r="Q188" s="37">
        <v>0</v>
      </c>
      <c r="R188" s="37">
        <v>0</v>
      </c>
      <c r="T188" s="37">
        <v>0</v>
      </c>
    </row>
    <row r="189" spans="1:20">
      <c r="A189" s="54">
        <v>45392</v>
      </c>
      <c r="B189" s="37" t="s">
        <v>2174</v>
      </c>
      <c r="C189" s="37" t="s">
        <v>712</v>
      </c>
      <c r="D189" s="37" t="s">
        <v>592</v>
      </c>
      <c r="E189" s="56" t="s">
        <v>834</v>
      </c>
      <c r="F189" s="37" t="s">
        <v>782</v>
      </c>
      <c r="G189" s="37" t="s">
        <v>1900</v>
      </c>
      <c r="H189" s="37">
        <v>87</v>
      </c>
      <c r="I189" s="37">
        <v>0</v>
      </c>
      <c r="J189" s="38">
        <v>157595.32999999999</v>
      </c>
      <c r="K189" s="37" t="s">
        <v>615</v>
      </c>
      <c r="O189" s="37">
        <v>0</v>
      </c>
      <c r="P189" s="37">
        <v>0</v>
      </c>
      <c r="Q189" s="37">
        <v>0</v>
      </c>
      <c r="R189" s="37">
        <v>0</v>
      </c>
      <c r="S189" s="37" t="s">
        <v>2174</v>
      </c>
      <c r="T189" s="37">
        <v>0</v>
      </c>
    </row>
    <row r="190" spans="1:20">
      <c r="A190" s="54">
        <v>45392</v>
      </c>
      <c r="B190" s="37" t="s">
        <v>2175</v>
      </c>
      <c r="C190" s="37" t="s">
        <v>712</v>
      </c>
      <c r="D190" s="37" t="s">
        <v>592</v>
      </c>
      <c r="E190" s="56" t="s">
        <v>834</v>
      </c>
      <c r="F190" s="37" t="s">
        <v>782</v>
      </c>
      <c r="G190" s="37" t="s">
        <v>1900</v>
      </c>
      <c r="H190" s="37">
        <v>52.5</v>
      </c>
      <c r="I190" s="37">
        <v>0</v>
      </c>
      <c r="J190" s="38">
        <v>157647.82999999999</v>
      </c>
      <c r="K190" s="37" t="s">
        <v>615</v>
      </c>
      <c r="O190" s="37">
        <v>0</v>
      </c>
      <c r="P190" s="37">
        <v>0</v>
      </c>
      <c r="Q190" s="37">
        <v>0</v>
      </c>
      <c r="R190" s="37">
        <v>0</v>
      </c>
      <c r="S190" s="37" t="s">
        <v>2175</v>
      </c>
      <c r="T190" s="37">
        <v>0</v>
      </c>
    </row>
    <row r="191" spans="1:20">
      <c r="A191" s="54">
        <v>45393</v>
      </c>
      <c r="B191" s="37" t="s">
        <v>2178</v>
      </c>
      <c r="C191" s="37" t="s">
        <v>712</v>
      </c>
      <c r="D191" s="37" t="s">
        <v>592</v>
      </c>
      <c r="E191" s="56" t="s">
        <v>834</v>
      </c>
      <c r="F191" s="37" t="s">
        <v>782</v>
      </c>
      <c r="G191" s="37" t="s">
        <v>1900</v>
      </c>
      <c r="H191" s="37">
        <v>52.5</v>
      </c>
      <c r="I191" s="37">
        <v>0</v>
      </c>
      <c r="J191" s="38">
        <v>164118.32</v>
      </c>
      <c r="K191" s="37" t="s">
        <v>615</v>
      </c>
      <c r="O191" s="37">
        <v>0</v>
      </c>
      <c r="P191" s="37">
        <v>0</v>
      </c>
      <c r="Q191" s="37">
        <v>0</v>
      </c>
      <c r="R191" s="37">
        <v>0</v>
      </c>
      <c r="S191" s="37" t="s">
        <v>2178</v>
      </c>
      <c r="T191" s="37">
        <v>0</v>
      </c>
    </row>
    <row r="192" spans="1:20">
      <c r="A192" s="54">
        <v>45397</v>
      </c>
      <c r="B192" s="37" t="s">
        <v>2181</v>
      </c>
      <c r="C192" s="37" t="s">
        <v>712</v>
      </c>
      <c r="D192" s="37" t="s">
        <v>592</v>
      </c>
      <c r="E192" s="56" t="s">
        <v>834</v>
      </c>
      <c r="F192" s="37" t="s">
        <v>782</v>
      </c>
      <c r="G192" s="37" t="s">
        <v>1883</v>
      </c>
      <c r="H192" s="37">
        <v>52.5</v>
      </c>
      <c r="I192" s="37">
        <v>0</v>
      </c>
      <c r="J192" s="38">
        <v>164322.32</v>
      </c>
      <c r="K192" s="37" t="s">
        <v>615</v>
      </c>
      <c r="O192" s="37">
        <v>0</v>
      </c>
      <c r="P192" s="37">
        <v>0</v>
      </c>
      <c r="Q192" s="37">
        <v>0</v>
      </c>
      <c r="R192" s="37">
        <v>0</v>
      </c>
      <c r="S192" s="37" t="s">
        <v>2179</v>
      </c>
      <c r="T192" s="37">
        <v>0</v>
      </c>
    </row>
    <row r="193" spans="1:20">
      <c r="A193" s="54">
        <v>45397</v>
      </c>
      <c r="B193" s="37" t="s">
        <v>2179</v>
      </c>
      <c r="C193" s="37" t="s">
        <v>712</v>
      </c>
      <c r="D193" s="37" t="s">
        <v>592</v>
      </c>
      <c r="E193" s="56" t="s">
        <v>834</v>
      </c>
      <c r="F193" s="37" t="s">
        <v>782</v>
      </c>
      <c r="G193" s="37" t="s">
        <v>1900</v>
      </c>
      <c r="H193" s="37">
        <v>99</v>
      </c>
      <c r="I193" s="37">
        <v>0</v>
      </c>
      <c r="J193" s="38">
        <v>164217.32</v>
      </c>
      <c r="K193" s="37" t="s">
        <v>615</v>
      </c>
      <c r="O193" s="37">
        <v>0</v>
      </c>
      <c r="P193" s="37">
        <v>0</v>
      </c>
      <c r="Q193" s="37">
        <v>0</v>
      </c>
      <c r="R193" s="37">
        <v>0</v>
      </c>
      <c r="S193" s="37" t="s">
        <v>1290</v>
      </c>
      <c r="T193" s="37">
        <v>0</v>
      </c>
    </row>
    <row r="194" spans="1:20">
      <c r="A194" s="54">
        <v>45397</v>
      </c>
      <c r="B194" s="37" t="s">
        <v>2180</v>
      </c>
      <c r="C194" s="37" t="s">
        <v>712</v>
      </c>
      <c r="D194" s="37" t="s">
        <v>592</v>
      </c>
      <c r="E194" s="56" t="s">
        <v>834</v>
      </c>
      <c r="F194" s="37" t="s">
        <v>782</v>
      </c>
      <c r="G194" s="37" t="s">
        <v>1900</v>
      </c>
      <c r="H194" s="37">
        <v>52.5</v>
      </c>
      <c r="I194" s="37">
        <v>0</v>
      </c>
      <c r="J194" s="38">
        <v>164269.82</v>
      </c>
      <c r="K194" s="37" t="s">
        <v>615</v>
      </c>
      <c r="O194" s="37">
        <v>0</v>
      </c>
      <c r="P194" s="37">
        <v>0</v>
      </c>
      <c r="Q194" s="37">
        <v>0</v>
      </c>
      <c r="R194" s="37">
        <v>0</v>
      </c>
      <c r="S194" s="37" t="s">
        <v>1291</v>
      </c>
      <c r="T194" s="37">
        <v>0</v>
      </c>
    </row>
    <row r="195" spans="1:20">
      <c r="A195" s="54">
        <v>45397</v>
      </c>
      <c r="B195" s="37" t="s">
        <v>2182</v>
      </c>
      <c r="C195" s="37" t="s">
        <v>712</v>
      </c>
      <c r="D195" s="37" t="s">
        <v>592</v>
      </c>
      <c r="E195" s="56" t="s">
        <v>800</v>
      </c>
      <c r="F195" s="37" t="s">
        <v>616</v>
      </c>
      <c r="G195" s="37" t="s">
        <v>2183</v>
      </c>
      <c r="H195" s="37">
        <v>150</v>
      </c>
      <c r="I195" s="37">
        <v>0</v>
      </c>
      <c r="J195" s="38">
        <v>164472.32000000001</v>
      </c>
      <c r="K195" s="37" t="s">
        <v>615</v>
      </c>
      <c r="O195" s="37">
        <v>0</v>
      </c>
      <c r="P195" s="37">
        <v>0</v>
      </c>
      <c r="Q195" s="37">
        <v>0</v>
      </c>
      <c r="R195" s="37">
        <v>0</v>
      </c>
      <c r="T195" s="37">
        <v>0</v>
      </c>
    </row>
    <row r="196" spans="1:20">
      <c r="A196" s="54">
        <v>45397</v>
      </c>
      <c r="B196" s="37" t="s">
        <v>2182</v>
      </c>
      <c r="C196" s="37" t="s">
        <v>712</v>
      </c>
      <c r="D196" s="37" t="s">
        <v>592</v>
      </c>
      <c r="E196" s="56" t="s">
        <v>800</v>
      </c>
      <c r="F196" s="37" t="s">
        <v>616</v>
      </c>
      <c r="G196" s="37" t="s">
        <v>2183</v>
      </c>
      <c r="H196" s="37">
        <v>75</v>
      </c>
      <c r="I196" s="37">
        <v>0</v>
      </c>
      <c r="J196" s="38">
        <v>164547.32</v>
      </c>
      <c r="K196" s="37" t="s">
        <v>615</v>
      </c>
      <c r="O196" s="37">
        <v>0</v>
      </c>
      <c r="P196" s="37">
        <v>0</v>
      </c>
      <c r="Q196" s="37">
        <v>0</v>
      </c>
      <c r="R196" s="37">
        <v>0</v>
      </c>
      <c r="T196" s="37">
        <v>0</v>
      </c>
    </row>
    <row r="197" spans="1:20">
      <c r="A197" s="54">
        <v>45397</v>
      </c>
      <c r="B197" s="37" t="s">
        <v>2182</v>
      </c>
      <c r="C197" s="37" t="s">
        <v>712</v>
      </c>
      <c r="D197" s="37" t="s">
        <v>592</v>
      </c>
      <c r="E197" s="56" t="s">
        <v>800</v>
      </c>
      <c r="F197" s="37" t="s">
        <v>616</v>
      </c>
      <c r="G197" s="37" t="s">
        <v>2183</v>
      </c>
      <c r="H197" s="37">
        <v>60</v>
      </c>
      <c r="I197" s="37">
        <v>0</v>
      </c>
      <c r="J197" s="38">
        <v>164607.32</v>
      </c>
      <c r="K197" s="37" t="s">
        <v>615</v>
      </c>
      <c r="O197" s="37">
        <v>0</v>
      </c>
      <c r="P197" s="37">
        <v>0</v>
      </c>
      <c r="Q197" s="37">
        <v>0</v>
      </c>
      <c r="R197" s="37">
        <v>0</v>
      </c>
      <c r="T197" s="37">
        <v>0</v>
      </c>
    </row>
    <row r="198" spans="1:20">
      <c r="A198" s="54">
        <v>45398</v>
      </c>
      <c r="B198" s="37" t="s">
        <v>2184</v>
      </c>
      <c r="C198" s="37" t="s">
        <v>712</v>
      </c>
      <c r="D198" s="37" t="s">
        <v>592</v>
      </c>
      <c r="E198" s="56" t="s">
        <v>834</v>
      </c>
      <c r="F198" s="37" t="s">
        <v>782</v>
      </c>
      <c r="G198" s="37" t="s">
        <v>1900</v>
      </c>
      <c r="H198" s="37">
        <v>52.5</v>
      </c>
      <c r="I198" s="37">
        <v>0</v>
      </c>
      <c r="J198" s="38">
        <v>164659.82</v>
      </c>
      <c r="K198" s="37" t="s">
        <v>615</v>
      </c>
      <c r="O198" s="37">
        <v>0</v>
      </c>
      <c r="P198" s="37">
        <v>0</v>
      </c>
      <c r="Q198" s="37">
        <v>0</v>
      </c>
      <c r="R198" s="37">
        <v>0</v>
      </c>
      <c r="S198" s="37" t="s">
        <v>2185</v>
      </c>
      <c r="T198" s="37">
        <v>0</v>
      </c>
    </row>
    <row r="199" spans="1:20">
      <c r="A199" s="54">
        <v>45398</v>
      </c>
      <c r="B199" s="37" t="s">
        <v>2186</v>
      </c>
      <c r="C199" s="37" t="s">
        <v>712</v>
      </c>
      <c r="D199" s="37" t="s">
        <v>592</v>
      </c>
      <c r="E199" s="56" t="s">
        <v>834</v>
      </c>
      <c r="F199" s="37" t="s">
        <v>782</v>
      </c>
      <c r="G199" s="37" t="s">
        <v>1900</v>
      </c>
      <c r="H199" s="37">
        <v>114</v>
      </c>
      <c r="I199" s="37">
        <v>0</v>
      </c>
      <c r="J199" s="38">
        <v>164773.82</v>
      </c>
      <c r="K199" s="37" t="s">
        <v>615</v>
      </c>
      <c r="O199" s="37">
        <v>0</v>
      </c>
      <c r="P199" s="37">
        <v>0</v>
      </c>
      <c r="Q199" s="37">
        <v>0</v>
      </c>
      <c r="R199" s="37">
        <v>0</v>
      </c>
      <c r="S199" s="37" t="s">
        <v>2187</v>
      </c>
      <c r="T199" s="37">
        <v>0</v>
      </c>
    </row>
    <row r="200" spans="1:20">
      <c r="A200" s="54">
        <v>45399</v>
      </c>
      <c r="B200" s="37" t="s">
        <v>2188</v>
      </c>
      <c r="C200" s="37" t="s">
        <v>712</v>
      </c>
      <c r="D200" s="37" t="s">
        <v>592</v>
      </c>
      <c r="E200" s="56" t="s">
        <v>834</v>
      </c>
      <c r="F200" s="37" t="s">
        <v>782</v>
      </c>
      <c r="G200" s="37" t="s">
        <v>1900</v>
      </c>
      <c r="H200" s="37">
        <v>18</v>
      </c>
      <c r="I200" s="37">
        <v>0</v>
      </c>
      <c r="J200" s="38">
        <v>164791.82</v>
      </c>
      <c r="K200" s="37" t="s">
        <v>615</v>
      </c>
      <c r="O200" s="37">
        <v>0</v>
      </c>
      <c r="P200" s="37">
        <v>0</v>
      </c>
      <c r="Q200" s="37">
        <v>0</v>
      </c>
      <c r="R200" s="37">
        <v>0</v>
      </c>
      <c r="S200" s="37" t="s">
        <v>2189</v>
      </c>
      <c r="T200" s="37">
        <v>0</v>
      </c>
    </row>
    <row r="201" spans="1:20">
      <c r="A201" s="54">
        <v>45399</v>
      </c>
      <c r="B201" s="37" t="s">
        <v>2190</v>
      </c>
      <c r="C201" s="37" t="s">
        <v>712</v>
      </c>
      <c r="D201" s="37" t="s">
        <v>592</v>
      </c>
      <c r="E201" s="56" t="s">
        <v>834</v>
      </c>
      <c r="F201" s="37" t="s">
        <v>782</v>
      </c>
      <c r="G201" s="37" t="s">
        <v>1900</v>
      </c>
      <c r="H201" s="37">
        <v>52.5</v>
      </c>
      <c r="I201" s="37">
        <v>0</v>
      </c>
      <c r="J201" s="38">
        <v>164844.32</v>
      </c>
      <c r="K201" s="37" t="s">
        <v>615</v>
      </c>
      <c r="O201" s="37">
        <v>0</v>
      </c>
      <c r="P201" s="37">
        <v>0</v>
      </c>
      <c r="Q201" s="37">
        <v>0</v>
      </c>
      <c r="R201" s="37">
        <v>0</v>
      </c>
      <c r="S201" s="37" t="s">
        <v>2191</v>
      </c>
      <c r="T201" s="37">
        <v>0</v>
      </c>
    </row>
    <row r="202" spans="1:20">
      <c r="A202" s="54">
        <v>45400</v>
      </c>
      <c r="B202" s="37" t="s">
        <v>2194</v>
      </c>
      <c r="C202" s="37" t="s">
        <v>712</v>
      </c>
      <c r="D202" s="37" t="s">
        <v>592</v>
      </c>
      <c r="E202" s="56" t="s">
        <v>834</v>
      </c>
      <c r="F202" s="37" t="s">
        <v>782</v>
      </c>
      <c r="G202" s="37" t="s">
        <v>1883</v>
      </c>
      <c r="H202" s="37">
        <v>52.5</v>
      </c>
      <c r="I202" s="37">
        <v>0</v>
      </c>
      <c r="J202" s="38">
        <v>164949.32</v>
      </c>
      <c r="K202" s="37" t="s">
        <v>615</v>
      </c>
      <c r="O202" s="37">
        <v>0</v>
      </c>
      <c r="P202" s="37">
        <v>0</v>
      </c>
      <c r="Q202" s="37">
        <v>0</v>
      </c>
      <c r="R202" s="37">
        <v>0</v>
      </c>
      <c r="S202" s="37" t="s">
        <v>1292</v>
      </c>
      <c r="T202" s="37">
        <v>0</v>
      </c>
    </row>
    <row r="203" spans="1:20">
      <c r="A203" s="54">
        <v>45400</v>
      </c>
      <c r="B203" s="37" t="s">
        <v>2192</v>
      </c>
      <c r="C203" s="37" t="s">
        <v>712</v>
      </c>
      <c r="D203" s="37" t="s">
        <v>592</v>
      </c>
      <c r="E203" s="56" t="s">
        <v>834</v>
      </c>
      <c r="F203" s="37" t="s">
        <v>782</v>
      </c>
      <c r="G203" s="37" t="s">
        <v>1900</v>
      </c>
      <c r="H203" s="37">
        <v>52.5</v>
      </c>
      <c r="I203" s="37">
        <v>0</v>
      </c>
      <c r="J203" s="38">
        <v>164896.82</v>
      </c>
      <c r="K203" s="37" t="s">
        <v>615</v>
      </c>
      <c r="O203" s="37">
        <v>0</v>
      </c>
      <c r="P203" s="37">
        <v>0</v>
      </c>
      <c r="Q203" s="37">
        <v>0</v>
      </c>
      <c r="R203" s="37">
        <v>0</v>
      </c>
      <c r="S203" s="37" t="s">
        <v>2193</v>
      </c>
      <c r="T203" s="37">
        <v>0</v>
      </c>
    </row>
    <row r="204" spans="1:20">
      <c r="A204" s="54">
        <v>45400</v>
      </c>
      <c r="B204" s="37" t="s">
        <v>2195</v>
      </c>
      <c r="C204" s="37" t="s">
        <v>765</v>
      </c>
      <c r="D204" s="37" t="s">
        <v>766</v>
      </c>
      <c r="E204" s="56" t="s">
        <v>800</v>
      </c>
      <c r="F204" s="37" t="s">
        <v>616</v>
      </c>
      <c r="G204" s="37" t="s">
        <v>2196</v>
      </c>
      <c r="H204" s="37">
        <v>3.6</v>
      </c>
      <c r="I204" s="37">
        <v>0</v>
      </c>
      <c r="J204" s="38">
        <v>164952.92000000001</v>
      </c>
      <c r="K204" s="37" t="s">
        <v>615</v>
      </c>
      <c r="O204" s="37">
        <v>0</v>
      </c>
      <c r="P204" s="37">
        <v>0</v>
      </c>
      <c r="Q204" s="37">
        <v>0</v>
      </c>
      <c r="R204" s="37">
        <v>0</v>
      </c>
      <c r="T204" s="37">
        <v>0</v>
      </c>
    </row>
    <row r="205" spans="1:20">
      <c r="A205" s="54">
        <v>45400</v>
      </c>
      <c r="B205" s="37" t="s">
        <v>2197</v>
      </c>
      <c r="C205" s="37" t="s">
        <v>712</v>
      </c>
      <c r="D205" s="37" t="s">
        <v>592</v>
      </c>
      <c r="E205" s="56" t="s">
        <v>800</v>
      </c>
      <c r="F205" s="37" t="s">
        <v>616</v>
      </c>
      <c r="G205" s="37" t="s">
        <v>2198</v>
      </c>
      <c r="H205" s="37">
        <v>300</v>
      </c>
      <c r="I205" s="37">
        <v>0</v>
      </c>
      <c r="J205" s="38">
        <v>165252.92000000001</v>
      </c>
      <c r="K205" s="37" t="s">
        <v>615</v>
      </c>
      <c r="O205" s="37">
        <v>0</v>
      </c>
      <c r="P205" s="37">
        <v>0</v>
      </c>
      <c r="Q205" s="37">
        <v>0</v>
      </c>
      <c r="R205" s="37">
        <v>0</v>
      </c>
      <c r="T205" s="37">
        <v>0</v>
      </c>
    </row>
    <row r="206" spans="1:20">
      <c r="A206" s="54">
        <v>45400</v>
      </c>
      <c r="B206" s="37" t="s">
        <v>2197</v>
      </c>
      <c r="C206" s="37" t="s">
        <v>1536</v>
      </c>
      <c r="D206" s="37" t="s">
        <v>1975</v>
      </c>
      <c r="E206" s="56" t="s">
        <v>800</v>
      </c>
      <c r="F206" s="37" t="s">
        <v>616</v>
      </c>
      <c r="G206" s="37" t="s">
        <v>2198</v>
      </c>
      <c r="H206" s="37">
        <v>30</v>
      </c>
      <c r="I206" s="37">
        <v>0</v>
      </c>
      <c r="J206" s="38">
        <v>165282.92000000001</v>
      </c>
      <c r="K206" s="37" t="s">
        <v>615</v>
      </c>
      <c r="O206" s="37">
        <v>0</v>
      </c>
      <c r="P206" s="37">
        <v>0</v>
      </c>
      <c r="Q206" s="37">
        <v>0</v>
      </c>
      <c r="R206" s="37">
        <v>0</v>
      </c>
      <c r="T206" s="37">
        <v>0</v>
      </c>
    </row>
    <row r="207" spans="1:20">
      <c r="A207" s="54">
        <v>45401</v>
      </c>
      <c r="B207" s="37" t="s">
        <v>2199</v>
      </c>
      <c r="C207" s="37" t="s">
        <v>712</v>
      </c>
      <c r="D207" s="37" t="s">
        <v>592</v>
      </c>
      <c r="E207" s="56" t="s">
        <v>834</v>
      </c>
      <c r="F207" s="37" t="s">
        <v>782</v>
      </c>
      <c r="G207" s="37" t="s">
        <v>1908</v>
      </c>
      <c r="H207" s="37">
        <v>60</v>
      </c>
      <c r="I207" s="37">
        <v>0</v>
      </c>
      <c r="J207" s="38">
        <v>165342.92000000001</v>
      </c>
      <c r="K207" s="37" t="s">
        <v>615</v>
      </c>
      <c r="O207" s="37">
        <v>0</v>
      </c>
      <c r="P207" s="37">
        <v>0</v>
      </c>
      <c r="Q207" s="37">
        <v>0</v>
      </c>
      <c r="R207" s="37">
        <v>0</v>
      </c>
      <c r="S207" s="37" t="s">
        <v>2200</v>
      </c>
      <c r="T207" s="37">
        <v>0</v>
      </c>
    </row>
    <row r="208" spans="1:20">
      <c r="A208" s="54">
        <v>45402</v>
      </c>
      <c r="B208" s="37" t="s">
        <v>2201</v>
      </c>
      <c r="C208" s="37" t="s">
        <v>712</v>
      </c>
      <c r="D208" s="37" t="s">
        <v>592</v>
      </c>
      <c r="E208" s="56" t="s">
        <v>834</v>
      </c>
      <c r="F208" s="37" t="s">
        <v>616</v>
      </c>
      <c r="G208" s="37" t="s">
        <v>2202</v>
      </c>
      <c r="H208" s="38">
        <v>6209</v>
      </c>
      <c r="I208" s="37">
        <v>0</v>
      </c>
      <c r="J208" s="38">
        <v>171551.92</v>
      </c>
      <c r="K208" s="37" t="s">
        <v>615</v>
      </c>
      <c r="O208" s="37">
        <v>0</v>
      </c>
      <c r="P208" s="37">
        <v>0</v>
      </c>
      <c r="Q208" s="37">
        <v>0</v>
      </c>
      <c r="R208" s="37">
        <v>0</v>
      </c>
      <c r="T208" s="37">
        <v>0</v>
      </c>
    </row>
    <row r="209" spans="1:20">
      <c r="A209" s="54">
        <v>45402</v>
      </c>
      <c r="B209" s="37" t="s">
        <v>2203</v>
      </c>
      <c r="C209" s="37" t="s">
        <v>712</v>
      </c>
      <c r="D209" s="37" t="s">
        <v>592</v>
      </c>
      <c r="E209" s="56" t="s">
        <v>834</v>
      </c>
      <c r="F209" s="37" t="s">
        <v>616</v>
      </c>
      <c r="G209" s="37" t="s">
        <v>2204</v>
      </c>
      <c r="H209" s="38">
        <v>5520.69</v>
      </c>
      <c r="I209" s="37">
        <v>0</v>
      </c>
      <c r="J209" s="38">
        <v>177072.61</v>
      </c>
      <c r="K209" s="37" t="s">
        <v>615</v>
      </c>
      <c r="O209" s="37">
        <v>0</v>
      </c>
      <c r="P209" s="37">
        <v>0</v>
      </c>
      <c r="Q209" s="37">
        <v>0</v>
      </c>
      <c r="R209" s="37">
        <v>0</v>
      </c>
      <c r="T209" s="37">
        <v>0</v>
      </c>
    </row>
    <row r="210" spans="1:20">
      <c r="A210" s="54">
        <v>45404</v>
      </c>
      <c r="B210" s="37" t="s">
        <v>2205</v>
      </c>
      <c r="C210" s="37" t="s">
        <v>712</v>
      </c>
      <c r="D210" s="37" t="s">
        <v>592</v>
      </c>
      <c r="E210" s="56" t="s">
        <v>834</v>
      </c>
      <c r="F210" s="37" t="s">
        <v>782</v>
      </c>
      <c r="G210" s="37" t="s">
        <v>1883</v>
      </c>
      <c r="H210" s="37">
        <v>52.5</v>
      </c>
      <c r="I210" s="37">
        <v>0</v>
      </c>
      <c r="J210" s="38">
        <v>177125.11</v>
      </c>
      <c r="K210" s="37" t="s">
        <v>615</v>
      </c>
      <c r="O210" s="37">
        <v>0</v>
      </c>
      <c r="P210" s="37">
        <v>0</v>
      </c>
      <c r="Q210" s="37">
        <v>0</v>
      </c>
      <c r="R210" s="37">
        <v>0</v>
      </c>
      <c r="S210" s="37" t="s">
        <v>2206</v>
      </c>
      <c r="T210" s="37">
        <v>0</v>
      </c>
    </row>
    <row r="211" spans="1:20">
      <c r="A211" s="54">
        <v>45405</v>
      </c>
      <c r="B211" s="37" t="s">
        <v>2207</v>
      </c>
      <c r="C211" s="37" t="s">
        <v>712</v>
      </c>
      <c r="D211" s="37" t="s">
        <v>592</v>
      </c>
      <c r="E211" s="56" t="s">
        <v>834</v>
      </c>
      <c r="F211" s="37" t="s">
        <v>782</v>
      </c>
      <c r="G211" s="37" t="s">
        <v>1898</v>
      </c>
      <c r="H211" s="37">
        <v>52.5</v>
      </c>
      <c r="I211" s="37">
        <v>0</v>
      </c>
      <c r="J211" s="38">
        <v>177177.61</v>
      </c>
      <c r="K211" s="37" t="s">
        <v>615</v>
      </c>
      <c r="O211" s="37">
        <v>0</v>
      </c>
      <c r="P211" s="37">
        <v>0</v>
      </c>
      <c r="Q211" s="37">
        <v>0</v>
      </c>
      <c r="R211" s="37">
        <v>0</v>
      </c>
      <c r="S211" s="37" t="s">
        <v>2207</v>
      </c>
      <c r="T211" s="37">
        <v>0</v>
      </c>
    </row>
    <row r="212" spans="1:20">
      <c r="A212" s="54">
        <v>45406</v>
      </c>
      <c r="B212" s="37" t="s">
        <v>2219</v>
      </c>
      <c r="C212" s="37" t="s">
        <v>1534</v>
      </c>
      <c r="D212" s="37" t="s">
        <v>1535</v>
      </c>
      <c r="E212" s="56" t="s">
        <v>800</v>
      </c>
      <c r="F212" s="37" t="s">
        <v>782</v>
      </c>
      <c r="G212" s="37" t="s">
        <v>2220</v>
      </c>
      <c r="H212" s="38">
        <v>2779.35</v>
      </c>
      <c r="I212" s="37">
        <v>0</v>
      </c>
      <c r="J212" s="38">
        <v>181113.98</v>
      </c>
      <c r="K212" s="37" t="s">
        <v>615</v>
      </c>
      <c r="O212" s="37">
        <v>0</v>
      </c>
      <c r="P212" s="37">
        <v>0</v>
      </c>
      <c r="Q212" s="37">
        <v>0</v>
      </c>
      <c r="R212" s="37">
        <v>0</v>
      </c>
      <c r="S212" s="37" t="s">
        <v>2208</v>
      </c>
      <c r="T212" s="37">
        <v>0</v>
      </c>
    </row>
    <row r="213" spans="1:20">
      <c r="A213" s="54">
        <v>45406</v>
      </c>
      <c r="B213" s="37" t="s">
        <v>2208</v>
      </c>
      <c r="C213" s="37" t="s">
        <v>1534</v>
      </c>
      <c r="D213" s="37" t="s">
        <v>1535</v>
      </c>
      <c r="E213" s="56" t="s">
        <v>800</v>
      </c>
      <c r="F213" s="37" t="s">
        <v>782</v>
      </c>
      <c r="G213" s="37" t="s">
        <v>2209</v>
      </c>
      <c r="H213" s="37">
        <v>162.12</v>
      </c>
      <c r="I213" s="37">
        <v>0</v>
      </c>
      <c r="J213" s="38">
        <v>177339.73</v>
      </c>
      <c r="K213" s="37" t="s">
        <v>615</v>
      </c>
      <c r="O213" s="37">
        <v>0</v>
      </c>
      <c r="P213" s="37">
        <v>0</v>
      </c>
      <c r="Q213" s="37">
        <v>0</v>
      </c>
      <c r="R213" s="37">
        <v>0</v>
      </c>
      <c r="S213" s="37" t="s">
        <v>2210</v>
      </c>
      <c r="T213" s="37">
        <v>0</v>
      </c>
    </row>
    <row r="214" spans="1:20">
      <c r="A214" s="54">
        <v>45406</v>
      </c>
      <c r="B214" s="37" t="s">
        <v>2214</v>
      </c>
      <c r="C214" s="37" t="s">
        <v>1534</v>
      </c>
      <c r="D214" s="37" t="s">
        <v>1535</v>
      </c>
      <c r="E214" s="56" t="s">
        <v>800</v>
      </c>
      <c r="F214" s="37" t="s">
        <v>782</v>
      </c>
      <c r="G214" s="37" t="s">
        <v>2215</v>
      </c>
      <c r="H214" s="37">
        <v>579</v>
      </c>
      <c r="I214" s="37">
        <v>0</v>
      </c>
      <c r="J214" s="38">
        <v>178048.72</v>
      </c>
      <c r="K214" s="37" t="s">
        <v>615</v>
      </c>
      <c r="O214" s="37">
        <v>0</v>
      </c>
      <c r="P214" s="37">
        <v>0</v>
      </c>
      <c r="Q214" s="37">
        <v>0</v>
      </c>
      <c r="R214" s="37">
        <v>0</v>
      </c>
      <c r="S214" s="37" t="s">
        <v>2216</v>
      </c>
      <c r="T214" s="37">
        <v>0</v>
      </c>
    </row>
    <row r="215" spans="1:20">
      <c r="A215" s="54">
        <v>45406</v>
      </c>
      <c r="B215" s="37" t="s">
        <v>2217</v>
      </c>
      <c r="C215" s="37" t="s">
        <v>1534</v>
      </c>
      <c r="D215" s="37" t="s">
        <v>1535</v>
      </c>
      <c r="E215" s="56" t="s">
        <v>800</v>
      </c>
      <c r="F215" s="37" t="s">
        <v>782</v>
      </c>
      <c r="G215" s="37" t="s">
        <v>2215</v>
      </c>
      <c r="H215" s="37">
        <v>285.91000000000003</v>
      </c>
      <c r="I215" s="37">
        <v>0</v>
      </c>
      <c r="J215" s="38">
        <v>178334.63</v>
      </c>
      <c r="K215" s="37" t="s">
        <v>615</v>
      </c>
      <c r="O215" s="37">
        <v>0</v>
      </c>
      <c r="P215" s="37">
        <v>0</v>
      </c>
      <c r="Q215" s="37">
        <v>0</v>
      </c>
      <c r="R215" s="37">
        <v>0</v>
      </c>
      <c r="S215" s="37" t="s">
        <v>2218</v>
      </c>
      <c r="T215" s="37">
        <v>0</v>
      </c>
    </row>
    <row r="216" spans="1:20">
      <c r="A216" s="54">
        <v>45406</v>
      </c>
      <c r="B216" s="37" t="s">
        <v>2211</v>
      </c>
      <c r="C216" s="37" t="s">
        <v>1534</v>
      </c>
      <c r="D216" s="37" t="s">
        <v>1535</v>
      </c>
      <c r="E216" s="56" t="s">
        <v>800</v>
      </c>
      <c r="F216" s="37" t="s">
        <v>782</v>
      </c>
      <c r="G216" s="37" t="s">
        <v>2212</v>
      </c>
      <c r="H216" s="37">
        <v>129.99</v>
      </c>
      <c r="I216" s="37">
        <v>0</v>
      </c>
      <c r="J216" s="38">
        <v>177469.72</v>
      </c>
      <c r="K216" s="37" t="s">
        <v>615</v>
      </c>
      <c r="O216" s="37">
        <v>0</v>
      </c>
      <c r="P216" s="37">
        <v>0</v>
      </c>
      <c r="Q216" s="37">
        <v>0</v>
      </c>
      <c r="R216" s="37">
        <v>0</v>
      </c>
      <c r="S216" s="37" t="s">
        <v>2213</v>
      </c>
      <c r="T216" s="37">
        <v>0</v>
      </c>
    </row>
    <row r="217" spans="1:20">
      <c r="A217" s="54">
        <v>45406</v>
      </c>
      <c r="B217" s="37" t="s">
        <v>2221</v>
      </c>
      <c r="C217" s="37" t="s">
        <v>1534</v>
      </c>
      <c r="D217" s="37" t="s">
        <v>1535</v>
      </c>
      <c r="E217" s="56" t="s">
        <v>800</v>
      </c>
      <c r="F217" s="37" t="s">
        <v>782</v>
      </c>
      <c r="G217" s="37" t="s">
        <v>2222</v>
      </c>
      <c r="H217" s="38">
        <v>1148.24</v>
      </c>
      <c r="I217" s="37">
        <v>0</v>
      </c>
      <c r="J217" s="38">
        <v>182262.22</v>
      </c>
      <c r="K217" s="37" t="s">
        <v>615</v>
      </c>
      <c r="O217" s="37">
        <v>0</v>
      </c>
      <c r="P217" s="37">
        <v>0</v>
      </c>
      <c r="Q217" s="37">
        <v>0</v>
      </c>
      <c r="R217" s="37">
        <v>0</v>
      </c>
      <c r="S217" s="37" t="s">
        <v>2211</v>
      </c>
      <c r="T217" s="37">
        <v>0</v>
      </c>
    </row>
    <row r="218" spans="1:20">
      <c r="A218" s="54">
        <v>45407</v>
      </c>
      <c r="B218" s="37" t="s">
        <v>1308</v>
      </c>
      <c r="C218" s="37" t="s">
        <v>712</v>
      </c>
      <c r="D218" s="37" t="s">
        <v>592</v>
      </c>
      <c r="E218" s="56" t="s">
        <v>834</v>
      </c>
      <c r="F218" s="37" t="s">
        <v>782</v>
      </c>
      <c r="G218" s="37" t="s">
        <v>1900</v>
      </c>
      <c r="H218" s="37">
        <v>52.5</v>
      </c>
      <c r="I218" s="37">
        <v>0</v>
      </c>
      <c r="J218" s="38">
        <v>182314.72</v>
      </c>
      <c r="K218" s="37" t="s">
        <v>615</v>
      </c>
      <c r="O218" s="37">
        <v>0</v>
      </c>
      <c r="P218" s="37">
        <v>0</v>
      </c>
      <c r="Q218" s="37">
        <v>0</v>
      </c>
      <c r="R218" s="37">
        <v>0</v>
      </c>
      <c r="S218" s="37" t="s">
        <v>2223</v>
      </c>
      <c r="T218" s="37">
        <v>0</v>
      </c>
    </row>
    <row r="219" spans="1:20">
      <c r="A219" s="54">
        <v>45412</v>
      </c>
      <c r="B219" s="37" t="s">
        <v>2230</v>
      </c>
      <c r="C219" s="37" t="s">
        <v>712</v>
      </c>
      <c r="D219" s="37" t="s">
        <v>592</v>
      </c>
      <c r="E219" s="56" t="s">
        <v>834</v>
      </c>
      <c r="F219" s="37" t="s">
        <v>616</v>
      </c>
      <c r="G219" s="37" t="s">
        <v>2231</v>
      </c>
      <c r="H219" s="37">
        <v>117.08</v>
      </c>
      <c r="I219" s="37">
        <v>0</v>
      </c>
      <c r="J219" s="38">
        <v>183102.88</v>
      </c>
      <c r="K219" s="37" t="s">
        <v>615</v>
      </c>
      <c r="O219" s="37">
        <v>0</v>
      </c>
      <c r="P219" s="37">
        <v>0</v>
      </c>
      <c r="Q219" s="37">
        <v>0</v>
      </c>
      <c r="R219" s="37">
        <v>0</v>
      </c>
      <c r="T219" s="37">
        <v>0</v>
      </c>
    </row>
    <row r="220" spans="1:20">
      <c r="A220" s="54">
        <v>45412</v>
      </c>
      <c r="B220" s="37" t="s">
        <v>1293</v>
      </c>
      <c r="C220" s="37" t="s">
        <v>712</v>
      </c>
      <c r="D220" s="37" t="s">
        <v>592</v>
      </c>
      <c r="E220" s="56" t="s">
        <v>834</v>
      </c>
      <c r="F220" s="37" t="s">
        <v>782</v>
      </c>
      <c r="G220" s="37" t="s">
        <v>1883</v>
      </c>
      <c r="H220" s="37">
        <v>52.5</v>
      </c>
      <c r="I220" s="37">
        <v>0</v>
      </c>
      <c r="J220" s="38">
        <v>182368.22</v>
      </c>
      <c r="K220" s="37" t="s">
        <v>615</v>
      </c>
      <c r="O220" s="37">
        <v>0</v>
      </c>
      <c r="P220" s="37">
        <v>0</v>
      </c>
      <c r="Q220" s="37">
        <v>0</v>
      </c>
      <c r="R220" s="37">
        <v>0</v>
      </c>
      <c r="S220" s="37" t="s">
        <v>2227</v>
      </c>
      <c r="T220" s="37">
        <v>0</v>
      </c>
    </row>
    <row r="221" spans="1:20">
      <c r="A221" s="54">
        <v>45412</v>
      </c>
      <c r="B221" s="37" t="s">
        <v>2228</v>
      </c>
      <c r="C221" s="37" t="s">
        <v>712</v>
      </c>
      <c r="D221" s="37" t="s">
        <v>592</v>
      </c>
      <c r="E221" s="56" t="s">
        <v>835</v>
      </c>
      <c r="F221" s="37" t="s">
        <v>616</v>
      </c>
      <c r="G221" s="37" t="s">
        <v>2229</v>
      </c>
      <c r="H221" s="37">
        <v>617.58000000000004</v>
      </c>
      <c r="I221" s="37">
        <v>0</v>
      </c>
      <c r="J221" s="38">
        <v>182985.8</v>
      </c>
      <c r="K221" s="37" t="s">
        <v>615</v>
      </c>
      <c r="O221" s="37">
        <v>0</v>
      </c>
      <c r="P221" s="37">
        <v>0</v>
      </c>
      <c r="Q221" s="37">
        <v>0</v>
      </c>
      <c r="R221" s="37">
        <v>0</v>
      </c>
      <c r="T221" s="37">
        <v>0</v>
      </c>
    </row>
    <row r="222" spans="1:20">
      <c r="A222" s="54">
        <v>45412</v>
      </c>
      <c r="B222" s="37" t="s">
        <v>2232</v>
      </c>
      <c r="C222" s="37" t="s">
        <v>765</v>
      </c>
      <c r="D222" s="37" t="s">
        <v>766</v>
      </c>
      <c r="E222" s="56" t="s">
        <v>800</v>
      </c>
      <c r="F222" s="37" t="s">
        <v>616</v>
      </c>
      <c r="G222" s="37" t="s">
        <v>2233</v>
      </c>
      <c r="H222" s="37">
        <v>0.45</v>
      </c>
      <c r="I222" s="37">
        <v>0</v>
      </c>
      <c r="J222" s="38">
        <v>186728.21</v>
      </c>
      <c r="K222" s="37" t="s">
        <v>615</v>
      </c>
      <c r="O222" s="37">
        <v>0</v>
      </c>
      <c r="P222" s="37">
        <v>0</v>
      </c>
      <c r="Q222" s="37">
        <v>0</v>
      </c>
      <c r="R222" s="37">
        <v>0</v>
      </c>
      <c r="T222" s="37">
        <v>0</v>
      </c>
    </row>
    <row r="223" spans="1:20">
      <c r="A223" s="54">
        <v>45412</v>
      </c>
      <c r="B223" s="37" t="s">
        <v>2230</v>
      </c>
      <c r="C223" s="37" t="s">
        <v>1536</v>
      </c>
      <c r="D223" s="37" t="s">
        <v>1975</v>
      </c>
      <c r="E223" s="56" t="s">
        <v>800</v>
      </c>
      <c r="F223" s="37" t="s">
        <v>616</v>
      </c>
      <c r="G223" s="37" t="s">
        <v>2231</v>
      </c>
      <c r="H223" s="37">
        <v>918</v>
      </c>
      <c r="I223" s="37">
        <v>0</v>
      </c>
      <c r="J223" s="38">
        <v>184020.88</v>
      </c>
      <c r="K223" s="37" t="s">
        <v>615</v>
      </c>
      <c r="O223" s="37">
        <v>0</v>
      </c>
      <c r="P223" s="37">
        <v>0</v>
      </c>
      <c r="Q223" s="37">
        <v>0</v>
      </c>
      <c r="R223" s="37">
        <v>0</v>
      </c>
      <c r="T223" s="37">
        <v>0</v>
      </c>
    </row>
    <row r="224" spans="1:20">
      <c r="A224" s="54">
        <v>45412</v>
      </c>
      <c r="B224" s="37" t="s">
        <v>2230</v>
      </c>
      <c r="C224" s="37" t="s">
        <v>1536</v>
      </c>
      <c r="D224" s="37" t="s">
        <v>1975</v>
      </c>
      <c r="E224" s="56" t="s">
        <v>800</v>
      </c>
      <c r="F224" s="37" t="s">
        <v>616</v>
      </c>
      <c r="G224" s="37" t="s">
        <v>2231</v>
      </c>
      <c r="H224" s="37">
        <v>95</v>
      </c>
      <c r="I224" s="37">
        <v>0</v>
      </c>
      <c r="J224" s="38">
        <v>184115.88</v>
      </c>
      <c r="K224" s="37" t="s">
        <v>615</v>
      </c>
      <c r="O224" s="37">
        <v>0</v>
      </c>
      <c r="P224" s="37">
        <v>0</v>
      </c>
      <c r="Q224" s="37">
        <v>0</v>
      </c>
      <c r="R224" s="37">
        <v>0</v>
      </c>
      <c r="T224" s="37">
        <v>0</v>
      </c>
    </row>
    <row r="225" spans="1:20">
      <c r="A225" s="54">
        <v>45412</v>
      </c>
      <c r="B225" s="37" t="s">
        <v>2230</v>
      </c>
      <c r="C225" s="37" t="s">
        <v>1536</v>
      </c>
      <c r="D225" s="37" t="s">
        <v>1975</v>
      </c>
      <c r="E225" s="56" t="s">
        <v>800</v>
      </c>
      <c r="F225" s="37" t="s">
        <v>616</v>
      </c>
      <c r="G225" s="37" t="s">
        <v>2231</v>
      </c>
      <c r="H225" s="38">
        <v>2056.88</v>
      </c>
      <c r="I225" s="37">
        <v>0</v>
      </c>
      <c r="J225" s="38">
        <v>186172.76</v>
      </c>
      <c r="K225" s="37" t="s">
        <v>615</v>
      </c>
      <c r="O225" s="37">
        <v>0</v>
      </c>
      <c r="P225" s="37">
        <v>0</v>
      </c>
      <c r="Q225" s="37">
        <v>0</v>
      </c>
      <c r="R225" s="37">
        <v>0</v>
      </c>
      <c r="T225" s="37">
        <v>0</v>
      </c>
    </row>
    <row r="226" spans="1:20">
      <c r="A226" s="54">
        <v>45412</v>
      </c>
      <c r="B226" s="37" t="s">
        <v>2230</v>
      </c>
      <c r="C226" s="37" t="s">
        <v>1536</v>
      </c>
      <c r="D226" s="37" t="s">
        <v>1975</v>
      </c>
      <c r="E226" s="56" t="s">
        <v>800</v>
      </c>
      <c r="F226" s="37" t="s">
        <v>616</v>
      </c>
      <c r="G226" s="37" t="s">
        <v>2231</v>
      </c>
      <c r="H226" s="37">
        <v>330</v>
      </c>
      <c r="I226" s="37">
        <v>0</v>
      </c>
      <c r="J226" s="38">
        <v>186502.76</v>
      </c>
      <c r="K226" s="37" t="s">
        <v>615</v>
      </c>
      <c r="O226" s="37">
        <v>0</v>
      </c>
      <c r="P226" s="37">
        <v>0</v>
      </c>
      <c r="Q226" s="37">
        <v>0</v>
      </c>
      <c r="R226" s="37">
        <v>0</v>
      </c>
      <c r="T226" s="37">
        <v>0</v>
      </c>
    </row>
    <row r="227" spans="1:20">
      <c r="A227" s="54">
        <v>45412</v>
      </c>
      <c r="B227" s="37" t="s">
        <v>2230</v>
      </c>
      <c r="C227" s="37" t="s">
        <v>1536</v>
      </c>
      <c r="D227" s="37" t="s">
        <v>1975</v>
      </c>
      <c r="E227" s="56" t="s">
        <v>800</v>
      </c>
      <c r="F227" s="37" t="s">
        <v>616</v>
      </c>
      <c r="G227" s="37" t="s">
        <v>2231</v>
      </c>
      <c r="H227" s="37">
        <v>225</v>
      </c>
      <c r="I227" s="37">
        <v>0</v>
      </c>
      <c r="J227" s="38">
        <v>186727.76</v>
      </c>
      <c r="K227" s="37" t="s">
        <v>615</v>
      </c>
      <c r="O227" s="37">
        <v>0</v>
      </c>
      <c r="P227" s="37">
        <v>0</v>
      </c>
      <c r="Q227" s="37">
        <v>0</v>
      </c>
      <c r="R227" s="37">
        <v>0</v>
      </c>
      <c r="T227" s="37">
        <v>0</v>
      </c>
    </row>
    <row r="228" spans="1:20">
      <c r="A228" s="54">
        <v>45412</v>
      </c>
      <c r="B228" s="37" t="s">
        <v>2224</v>
      </c>
      <c r="C228" s="37" t="s">
        <v>1534</v>
      </c>
      <c r="D228" s="37" t="s">
        <v>1535</v>
      </c>
      <c r="E228" s="56" t="s">
        <v>800</v>
      </c>
      <c r="F228" s="37" t="s">
        <v>782</v>
      </c>
      <c r="G228" s="37" t="s">
        <v>2225</v>
      </c>
      <c r="H228" s="37">
        <v>1</v>
      </c>
      <c r="I228" s="37">
        <v>0</v>
      </c>
      <c r="J228" s="38">
        <v>182315.72</v>
      </c>
      <c r="K228" s="37" t="s">
        <v>615</v>
      </c>
      <c r="O228" s="37">
        <v>0</v>
      </c>
      <c r="P228" s="37">
        <v>0</v>
      </c>
      <c r="Q228" s="37">
        <v>0</v>
      </c>
      <c r="R228" s="37">
        <v>0</v>
      </c>
      <c r="S228" s="37" t="s">
        <v>2226</v>
      </c>
      <c r="T228" s="37">
        <v>0</v>
      </c>
    </row>
    <row r="229" spans="1:20">
      <c r="A229" s="54">
        <v>45412</v>
      </c>
      <c r="B229" s="37" t="s">
        <v>2234</v>
      </c>
      <c r="C229" s="37" t="s">
        <v>1536</v>
      </c>
      <c r="D229" s="37" t="s">
        <v>1975</v>
      </c>
      <c r="E229" s="56" t="s">
        <v>800</v>
      </c>
      <c r="F229" s="37" t="s">
        <v>792</v>
      </c>
      <c r="G229" s="37" t="s">
        <v>2235</v>
      </c>
      <c r="H229" s="38">
        <v>2537</v>
      </c>
      <c r="I229" s="37">
        <v>0</v>
      </c>
      <c r="J229" s="38">
        <v>189265.21</v>
      </c>
      <c r="K229" s="37" t="s">
        <v>615</v>
      </c>
      <c r="O229" s="37">
        <v>0</v>
      </c>
      <c r="P229" s="37">
        <v>0</v>
      </c>
      <c r="Q229" s="37">
        <v>0</v>
      </c>
      <c r="R229" s="37">
        <v>0</v>
      </c>
      <c r="T229" s="37">
        <v>0</v>
      </c>
    </row>
    <row r="230" spans="1:20">
      <c r="A230" s="54">
        <v>45413</v>
      </c>
      <c r="B230" s="37" t="s">
        <v>2236</v>
      </c>
      <c r="C230" s="37" t="s">
        <v>712</v>
      </c>
      <c r="D230" s="37" t="s">
        <v>592</v>
      </c>
      <c r="E230" s="56" t="s">
        <v>834</v>
      </c>
      <c r="F230" s="37" t="s">
        <v>782</v>
      </c>
      <c r="G230" s="37" t="s">
        <v>1883</v>
      </c>
      <c r="H230" s="37">
        <v>52.5</v>
      </c>
      <c r="I230" s="37">
        <v>0</v>
      </c>
      <c r="J230" s="38">
        <v>189317.71</v>
      </c>
      <c r="K230" s="37" t="s">
        <v>615</v>
      </c>
      <c r="O230" s="37">
        <v>0</v>
      </c>
      <c r="P230" s="37">
        <v>0</v>
      </c>
      <c r="Q230" s="37">
        <v>0</v>
      </c>
      <c r="R230" s="37">
        <v>0</v>
      </c>
      <c r="S230" s="37" t="s">
        <v>2236</v>
      </c>
      <c r="T230" s="37">
        <v>0</v>
      </c>
    </row>
    <row r="231" spans="1:20">
      <c r="A231" s="54">
        <v>45413</v>
      </c>
      <c r="B231" s="37" t="s">
        <v>2237</v>
      </c>
      <c r="C231" s="37" t="s">
        <v>712</v>
      </c>
      <c r="D231" s="37" t="s">
        <v>592</v>
      </c>
      <c r="E231" s="56" t="s">
        <v>835</v>
      </c>
      <c r="F231" s="37" t="s">
        <v>616</v>
      </c>
      <c r="G231" s="37" t="s">
        <v>2238</v>
      </c>
      <c r="H231" s="37">
        <v>80.33</v>
      </c>
      <c r="I231" s="37">
        <v>0</v>
      </c>
      <c r="J231" s="38">
        <v>189398.04</v>
      </c>
      <c r="K231" s="37" t="s">
        <v>615</v>
      </c>
      <c r="O231" s="37">
        <v>0</v>
      </c>
      <c r="P231" s="37">
        <v>0</v>
      </c>
      <c r="Q231" s="37">
        <v>0</v>
      </c>
      <c r="R231" s="37">
        <v>0</v>
      </c>
      <c r="T231" s="37">
        <v>0</v>
      </c>
    </row>
    <row r="232" spans="1:20">
      <c r="A232" s="54">
        <v>45413</v>
      </c>
      <c r="B232" s="37" t="s">
        <v>2241</v>
      </c>
      <c r="C232" s="37" t="s">
        <v>712</v>
      </c>
      <c r="D232" s="37" t="s">
        <v>592</v>
      </c>
      <c r="E232" s="56" t="s">
        <v>800</v>
      </c>
      <c r="F232" s="37" t="s">
        <v>616</v>
      </c>
      <c r="G232" s="37" t="s">
        <v>2242</v>
      </c>
      <c r="H232" s="38">
        <v>1386.2</v>
      </c>
      <c r="I232" s="37">
        <v>0</v>
      </c>
      <c r="J232" s="38">
        <v>198785.74</v>
      </c>
      <c r="K232" s="37" t="s">
        <v>615</v>
      </c>
      <c r="N232" s="37" t="s">
        <v>1677</v>
      </c>
      <c r="O232" s="37">
        <v>0</v>
      </c>
      <c r="P232" s="37">
        <v>0</v>
      </c>
      <c r="Q232" s="37">
        <v>0</v>
      </c>
      <c r="R232" s="37">
        <v>0</v>
      </c>
      <c r="T232" s="37">
        <v>0</v>
      </c>
    </row>
    <row r="233" spans="1:20">
      <c r="A233" s="54">
        <v>45413</v>
      </c>
      <c r="B233" s="37" t="s">
        <v>2239</v>
      </c>
      <c r="C233" s="37" t="s">
        <v>712</v>
      </c>
      <c r="D233" s="37" t="s">
        <v>592</v>
      </c>
      <c r="E233" s="56" t="s">
        <v>800</v>
      </c>
      <c r="F233" s="37" t="s">
        <v>616</v>
      </c>
      <c r="G233" s="37" t="s">
        <v>2240</v>
      </c>
      <c r="H233" s="38">
        <v>1100</v>
      </c>
      <c r="I233" s="37">
        <v>0</v>
      </c>
      <c r="J233" s="38">
        <v>190498.04</v>
      </c>
      <c r="K233" s="37" t="s">
        <v>615</v>
      </c>
      <c r="N233" s="37" t="s">
        <v>1677</v>
      </c>
      <c r="O233" s="37">
        <v>0</v>
      </c>
      <c r="P233" s="37">
        <v>0</v>
      </c>
      <c r="Q233" s="37">
        <v>0</v>
      </c>
      <c r="R233" s="37">
        <v>0</v>
      </c>
      <c r="T233" s="37">
        <v>0</v>
      </c>
    </row>
    <row r="234" spans="1:20">
      <c r="A234" s="54">
        <v>45413</v>
      </c>
      <c r="B234" s="37" t="s">
        <v>2239</v>
      </c>
      <c r="C234" s="37" t="s">
        <v>712</v>
      </c>
      <c r="D234" s="37" t="s">
        <v>592</v>
      </c>
      <c r="E234" s="56" t="s">
        <v>800</v>
      </c>
      <c r="F234" s="37" t="s">
        <v>616</v>
      </c>
      <c r="G234" s="37" t="s">
        <v>2240</v>
      </c>
      <c r="H234" s="37">
        <v>714</v>
      </c>
      <c r="I234" s="37">
        <v>0</v>
      </c>
      <c r="J234" s="38">
        <v>191212.04</v>
      </c>
      <c r="K234" s="37" t="s">
        <v>615</v>
      </c>
      <c r="N234" s="37" t="s">
        <v>1677</v>
      </c>
      <c r="O234" s="37">
        <v>0</v>
      </c>
      <c r="P234" s="37">
        <v>0</v>
      </c>
      <c r="Q234" s="37">
        <v>0</v>
      </c>
      <c r="R234" s="37">
        <v>0</v>
      </c>
      <c r="T234" s="37">
        <v>0</v>
      </c>
    </row>
    <row r="235" spans="1:20">
      <c r="A235" s="54">
        <v>45413</v>
      </c>
      <c r="B235" s="37" t="s">
        <v>2239</v>
      </c>
      <c r="C235" s="37" t="s">
        <v>712</v>
      </c>
      <c r="D235" s="37" t="s">
        <v>592</v>
      </c>
      <c r="E235" s="56" t="s">
        <v>800</v>
      </c>
      <c r="F235" s="37" t="s">
        <v>616</v>
      </c>
      <c r="G235" s="37" t="s">
        <v>2240</v>
      </c>
      <c r="H235" s="38">
        <v>1856.4</v>
      </c>
      <c r="I235" s="37">
        <v>0</v>
      </c>
      <c r="J235" s="38">
        <v>193068.44</v>
      </c>
      <c r="K235" s="37" t="s">
        <v>615</v>
      </c>
      <c r="N235" s="37" t="s">
        <v>1677</v>
      </c>
      <c r="O235" s="37">
        <v>0</v>
      </c>
      <c r="P235" s="37">
        <v>0</v>
      </c>
      <c r="Q235" s="37">
        <v>0</v>
      </c>
      <c r="R235" s="37">
        <v>0</v>
      </c>
      <c r="T235" s="37">
        <v>0</v>
      </c>
    </row>
    <row r="236" spans="1:20">
      <c r="A236" s="54">
        <v>45413</v>
      </c>
      <c r="B236" s="37" t="s">
        <v>2239</v>
      </c>
      <c r="C236" s="37" t="s">
        <v>712</v>
      </c>
      <c r="D236" s="37" t="s">
        <v>592</v>
      </c>
      <c r="E236" s="56" t="s">
        <v>800</v>
      </c>
      <c r="F236" s="37" t="s">
        <v>616</v>
      </c>
      <c r="G236" s="37" t="s">
        <v>2240</v>
      </c>
      <c r="H236" s="37">
        <v>455.94</v>
      </c>
      <c r="I236" s="37">
        <v>0</v>
      </c>
      <c r="J236" s="38">
        <v>193524.38</v>
      </c>
      <c r="K236" s="37" t="s">
        <v>615</v>
      </c>
      <c r="N236" s="37" t="s">
        <v>1677</v>
      </c>
      <c r="O236" s="37">
        <v>0</v>
      </c>
      <c r="P236" s="37">
        <v>0</v>
      </c>
      <c r="Q236" s="37">
        <v>0</v>
      </c>
      <c r="R236" s="37">
        <v>0</v>
      </c>
      <c r="T236" s="37">
        <v>0</v>
      </c>
    </row>
    <row r="237" spans="1:20">
      <c r="A237" s="54">
        <v>45413</v>
      </c>
      <c r="B237" s="37" t="s">
        <v>2239</v>
      </c>
      <c r="C237" s="37" t="s">
        <v>712</v>
      </c>
      <c r="D237" s="37" t="s">
        <v>592</v>
      </c>
      <c r="E237" s="56" t="s">
        <v>800</v>
      </c>
      <c r="F237" s="37" t="s">
        <v>616</v>
      </c>
      <c r="G237" s="37" t="s">
        <v>2240</v>
      </c>
      <c r="H237" s="37">
        <v>446.08</v>
      </c>
      <c r="I237" s="37">
        <v>0</v>
      </c>
      <c r="J237" s="38">
        <v>193970.46</v>
      </c>
      <c r="K237" s="37" t="s">
        <v>615</v>
      </c>
      <c r="N237" s="37" t="s">
        <v>1677</v>
      </c>
      <c r="O237" s="37">
        <v>0</v>
      </c>
      <c r="P237" s="37">
        <v>0</v>
      </c>
      <c r="Q237" s="37">
        <v>0</v>
      </c>
      <c r="R237" s="37">
        <v>0</v>
      </c>
      <c r="T237" s="37">
        <v>0</v>
      </c>
    </row>
    <row r="238" spans="1:20">
      <c r="A238" s="54">
        <v>45413</v>
      </c>
      <c r="B238" s="37" t="s">
        <v>2239</v>
      </c>
      <c r="C238" s="37" t="s">
        <v>712</v>
      </c>
      <c r="D238" s="37" t="s">
        <v>592</v>
      </c>
      <c r="E238" s="56" t="s">
        <v>800</v>
      </c>
      <c r="F238" s="37" t="s">
        <v>616</v>
      </c>
      <c r="G238" s="37" t="s">
        <v>2240</v>
      </c>
      <c r="H238" s="37">
        <v>184.96</v>
      </c>
      <c r="I238" s="37">
        <v>0</v>
      </c>
      <c r="J238" s="38">
        <v>194155.42</v>
      </c>
      <c r="K238" s="37" t="s">
        <v>615</v>
      </c>
      <c r="N238" s="37" t="s">
        <v>1677</v>
      </c>
      <c r="O238" s="37">
        <v>0</v>
      </c>
      <c r="P238" s="37">
        <v>0</v>
      </c>
      <c r="Q238" s="37">
        <v>0</v>
      </c>
      <c r="R238" s="37">
        <v>0</v>
      </c>
      <c r="T238" s="37">
        <v>0</v>
      </c>
    </row>
    <row r="239" spans="1:20">
      <c r="A239" s="54">
        <v>45413</v>
      </c>
      <c r="B239" s="37" t="s">
        <v>2239</v>
      </c>
      <c r="C239" s="37" t="s">
        <v>712</v>
      </c>
      <c r="D239" s="37" t="s">
        <v>592</v>
      </c>
      <c r="E239" s="56" t="s">
        <v>800</v>
      </c>
      <c r="F239" s="37" t="s">
        <v>616</v>
      </c>
      <c r="G239" s="37" t="s">
        <v>2240</v>
      </c>
      <c r="H239" s="37">
        <v>440.3</v>
      </c>
      <c r="I239" s="37">
        <v>0</v>
      </c>
      <c r="J239" s="38">
        <v>194595.72</v>
      </c>
      <c r="K239" s="37" t="s">
        <v>615</v>
      </c>
      <c r="N239" s="37" t="s">
        <v>1677</v>
      </c>
      <c r="O239" s="37">
        <v>0</v>
      </c>
      <c r="P239" s="37">
        <v>0</v>
      </c>
      <c r="Q239" s="37">
        <v>0</v>
      </c>
      <c r="R239" s="37">
        <v>0</v>
      </c>
      <c r="T239" s="37">
        <v>0</v>
      </c>
    </row>
    <row r="240" spans="1:20">
      <c r="A240" s="54">
        <v>45413</v>
      </c>
      <c r="B240" s="37" t="s">
        <v>2239</v>
      </c>
      <c r="C240" s="37" t="s">
        <v>712</v>
      </c>
      <c r="D240" s="37" t="s">
        <v>592</v>
      </c>
      <c r="E240" s="56" t="s">
        <v>800</v>
      </c>
      <c r="F240" s="37" t="s">
        <v>616</v>
      </c>
      <c r="G240" s="37" t="s">
        <v>2240</v>
      </c>
      <c r="H240" s="37">
        <v>168.3</v>
      </c>
      <c r="I240" s="37">
        <v>0</v>
      </c>
      <c r="J240" s="38">
        <v>194764.02</v>
      </c>
      <c r="K240" s="37" t="s">
        <v>615</v>
      </c>
      <c r="N240" s="37" t="s">
        <v>1677</v>
      </c>
      <c r="O240" s="37">
        <v>0</v>
      </c>
      <c r="P240" s="37">
        <v>0</v>
      </c>
      <c r="Q240" s="37">
        <v>0</v>
      </c>
      <c r="R240" s="37">
        <v>0</v>
      </c>
      <c r="T240" s="37">
        <v>0</v>
      </c>
    </row>
    <row r="241" spans="1:20">
      <c r="A241" s="54">
        <v>45413</v>
      </c>
      <c r="B241" s="37" t="s">
        <v>2239</v>
      </c>
      <c r="C241" s="37" t="s">
        <v>712</v>
      </c>
      <c r="D241" s="37" t="s">
        <v>592</v>
      </c>
      <c r="E241" s="56" t="s">
        <v>800</v>
      </c>
      <c r="F241" s="37" t="s">
        <v>616</v>
      </c>
      <c r="G241" s="37" t="s">
        <v>2240</v>
      </c>
      <c r="H241" s="37">
        <v>773.52</v>
      </c>
      <c r="I241" s="37">
        <v>0</v>
      </c>
      <c r="J241" s="38">
        <v>195537.54</v>
      </c>
      <c r="K241" s="37" t="s">
        <v>615</v>
      </c>
      <c r="N241" s="37" t="s">
        <v>1677</v>
      </c>
      <c r="O241" s="37">
        <v>0</v>
      </c>
      <c r="P241" s="37">
        <v>0</v>
      </c>
      <c r="Q241" s="37">
        <v>0</v>
      </c>
      <c r="R241" s="37">
        <v>0</v>
      </c>
      <c r="T241" s="37">
        <v>0</v>
      </c>
    </row>
    <row r="242" spans="1:20">
      <c r="A242" s="54">
        <v>45413</v>
      </c>
      <c r="B242" s="37" t="s">
        <v>2239</v>
      </c>
      <c r="C242" s="37" t="s">
        <v>712</v>
      </c>
      <c r="D242" s="37" t="s">
        <v>592</v>
      </c>
      <c r="E242" s="56" t="s">
        <v>800</v>
      </c>
      <c r="F242" s="37" t="s">
        <v>616</v>
      </c>
      <c r="G242" s="37" t="s">
        <v>2240</v>
      </c>
      <c r="H242" s="38">
        <v>1712</v>
      </c>
      <c r="I242" s="37">
        <v>0</v>
      </c>
      <c r="J242" s="38">
        <v>197249.54</v>
      </c>
      <c r="K242" s="37" t="s">
        <v>615</v>
      </c>
      <c r="N242" s="37" t="s">
        <v>1677</v>
      </c>
      <c r="O242" s="37">
        <v>0</v>
      </c>
      <c r="P242" s="37">
        <v>0</v>
      </c>
      <c r="Q242" s="37">
        <v>0</v>
      </c>
      <c r="R242" s="37">
        <v>0</v>
      </c>
      <c r="T242" s="37">
        <v>0</v>
      </c>
    </row>
    <row r="243" spans="1:20">
      <c r="A243" s="54">
        <v>45413</v>
      </c>
      <c r="B243" s="37" t="s">
        <v>2239</v>
      </c>
      <c r="C243" s="37" t="s">
        <v>712</v>
      </c>
      <c r="D243" s="37" t="s">
        <v>592</v>
      </c>
      <c r="E243" s="56" t="s">
        <v>800</v>
      </c>
      <c r="F243" s="37" t="s">
        <v>616</v>
      </c>
      <c r="G243" s="37" t="s">
        <v>2240</v>
      </c>
      <c r="H243" s="37">
        <v>150</v>
      </c>
      <c r="I243" s="37">
        <v>0</v>
      </c>
      <c r="J243" s="38">
        <v>197399.54</v>
      </c>
      <c r="K243" s="37" t="s">
        <v>615</v>
      </c>
      <c r="N243" s="37" t="s">
        <v>1677</v>
      </c>
      <c r="O243" s="37">
        <v>0</v>
      </c>
      <c r="P243" s="37">
        <v>0</v>
      </c>
      <c r="Q243" s="37">
        <v>0</v>
      </c>
      <c r="R243" s="37">
        <v>0</v>
      </c>
      <c r="T243" s="37">
        <v>0</v>
      </c>
    </row>
    <row r="244" spans="1:20">
      <c r="A244" s="54">
        <v>45413</v>
      </c>
      <c r="B244" s="37" t="s">
        <v>2245</v>
      </c>
      <c r="C244" s="37" t="s">
        <v>712</v>
      </c>
      <c r="D244" s="37" t="s">
        <v>592</v>
      </c>
      <c r="E244" s="56" t="s">
        <v>800</v>
      </c>
      <c r="F244" s="37" t="s">
        <v>616</v>
      </c>
      <c r="G244" s="37" t="s">
        <v>2246</v>
      </c>
      <c r="H244" s="38">
        <v>1460</v>
      </c>
      <c r="I244" s="37">
        <v>0</v>
      </c>
      <c r="J244" s="38">
        <v>227915.74</v>
      </c>
      <c r="K244" s="37" t="s">
        <v>615</v>
      </c>
      <c r="O244" s="37">
        <v>0</v>
      </c>
      <c r="P244" s="37">
        <v>0</v>
      </c>
      <c r="Q244" s="37">
        <v>0</v>
      </c>
      <c r="R244" s="37">
        <v>0</v>
      </c>
      <c r="T244" s="37">
        <v>0</v>
      </c>
    </row>
    <row r="245" spans="1:20">
      <c r="A245" s="54">
        <v>45413</v>
      </c>
      <c r="B245" s="37" t="s">
        <v>2243</v>
      </c>
      <c r="C245" s="37" t="s">
        <v>712</v>
      </c>
      <c r="D245" s="37" t="s">
        <v>592</v>
      </c>
      <c r="E245" s="56" t="s">
        <v>800</v>
      </c>
      <c r="F245" s="37" t="s">
        <v>616</v>
      </c>
      <c r="G245" s="37" t="s">
        <v>2244</v>
      </c>
      <c r="H245" s="38">
        <v>27670</v>
      </c>
      <c r="I245" s="37">
        <v>0</v>
      </c>
      <c r="J245" s="38">
        <v>226455.74</v>
      </c>
      <c r="K245" s="37" t="s">
        <v>615</v>
      </c>
      <c r="O245" s="37">
        <v>0</v>
      </c>
      <c r="P245" s="37">
        <v>0</v>
      </c>
      <c r="Q245" s="37">
        <v>0</v>
      </c>
      <c r="R245" s="37">
        <v>0</v>
      </c>
      <c r="T245" s="37">
        <v>0</v>
      </c>
    </row>
    <row r="246" spans="1:20">
      <c r="A246" s="54">
        <v>45414</v>
      </c>
      <c r="B246" s="37" t="s">
        <v>2247</v>
      </c>
      <c r="C246" s="37" t="s">
        <v>712</v>
      </c>
      <c r="D246" s="37" t="s">
        <v>592</v>
      </c>
      <c r="E246" s="56" t="s">
        <v>834</v>
      </c>
      <c r="F246" s="37" t="s">
        <v>782</v>
      </c>
      <c r="G246" s="37" t="s">
        <v>1900</v>
      </c>
      <c r="H246" s="37">
        <v>24</v>
      </c>
      <c r="I246" s="37">
        <v>0</v>
      </c>
      <c r="J246" s="38">
        <v>227939.74</v>
      </c>
      <c r="K246" s="37" t="s">
        <v>615</v>
      </c>
      <c r="O246" s="37">
        <v>0</v>
      </c>
      <c r="P246" s="37">
        <v>0</v>
      </c>
      <c r="Q246" s="37">
        <v>0</v>
      </c>
      <c r="R246" s="37">
        <v>0</v>
      </c>
      <c r="S246" s="37" t="s">
        <v>2248</v>
      </c>
      <c r="T246" s="37">
        <v>0</v>
      </c>
    </row>
    <row r="247" spans="1:20">
      <c r="A247" s="54">
        <v>45415</v>
      </c>
      <c r="B247" s="37" t="s">
        <v>2249</v>
      </c>
      <c r="C247" s="37" t="s">
        <v>712</v>
      </c>
      <c r="D247" s="37" t="s">
        <v>592</v>
      </c>
      <c r="E247" s="56" t="s">
        <v>834</v>
      </c>
      <c r="F247" s="37" t="s">
        <v>782</v>
      </c>
      <c r="G247" s="37" t="s">
        <v>1900</v>
      </c>
      <c r="H247" s="37">
        <v>52.5</v>
      </c>
      <c r="I247" s="37">
        <v>0</v>
      </c>
      <c r="J247" s="38">
        <v>227992.24</v>
      </c>
      <c r="K247" s="37" t="s">
        <v>615</v>
      </c>
      <c r="O247" s="37">
        <v>0</v>
      </c>
      <c r="P247" s="37">
        <v>0</v>
      </c>
      <c r="Q247" s="37">
        <v>0</v>
      </c>
      <c r="R247" s="37">
        <v>0</v>
      </c>
      <c r="S247" s="37" t="s">
        <v>2250</v>
      </c>
      <c r="T247" s="37">
        <v>0</v>
      </c>
    </row>
    <row r="248" spans="1:20">
      <c r="A248" s="54">
        <v>45418</v>
      </c>
      <c r="B248" s="37" t="s">
        <v>2251</v>
      </c>
      <c r="C248" s="37" t="s">
        <v>712</v>
      </c>
      <c r="D248" s="37" t="s">
        <v>592</v>
      </c>
      <c r="E248" s="56" t="s">
        <v>834</v>
      </c>
      <c r="F248" s="37" t="s">
        <v>782</v>
      </c>
      <c r="G248" s="37" t="s">
        <v>1900</v>
      </c>
      <c r="H248" s="37">
        <v>52.5</v>
      </c>
      <c r="I248" s="37">
        <v>0</v>
      </c>
      <c r="J248" s="38">
        <v>228044.74</v>
      </c>
      <c r="K248" s="37" t="s">
        <v>615</v>
      </c>
      <c r="O248" s="37">
        <v>0</v>
      </c>
      <c r="P248" s="37">
        <v>0</v>
      </c>
      <c r="Q248" s="37">
        <v>0</v>
      </c>
      <c r="R248" s="37">
        <v>0</v>
      </c>
      <c r="S248" s="37" t="s">
        <v>2252</v>
      </c>
      <c r="T248" s="37">
        <v>0</v>
      </c>
    </row>
    <row r="249" spans="1:20">
      <c r="A249" s="54">
        <v>45421</v>
      </c>
      <c r="B249" s="37" t="s">
        <v>2253</v>
      </c>
      <c r="C249" s="37" t="s">
        <v>712</v>
      </c>
      <c r="D249" s="37" t="s">
        <v>592</v>
      </c>
      <c r="E249" s="56" t="s">
        <v>834</v>
      </c>
      <c r="F249" s="37" t="s">
        <v>782</v>
      </c>
      <c r="G249" s="37" t="s">
        <v>1883</v>
      </c>
      <c r="H249" s="37">
        <v>52.5</v>
      </c>
      <c r="I249" s="37">
        <v>0</v>
      </c>
      <c r="J249" s="38">
        <v>228097.24</v>
      </c>
      <c r="K249" s="37" t="s">
        <v>615</v>
      </c>
      <c r="O249" s="37">
        <v>0</v>
      </c>
      <c r="P249" s="37">
        <v>0</v>
      </c>
      <c r="Q249" s="37">
        <v>0</v>
      </c>
      <c r="R249" s="37">
        <v>0</v>
      </c>
      <c r="S249" s="37" t="s">
        <v>2254</v>
      </c>
      <c r="T249" s="37">
        <v>0</v>
      </c>
    </row>
    <row r="250" spans="1:20">
      <c r="A250" s="54">
        <v>45422</v>
      </c>
      <c r="B250" s="37" t="s">
        <v>2259</v>
      </c>
      <c r="C250" s="37" t="s">
        <v>712</v>
      </c>
      <c r="D250" s="37" t="s">
        <v>592</v>
      </c>
      <c r="E250" s="56" t="s">
        <v>834</v>
      </c>
      <c r="F250" s="37" t="s">
        <v>616</v>
      </c>
      <c r="G250" s="37" t="s">
        <v>2260</v>
      </c>
      <c r="H250" s="38">
        <v>5807.73</v>
      </c>
      <c r="I250" s="37">
        <v>0</v>
      </c>
      <c r="J250" s="38">
        <v>234009.97</v>
      </c>
      <c r="K250" s="37" t="s">
        <v>615</v>
      </c>
      <c r="O250" s="37">
        <v>0</v>
      </c>
      <c r="P250" s="37">
        <v>0</v>
      </c>
      <c r="Q250" s="37">
        <v>0</v>
      </c>
      <c r="R250" s="37">
        <v>0</v>
      </c>
      <c r="T250" s="37">
        <v>0</v>
      </c>
    </row>
    <row r="251" spans="1:20">
      <c r="A251" s="54">
        <v>45422</v>
      </c>
      <c r="B251" s="37" t="s">
        <v>2255</v>
      </c>
      <c r="C251" s="37" t="s">
        <v>712</v>
      </c>
      <c r="D251" s="37" t="s">
        <v>592</v>
      </c>
      <c r="E251" s="56" t="s">
        <v>834</v>
      </c>
      <c r="F251" s="37" t="s">
        <v>782</v>
      </c>
      <c r="G251" s="37" t="s">
        <v>1883</v>
      </c>
      <c r="H251" s="37">
        <v>52.5</v>
      </c>
      <c r="I251" s="37">
        <v>0</v>
      </c>
      <c r="J251" s="38">
        <v>228149.74</v>
      </c>
      <c r="K251" s="37" t="s">
        <v>615</v>
      </c>
      <c r="O251" s="37">
        <v>0</v>
      </c>
      <c r="P251" s="37">
        <v>0</v>
      </c>
      <c r="Q251" s="37">
        <v>0</v>
      </c>
      <c r="R251" s="37">
        <v>0</v>
      </c>
      <c r="S251" s="37" t="s">
        <v>2256</v>
      </c>
      <c r="T251" s="37">
        <v>0</v>
      </c>
    </row>
    <row r="252" spans="1:20">
      <c r="A252" s="54">
        <v>45422</v>
      </c>
      <c r="B252" s="37" t="s">
        <v>2257</v>
      </c>
      <c r="C252" s="37" t="s">
        <v>712</v>
      </c>
      <c r="D252" s="37" t="s">
        <v>592</v>
      </c>
      <c r="E252" s="56" t="s">
        <v>834</v>
      </c>
      <c r="F252" s="37" t="s">
        <v>782</v>
      </c>
      <c r="G252" s="37" t="s">
        <v>1883</v>
      </c>
      <c r="H252" s="37">
        <v>52.5</v>
      </c>
      <c r="I252" s="37">
        <v>0</v>
      </c>
      <c r="J252" s="38">
        <v>228202.23999999999</v>
      </c>
      <c r="K252" s="37" t="s">
        <v>615</v>
      </c>
      <c r="O252" s="37">
        <v>0</v>
      </c>
      <c r="P252" s="37">
        <v>0</v>
      </c>
      <c r="Q252" s="37">
        <v>0</v>
      </c>
      <c r="R252" s="37">
        <v>0</v>
      </c>
      <c r="S252" s="37" t="s">
        <v>2258</v>
      </c>
      <c r="T252" s="37">
        <v>0</v>
      </c>
    </row>
    <row r="253" spans="1:20">
      <c r="A253" s="54">
        <v>45423</v>
      </c>
      <c r="B253" s="37" t="s">
        <v>2261</v>
      </c>
      <c r="C253" s="37" t="s">
        <v>712</v>
      </c>
      <c r="D253" s="37" t="s">
        <v>592</v>
      </c>
      <c r="E253" s="56" t="s">
        <v>834</v>
      </c>
      <c r="F253" s="37" t="s">
        <v>782</v>
      </c>
      <c r="G253" s="37" t="s">
        <v>1900</v>
      </c>
      <c r="H253" s="37">
        <v>42</v>
      </c>
      <c r="I253" s="37">
        <v>0</v>
      </c>
      <c r="J253" s="38">
        <v>234051.97</v>
      </c>
      <c r="K253" s="37" t="s">
        <v>615</v>
      </c>
      <c r="O253" s="37">
        <v>0</v>
      </c>
      <c r="P253" s="37">
        <v>0</v>
      </c>
      <c r="Q253" s="37">
        <v>0</v>
      </c>
      <c r="R253" s="37">
        <v>0</v>
      </c>
      <c r="S253" s="37" t="s">
        <v>2261</v>
      </c>
      <c r="T253" s="37">
        <v>0</v>
      </c>
    </row>
    <row r="254" spans="1:20">
      <c r="A254" s="54">
        <v>45424</v>
      </c>
      <c r="B254" s="37" t="s">
        <v>2262</v>
      </c>
      <c r="C254" s="37" t="s">
        <v>712</v>
      </c>
      <c r="D254" s="37" t="s">
        <v>592</v>
      </c>
      <c r="E254" s="56" t="s">
        <v>834</v>
      </c>
      <c r="F254" s="37" t="s">
        <v>782</v>
      </c>
      <c r="G254" s="37" t="s">
        <v>1898</v>
      </c>
      <c r="H254" s="37">
        <v>52.5</v>
      </c>
      <c r="I254" s="37">
        <v>0</v>
      </c>
      <c r="J254" s="38">
        <v>234104.47</v>
      </c>
      <c r="K254" s="37" t="s">
        <v>615</v>
      </c>
      <c r="O254" s="37">
        <v>0</v>
      </c>
      <c r="P254" s="37">
        <v>0</v>
      </c>
      <c r="Q254" s="37">
        <v>0</v>
      </c>
      <c r="R254" s="37">
        <v>0</v>
      </c>
      <c r="S254" s="37" t="s">
        <v>2262</v>
      </c>
      <c r="T254" s="37">
        <v>0</v>
      </c>
    </row>
    <row r="255" spans="1:20">
      <c r="A255" s="54">
        <v>45424</v>
      </c>
      <c r="B255" s="37" t="s">
        <v>2264</v>
      </c>
      <c r="C255" s="37" t="s">
        <v>712</v>
      </c>
      <c r="D255" s="37" t="s">
        <v>592</v>
      </c>
      <c r="E255" s="56" t="s">
        <v>834</v>
      </c>
      <c r="F255" s="37" t="s">
        <v>782</v>
      </c>
      <c r="G255" s="37" t="s">
        <v>1883</v>
      </c>
      <c r="H255" s="37">
        <v>52.5</v>
      </c>
      <c r="I255" s="37">
        <v>0</v>
      </c>
      <c r="J255" s="38">
        <v>234209.47</v>
      </c>
      <c r="K255" s="37" t="s">
        <v>615</v>
      </c>
      <c r="O255" s="37">
        <v>0</v>
      </c>
      <c r="P255" s="37">
        <v>0</v>
      </c>
      <c r="Q255" s="37">
        <v>0</v>
      </c>
      <c r="R255" s="37">
        <v>0</v>
      </c>
      <c r="S255" s="37" t="s">
        <v>2264</v>
      </c>
      <c r="T255" s="37">
        <v>0</v>
      </c>
    </row>
    <row r="256" spans="1:20">
      <c r="A256" s="54">
        <v>45424</v>
      </c>
      <c r="B256" s="37" t="s">
        <v>2263</v>
      </c>
      <c r="C256" s="37" t="s">
        <v>712</v>
      </c>
      <c r="D256" s="37" t="s">
        <v>592</v>
      </c>
      <c r="E256" s="56" t="s">
        <v>834</v>
      </c>
      <c r="F256" s="37" t="s">
        <v>782</v>
      </c>
      <c r="G256" s="37" t="s">
        <v>1900</v>
      </c>
      <c r="H256" s="37">
        <v>52.5</v>
      </c>
      <c r="I256" s="37">
        <v>0</v>
      </c>
      <c r="J256" s="38">
        <v>234156.97</v>
      </c>
      <c r="K256" s="37" t="s">
        <v>615</v>
      </c>
      <c r="O256" s="37">
        <v>0</v>
      </c>
      <c r="P256" s="37">
        <v>0</v>
      </c>
      <c r="Q256" s="37">
        <v>0</v>
      </c>
      <c r="R256" s="37">
        <v>0</v>
      </c>
      <c r="S256" s="37" t="s">
        <v>2263</v>
      </c>
      <c r="T256" s="37">
        <v>0</v>
      </c>
    </row>
    <row r="257" spans="1:20">
      <c r="A257" s="54">
        <v>45425</v>
      </c>
      <c r="B257" s="37" t="s">
        <v>2265</v>
      </c>
      <c r="C257" s="37" t="s">
        <v>712</v>
      </c>
      <c r="D257" s="37" t="s">
        <v>592</v>
      </c>
      <c r="E257" s="56" t="s">
        <v>834</v>
      </c>
      <c r="F257" s="37" t="s">
        <v>782</v>
      </c>
      <c r="G257" s="37" t="s">
        <v>1883</v>
      </c>
      <c r="H257" s="37">
        <v>52.5</v>
      </c>
      <c r="I257" s="37">
        <v>0</v>
      </c>
      <c r="J257" s="38">
        <v>234261.97</v>
      </c>
      <c r="K257" s="37" t="s">
        <v>615</v>
      </c>
      <c r="O257" s="37">
        <v>0</v>
      </c>
      <c r="P257" s="37">
        <v>0</v>
      </c>
      <c r="Q257" s="37">
        <v>0</v>
      </c>
      <c r="R257" s="37">
        <v>0</v>
      </c>
      <c r="S257" s="37" t="s">
        <v>2266</v>
      </c>
      <c r="T257" s="37">
        <v>0</v>
      </c>
    </row>
    <row r="258" spans="1:20">
      <c r="A258" s="54">
        <v>45427</v>
      </c>
      <c r="B258" s="37" t="s">
        <v>2267</v>
      </c>
      <c r="C258" s="37" t="s">
        <v>712</v>
      </c>
      <c r="D258" s="37" t="s">
        <v>592</v>
      </c>
      <c r="E258" s="56" t="s">
        <v>834</v>
      </c>
      <c r="F258" s="37" t="s">
        <v>782</v>
      </c>
      <c r="G258" s="37" t="s">
        <v>1996</v>
      </c>
      <c r="H258" s="37">
        <v>52.5</v>
      </c>
      <c r="I258" s="37">
        <v>0</v>
      </c>
      <c r="J258" s="38">
        <v>234314.47</v>
      </c>
      <c r="K258" s="37" t="s">
        <v>615</v>
      </c>
      <c r="O258" s="37">
        <v>0</v>
      </c>
      <c r="P258" s="37">
        <v>0</v>
      </c>
      <c r="Q258" s="37">
        <v>0</v>
      </c>
      <c r="R258" s="37">
        <v>0</v>
      </c>
      <c r="S258" s="37" t="s">
        <v>2268</v>
      </c>
      <c r="T258" s="37">
        <v>0</v>
      </c>
    </row>
    <row r="259" spans="1:20">
      <c r="A259" s="54">
        <v>45427</v>
      </c>
      <c r="B259" s="37" t="s">
        <v>2269</v>
      </c>
      <c r="C259" s="37" t="s">
        <v>712</v>
      </c>
      <c r="D259" s="37" t="s">
        <v>592</v>
      </c>
      <c r="E259" s="56" t="s">
        <v>834</v>
      </c>
      <c r="F259" s="37" t="s">
        <v>782</v>
      </c>
      <c r="G259" s="37" t="s">
        <v>1900</v>
      </c>
      <c r="H259" s="37">
        <v>119.7</v>
      </c>
      <c r="I259" s="37">
        <v>0</v>
      </c>
      <c r="J259" s="38">
        <v>234434.17</v>
      </c>
      <c r="K259" s="37" t="s">
        <v>615</v>
      </c>
      <c r="O259" s="37">
        <v>0</v>
      </c>
      <c r="P259" s="37">
        <v>0</v>
      </c>
      <c r="Q259" s="37">
        <v>0</v>
      </c>
      <c r="R259" s="37">
        <v>0</v>
      </c>
      <c r="S259" s="37" t="s">
        <v>2270</v>
      </c>
      <c r="T259" s="37">
        <v>0</v>
      </c>
    </row>
    <row r="260" spans="1:20">
      <c r="A260" s="54">
        <v>45427</v>
      </c>
      <c r="B260" s="37" t="s">
        <v>2271</v>
      </c>
      <c r="C260" s="37" t="s">
        <v>712</v>
      </c>
      <c r="D260" s="37" t="s">
        <v>592</v>
      </c>
      <c r="E260" s="56" t="s">
        <v>834</v>
      </c>
      <c r="F260" s="37" t="s">
        <v>782</v>
      </c>
      <c r="G260" s="37" t="s">
        <v>1900</v>
      </c>
      <c r="H260" s="37">
        <v>37.5</v>
      </c>
      <c r="I260" s="37">
        <v>0</v>
      </c>
      <c r="J260" s="38">
        <v>234471.67</v>
      </c>
      <c r="K260" s="37" t="s">
        <v>615</v>
      </c>
      <c r="O260" s="37">
        <v>0</v>
      </c>
      <c r="P260" s="37">
        <v>0</v>
      </c>
      <c r="Q260" s="37">
        <v>0</v>
      </c>
      <c r="R260" s="37">
        <v>0</v>
      </c>
      <c r="S260" s="37" t="s">
        <v>2272</v>
      </c>
      <c r="T260" s="37">
        <v>0</v>
      </c>
    </row>
    <row r="261" spans="1:20">
      <c r="A261" s="54">
        <v>45427</v>
      </c>
      <c r="B261" s="37" t="s">
        <v>2273</v>
      </c>
      <c r="C261" s="37" t="s">
        <v>712</v>
      </c>
      <c r="D261" s="37" t="s">
        <v>592</v>
      </c>
      <c r="E261" s="56" t="s">
        <v>834</v>
      </c>
      <c r="F261" s="37" t="s">
        <v>782</v>
      </c>
      <c r="G261" s="37" t="s">
        <v>1900</v>
      </c>
      <c r="H261" s="37">
        <v>138</v>
      </c>
      <c r="I261" s="37">
        <v>0</v>
      </c>
      <c r="J261" s="38">
        <v>234609.67</v>
      </c>
      <c r="K261" s="37" t="s">
        <v>615</v>
      </c>
      <c r="O261" s="37">
        <v>0</v>
      </c>
      <c r="P261" s="37">
        <v>0</v>
      </c>
      <c r="Q261" s="37">
        <v>0</v>
      </c>
      <c r="R261" s="37">
        <v>0</v>
      </c>
      <c r="S261" s="37" t="s">
        <v>2274</v>
      </c>
      <c r="T261" s="37">
        <v>0</v>
      </c>
    </row>
    <row r="262" spans="1:20">
      <c r="A262" s="54">
        <v>45428</v>
      </c>
      <c r="B262" s="37" t="s">
        <v>2275</v>
      </c>
      <c r="C262" s="37" t="s">
        <v>712</v>
      </c>
      <c r="D262" s="37" t="s">
        <v>592</v>
      </c>
      <c r="E262" s="56" t="s">
        <v>834</v>
      </c>
      <c r="F262" s="37" t="s">
        <v>782</v>
      </c>
      <c r="G262" s="37" t="s">
        <v>1900</v>
      </c>
      <c r="H262" s="37">
        <v>52.5</v>
      </c>
      <c r="I262" s="37">
        <v>0</v>
      </c>
      <c r="J262" s="38">
        <v>234662.17</v>
      </c>
      <c r="K262" s="37" t="s">
        <v>615</v>
      </c>
      <c r="O262" s="37">
        <v>0</v>
      </c>
      <c r="P262" s="37">
        <v>0</v>
      </c>
      <c r="Q262" s="37">
        <v>0</v>
      </c>
      <c r="R262" s="37">
        <v>0</v>
      </c>
      <c r="S262" s="37" t="s">
        <v>2276</v>
      </c>
      <c r="T262" s="37">
        <v>0</v>
      </c>
    </row>
    <row r="263" spans="1:20">
      <c r="A263" s="54">
        <v>45429</v>
      </c>
      <c r="B263" s="37" t="s">
        <v>2279</v>
      </c>
      <c r="C263" s="37" t="s">
        <v>712</v>
      </c>
      <c r="D263" s="37" t="s">
        <v>592</v>
      </c>
      <c r="E263" s="56" t="s">
        <v>834</v>
      </c>
      <c r="F263" s="37" t="s">
        <v>782</v>
      </c>
      <c r="G263" s="37" t="s">
        <v>1929</v>
      </c>
      <c r="H263" s="37">
        <v>52.5</v>
      </c>
      <c r="I263" s="37">
        <v>0</v>
      </c>
      <c r="J263" s="38">
        <v>234767.17</v>
      </c>
      <c r="K263" s="37" t="s">
        <v>615</v>
      </c>
      <c r="O263" s="37">
        <v>0</v>
      </c>
      <c r="P263" s="37">
        <v>0</v>
      </c>
      <c r="Q263" s="37">
        <v>0</v>
      </c>
      <c r="R263" s="37">
        <v>0</v>
      </c>
      <c r="S263" s="37" t="s">
        <v>2280</v>
      </c>
      <c r="T263" s="37">
        <v>0</v>
      </c>
    </row>
    <row r="264" spans="1:20">
      <c r="A264" s="54">
        <v>45429</v>
      </c>
      <c r="B264" s="37" t="s">
        <v>2281</v>
      </c>
      <c r="C264" s="37" t="s">
        <v>712</v>
      </c>
      <c r="D264" s="37" t="s">
        <v>592</v>
      </c>
      <c r="E264" s="56" t="s">
        <v>834</v>
      </c>
      <c r="F264" s="37" t="s">
        <v>782</v>
      </c>
      <c r="G264" s="37" t="s">
        <v>1883</v>
      </c>
      <c r="H264" s="37">
        <v>52.5</v>
      </c>
      <c r="I264" s="37">
        <v>0</v>
      </c>
      <c r="J264" s="38">
        <v>234819.67</v>
      </c>
      <c r="K264" s="37" t="s">
        <v>615</v>
      </c>
      <c r="O264" s="37">
        <v>0</v>
      </c>
      <c r="P264" s="37">
        <v>0</v>
      </c>
      <c r="Q264" s="37">
        <v>0</v>
      </c>
      <c r="R264" s="37">
        <v>0</v>
      </c>
      <c r="S264" s="37" t="s">
        <v>890</v>
      </c>
      <c r="T264" s="37">
        <v>0</v>
      </c>
    </row>
    <row r="265" spans="1:20">
      <c r="A265" s="54">
        <v>45429</v>
      </c>
      <c r="B265" s="37" t="s">
        <v>2277</v>
      </c>
      <c r="C265" s="37" t="s">
        <v>712</v>
      </c>
      <c r="D265" s="37" t="s">
        <v>592</v>
      </c>
      <c r="E265" s="56" t="s">
        <v>834</v>
      </c>
      <c r="F265" s="37" t="s">
        <v>782</v>
      </c>
      <c r="G265" s="37" t="s">
        <v>1900</v>
      </c>
      <c r="H265" s="37">
        <v>52.5</v>
      </c>
      <c r="I265" s="37">
        <v>0</v>
      </c>
      <c r="J265" s="38">
        <v>234714.67</v>
      </c>
      <c r="K265" s="37" t="s">
        <v>615</v>
      </c>
      <c r="O265" s="37">
        <v>0</v>
      </c>
      <c r="P265" s="37">
        <v>0</v>
      </c>
      <c r="Q265" s="37">
        <v>0</v>
      </c>
      <c r="R265" s="37">
        <v>0</v>
      </c>
      <c r="S265" s="37" t="s">
        <v>2278</v>
      </c>
      <c r="T265" s="37">
        <v>0</v>
      </c>
    </row>
    <row r="266" spans="1:20">
      <c r="A266" s="54">
        <v>45429</v>
      </c>
      <c r="B266" s="37" t="s">
        <v>2282</v>
      </c>
      <c r="C266" s="37" t="s">
        <v>712</v>
      </c>
      <c r="D266" s="37" t="s">
        <v>592</v>
      </c>
      <c r="E266" s="56" t="s">
        <v>834</v>
      </c>
      <c r="F266" s="37" t="s">
        <v>782</v>
      </c>
      <c r="G266" s="37" t="s">
        <v>1900</v>
      </c>
      <c r="H266" s="37">
        <v>52.5</v>
      </c>
      <c r="I266" s="37">
        <v>0</v>
      </c>
      <c r="J266" s="38">
        <v>234872.17</v>
      </c>
      <c r="K266" s="37" t="s">
        <v>615</v>
      </c>
      <c r="O266" s="37">
        <v>0</v>
      </c>
      <c r="P266" s="37">
        <v>0</v>
      </c>
      <c r="Q266" s="37">
        <v>0</v>
      </c>
      <c r="R266" s="37">
        <v>0</v>
      </c>
      <c r="S266" s="37" t="s">
        <v>2283</v>
      </c>
      <c r="T266" s="37">
        <v>0</v>
      </c>
    </row>
    <row r="267" spans="1:20">
      <c r="A267" s="54">
        <v>45431</v>
      </c>
      <c r="B267" s="37" t="s">
        <v>2284</v>
      </c>
      <c r="C267" s="37" t="s">
        <v>712</v>
      </c>
      <c r="D267" s="37" t="s">
        <v>592</v>
      </c>
      <c r="E267" s="56" t="s">
        <v>834</v>
      </c>
      <c r="F267" s="37" t="s">
        <v>782</v>
      </c>
      <c r="G267" s="37" t="s">
        <v>1900</v>
      </c>
      <c r="H267" s="37">
        <v>157.19999999999999</v>
      </c>
      <c r="I267" s="37">
        <v>0</v>
      </c>
      <c r="J267" s="38">
        <v>235029.37</v>
      </c>
      <c r="K267" s="37" t="s">
        <v>615</v>
      </c>
      <c r="O267" s="37">
        <v>0</v>
      </c>
      <c r="P267" s="37">
        <v>0</v>
      </c>
      <c r="Q267" s="37">
        <v>0</v>
      </c>
      <c r="R267" s="37">
        <v>0</v>
      </c>
      <c r="S267" s="37" t="s">
        <v>2284</v>
      </c>
      <c r="T267" s="37">
        <v>0</v>
      </c>
    </row>
    <row r="268" spans="1:20">
      <c r="A268" s="54">
        <v>45432</v>
      </c>
      <c r="B268" s="37" t="s">
        <v>2287</v>
      </c>
      <c r="C268" s="37" t="s">
        <v>712</v>
      </c>
      <c r="D268" s="37" t="s">
        <v>592</v>
      </c>
      <c r="E268" s="56" t="s">
        <v>834</v>
      </c>
      <c r="F268" s="37" t="s">
        <v>616</v>
      </c>
      <c r="G268" s="37" t="s">
        <v>2288</v>
      </c>
      <c r="H268" s="38">
        <v>6866.21</v>
      </c>
      <c r="I268" s="37">
        <v>0</v>
      </c>
      <c r="J268" s="38">
        <v>241995.58</v>
      </c>
      <c r="K268" s="37" t="s">
        <v>615</v>
      </c>
      <c r="O268" s="37">
        <v>0</v>
      </c>
      <c r="P268" s="37">
        <v>0</v>
      </c>
      <c r="Q268" s="37">
        <v>0</v>
      </c>
      <c r="R268" s="37">
        <v>0</v>
      </c>
      <c r="T268" s="37">
        <v>0</v>
      </c>
    </row>
    <row r="269" spans="1:20">
      <c r="A269" s="54">
        <v>45432</v>
      </c>
      <c r="B269" s="37" t="s">
        <v>2289</v>
      </c>
      <c r="C269" s="37" t="s">
        <v>712</v>
      </c>
      <c r="D269" s="37" t="s">
        <v>592</v>
      </c>
      <c r="E269" s="56" t="s">
        <v>834</v>
      </c>
      <c r="F269" s="37" t="s">
        <v>782</v>
      </c>
      <c r="G269" s="37" t="s">
        <v>1883</v>
      </c>
      <c r="H269" s="37">
        <v>52.5</v>
      </c>
      <c r="I269" s="37">
        <v>0</v>
      </c>
      <c r="J269" s="38">
        <v>242048.08</v>
      </c>
      <c r="K269" s="37" t="s">
        <v>615</v>
      </c>
      <c r="O269" s="37">
        <v>0</v>
      </c>
      <c r="P269" s="37">
        <v>0</v>
      </c>
      <c r="Q269" s="37">
        <v>0</v>
      </c>
      <c r="R269" s="37">
        <v>0</v>
      </c>
      <c r="S269" s="37" t="s">
        <v>2285</v>
      </c>
      <c r="T269" s="37">
        <v>0</v>
      </c>
    </row>
    <row r="270" spans="1:20">
      <c r="A270" s="54">
        <v>45432</v>
      </c>
      <c r="B270" s="37" t="s">
        <v>2290</v>
      </c>
      <c r="C270" s="37" t="s">
        <v>712</v>
      </c>
      <c r="D270" s="37" t="s">
        <v>592</v>
      </c>
      <c r="E270" s="56" t="s">
        <v>834</v>
      </c>
      <c r="F270" s="37" t="s">
        <v>782</v>
      </c>
      <c r="G270" s="37" t="s">
        <v>1900</v>
      </c>
      <c r="H270" s="37">
        <v>138</v>
      </c>
      <c r="I270" s="37">
        <v>0</v>
      </c>
      <c r="J270" s="38">
        <v>242186.08</v>
      </c>
      <c r="K270" s="37" t="s">
        <v>615</v>
      </c>
      <c r="O270" s="37">
        <v>0</v>
      </c>
      <c r="P270" s="37">
        <v>0</v>
      </c>
      <c r="Q270" s="37">
        <v>0</v>
      </c>
      <c r="R270" s="37">
        <v>0</v>
      </c>
      <c r="S270" s="37" t="s">
        <v>2291</v>
      </c>
      <c r="T270" s="37">
        <v>0</v>
      </c>
    </row>
    <row r="271" spans="1:20">
      <c r="A271" s="54">
        <v>45432</v>
      </c>
      <c r="B271" s="37" t="s">
        <v>2285</v>
      </c>
      <c r="C271" s="37" t="s">
        <v>712</v>
      </c>
      <c r="D271" s="37" t="s">
        <v>592</v>
      </c>
      <c r="E271" s="56" t="s">
        <v>800</v>
      </c>
      <c r="F271" s="37" t="s">
        <v>616</v>
      </c>
      <c r="G271" s="37" t="s">
        <v>2286</v>
      </c>
      <c r="H271" s="37">
        <v>100</v>
      </c>
      <c r="I271" s="37">
        <v>0</v>
      </c>
      <c r="J271" s="38">
        <v>235129.37</v>
      </c>
      <c r="K271" s="37" t="s">
        <v>615</v>
      </c>
      <c r="O271" s="37">
        <v>0</v>
      </c>
      <c r="P271" s="37">
        <v>0</v>
      </c>
      <c r="Q271" s="37">
        <v>0</v>
      </c>
      <c r="R271" s="37">
        <v>0</v>
      </c>
      <c r="T271" s="37">
        <v>0</v>
      </c>
    </row>
    <row r="272" spans="1:20">
      <c r="A272" s="54">
        <v>45434</v>
      </c>
      <c r="B272" s="37" t="s">
        <v>2292</v>
      </c>
      <c r="C272" s="37" t="s">
        <v>712</v>
      </c>
      <c r="D272" s="37" t="s">
        <v>592</v>
      </c>
      <c r="E272" s="56" t="s">
        <v>834</v>
      </c>
      <c r="F272" s="37" t="s">
        <v>782</v>
      </c>
      <c r="G272" s="37" t="s">
        <v>1908</v>
      </c>
      <c r="H272" s="37">
        <v>60</v>
      </c>
      <c r="I272" s="37">
        <v>0</v>
      </c>
      <c r="J272" s="38">
        <v>242246.08</v>
      </c>
      <c r="K272" s="37" t="s">
        <v>615</v>
      </c>
      <c r="O272" s="37">
        <v>0</v>
      </c>
      <c r="P272" s="37">
        <v>0</v>
      </c>
      <c r="Q272" s="37">
        <v>0</v>
      </c>
      <c r="R272" s="37">
        <v>0</v>
      </c>
      <c r="S272" s="37" t="s">
        <v>2293</v>
      </c>
      <c r="T272" s="37">
        <v>0</v>
      </c>
    </row>
    <row r="273" spans="1:20">
      <c r="A273" s="54">
        <v>45435</v>
      </c>
      <c r="B273" s="37" t="s">
        <v>2294</v>
      </c>
      <c r="C273" s="37" t="s">
        <v>712</v>
      </c>
      <c r="D273" s="37" t="s">
        <v>592</v>
      </c>
      <c r="E273" s="56" t="s">
        <v>834</v>
      </c>
      <c r="F273" s="37" t="s">
        <v>782</v>
      </c>
      <c r="G273" s="37" t="s">
        <v>1929</v>
      </c>
      <c r="H273" s="37">
        <v>52.5</v>
      </c>
      <c r="I273" s="37">
        <v>0</v>
      </c>
      <c r="J273" s="38">
        <v>242298.58</v>
      </c>
      <c r="K273" s="37" t="s">
        <v>615</v>
      </c>
      <c r="O273" s="37">
        <v>0</v>
      </c>
      <c r="P273" s="37">
        <v>0</v>
      </c>
      <c r="Q273" s="37">
        <v>0</v>
      </c>
      <c r="R273" s="37">
        <v>0</v>
      </c>
      <c r="S273" s="37" t="s">
        <v>2295</v>
      </c>
      <c r="T273" s="37">
        <v>0</v>
      </c>
    </row>
    <row r="274" spans="1:20">
      <c r="A274" s="54">
        <v>45435</v>
      </c>
      <c r="B274" s="37" t="s">
        <v>2296</v>
      </c>
      <c r="C274" s="37" t="s">
        <v>712</v>
      </c>
      <c r="D274" s="37" t="s">
        <v>592</v>
      </c>
      <c r="E274" s="56" t="s">
        <v>834</v>
      </c>
      <c r="F274" s="37" t="s">
        <v>782</v>
      </c>
      <c r="G274" s="37" t="s">
        <v>1900</v>
      </c>
      <c r="H274" s="37">
        <v>33.6</v>
      </c>
      <c r="I274" s="37">
        <v>0</v>
      </c>
      <c r="J274" s="38">
        <v>242332.18</v>
      </c>
      <c r="K274" s="37" t="s">
        <v>615</v>
      </c>
      <c r="O274" s="37">
        <v>0</v>
      </c>
      <c r="P274" s="37">
        <v>0</v>
      </c>
      <c r="Q274" s="37">
        <v>0</v>
      </c>
      <c r="R274" s="37">
        <v>0</v>
      </c>
      <c r="S274" s="37" t="s">
        <v>2297</v>
      </c>
      <c r="T274" s="37">
        <v>0</v>
      </c>
    </row>
    <row r="275" spans="1:20">
      <c r="A275" s="54">
        <v>45435</v>
      </c>
      <c r="B275" s="37" t="s">
        <v>2298</v>
      </c>
      <c r="C275" s="37" t="s">
        <v>712</v>
      </c>
      <c r="D275" s="37" t="s">
        <v>592</v>
      </c>
      <c r="E275" s="56" t="s">
        <v>834</v>
      </c>
      <c r="F275" s="37" t="s">
        <v>782</v>
      </c>
      <c r="G275" s="37" t="s">
        <v>1900</v>
      </c>
      <c r="H275" s="37">
        <v>52.5</v>
      </c>
      <c r="I275" s="37">
        <v>0</v>
      </c>
      <c r="J275" s="38">
        <v>242384.68</v>
      </c>
      <c r="K275" s="37" t="s">
        <v>615</v>
      </c>
      <c r="O275" s="37">
        <v>0</v>
      </c>
      <c r="P275" s="37">
        <v>0</v>
      </c>
      <c r="Q275" s="37">
        <v>0</v>
      </c>
      <c r="R275" s="37">
        <v>0</v>
      </c>
      <c r="S275" s="37" t="s">
        <v>2299</v>
      </c>
      <c r="T275" s="37">
        <v>0</v>
      </c>
    </row>
    <row r="276" spans="1:20">
      <c r="A276" s="54">
        <v>45437</v>
      </c>
      <c r="B276" s="37" t="s">
        <v>1294</v>
      </c>
      <c r="C276" s="37" t="s">
        <v>712</v>
      </c>
      <c r="D276" s="37" t="s">
        <v>592</v>
      </c>
      <c r="E276" s="56" t="s">
        <v>834</v>
      </c>
      <c r="F276" s="37" t="s">
        <v>782</v>
      </c>
      <c r="G276" s="37" t="s">
        <v>1900</v>
      </c>
      <c r="H276" s="37">
        <v>119.7</v>
      </c>
      <c r="I276" s="37">
        <v>0</v>
      </c>
      <c r="J276" s="38">
        <v>242504.38</v>
      </c>
      <c r="K276" s="37" t="s">
        <v>615</v>
      </c>
      <c r="O276" s="37">
        <v>0</v>
      </c>
      <c r="P276" s="37">
        <v>0</v>
      </c>
      <c r="Q276" s="37">
        <v>0</v>
      </c>
      <c r="R276" s="37">
        <v>0</v>
      </c>
      <c r="S276" s="37" t="s">
        <v>1294</v>
      </c>
      <c r="T276" s="37">
        <v>0</v>
      </c>
    </row>
    <row r="277" spans="1:20">
      <c r="A277" s="54">
        <v>45437</v>
      </c>
      <c r="B277" s="37" t="s">
        <v>2300</v>
      </c>
      <c r="C277" s="37" t="s">
        <v>712</v>
      </c>
      <c r="D277" s="37" t="s">
        <v>592</v>
      </c>
      <c r="E277" s="56" t="s">
        <v>834</v>
      </c>
      <c r="F277" s="37" t="s">
        <v>782</v>
      </c>
      <c r="G277" s="37" t="s">
        <v>1900</v>
      </c>
      <c r="H277" s="37">
        <v>52.5</v>
      </c>
      <c r="I277" s="37">
        <v>0</v>
      </c>
      <c r="J277" s="38">
        <v>242556.88</v>
      </c>
      <c r="K277" s="37" t="s">
        <v>615</v>
      </c>
      <c r="O277" s="37">
        <v>0</v>
      </c>
      <c r="P277" s="37">
        <v>0</v>
      </c>
      <c r="Q277" s="37">
        <v>0</v>
      </c>
      <c r="R277" s="37">
        <v>0</v>
      </c>
      <c r="S277" s="37" t="s">
        <v>2300</v>
      </c>
      <c r="T277" s="37">
        <v>0</v>
      </c>
    </row>
    <row r="278" spans="1:20">
      <c r="A278" s="54">
        <v>45437</v>
      </c>
      <c r="B278" s="37" t="s">
        <v>2301</v>
      </c>
      <c r="C278" s="37" t="s">
        <v>712</v>
      </c>
      <c r="D278" s="37" t="s">
        <v>592</v>
      </c>
      <c r="E278" s="56" t="s">
        <v>834</v>
      </c>
      <c r="F278" s="37" t="s">
        <v>782</v>
      </c>
      <c r="G278" s="37" t="s">
        <v>1900</v>
      </c>
      <c r="H278" s="37">
        <v>157.19999999999999</v>
      </c>
      <c r="I278" s="37">
        <v>0</v>
      </c>
      <c r="J278" s="38">
        <v>242714.08</v>
      </c>
      <c r="K278" s="37" t="s">
        <v>615</v>
      </c>
      <c r="O278" s="37">
        <v>0</v>
      </c>
      <c r="P278" s="37">
        <v>0</v>
      </c>
      <c r="Q278" s="37">
        <v>0</v>
      </c>
      <c r="R278" s="37">
        <v>0</v>
      </c>
      <c r="S278" s="37" t="s">
        <v>2301</v>
      </c>
      <c r="T278" s="37">
        <v>0</v>
      </c>
    </row>
    <row r="279" spans="1:20">
      <c r="A279" s="54">
        <v>45438</v>
      </c>
      <c r="B279" s="37" t="s">
        <v>2302</v>
      </c>
      <c r="C279" s="37" t="s">
        <v>712</v>
      </c>
      <c r="D279" s="37" t="s">
        <v>592</v>
      </c>
      <c r="E279" s="56" t="s">
        <v>834</v>
      </c>
      <c r="F279" s="37" t="s">
        <v>782</v>
      </c>
      <c r="G279" s="37" t="s">
        <v>1883</v>
      </c>
      <c r="H279" s="37">
        <v>52.5</v>
      </c>
      <c r="I279" s="37">
        <v>0</v>
      </c>
      <c r="J279" s="38">
        <v>242766.58</v>
      </c>
      <c r="K279" s="37" t="s">
        <v>615</v>
      </c>
      <c r="O279" s="37">
        <v>0</v>
      </c>
      <c r="P279" s="37">
        <v>0</v>
      </c>
      <c r="Q279" s="37">
        <v>0</v>
      </c>
      <c r="R279" s="37">
        <v>0</v>
      </c>
      <c r="S279" s="37" t="s">
        <v>2302</v>
      </c>
      <c r="T279" s="37">
        <v>0</v>
      </c>
    </row>
    <row r="280" spans="1:20">
      <c r="A280" s="54">
        <v>45438</v>
      </c>
      <c r="B280" s="37" t="s">
        <v>2303</v>
      </c>
      <c r="C280" s="37" t="s">
        <v>712</v>
      </c>
      <c r="D280" s="37" t="s">
        <v>592</v>
      </c>
      <c r="E280" s="56" t="s">
        <v>834</v>
      </c>
      <c r="F280" s="37" t="s">
        <v>782</v>
      </c>
      <c r="G280" s="37" t="s">
        <v>1900</v>
      </c>
      <c r="H280" s="37">
        <v>138</v>
      </c>
      <c r="I280" s="37">
        <v>0</v>
      </c>
      <c r="J280" s="38">
        <v>242904.58</v>
      </c>
      <c r="K280" s="37" t="s">
        <v>615</v>
      </c>
      <c r="O280" s="37">
        <v>0</v>
      </c>
      <c r="P280" s="37">
        <v>0</v>
      </c>
      <c r="Q280" s="37">
        <v>0</v>
      </c>
      <c r="R280" s="37">
        <v>0</v>
      </c>
      <c r="S280" s="37" t="s">
        <v>2303</v>
      </c>
      <c r="T280" s="37">
        <v>0</v>
      </c>
    </row>
    <row r="281" spans="1:20">
      <c r="A281" s="54">
        <v>45438</v>
      </c>
      <c r="B281" s="37" t="s">
        <v>2304</v>
      </c>
      <c r="C281" s="37" t="s">
        <v>712</v>
      </c>
      <c r="D281" s="37" t="s">
        <v>592</v>
      </c>
      <c r="E281" s="56" t="s">
        <v>834</v>
      </c>
      <c r="F281" s="37" t="s">
        <v>782</v>
      </c>
      <c r="G281" s="37" t="s">
        <v>1900</v>
      </c>
      <c r="H281" s="37">
        <v>123</v>
      </c>
      <c r="I281" s="37">
        <v>0</v>
      </c>
      <c r="J281" s="38">
        <v>243027.58</v>
      </c>
      <c r="K281" s="37" t="s">
        <v>615</v>
      </c>
      <c r="O281" s="37">
        <v>0</v>
      </c>
      <c r="P281" s="37">
        <v>0</v>
      </c>
      <c r="Q281" s="37">
        <v>0</v>
      </c>
      <c r="R281" s="37">
        <v>0</v>
      </c>
      <c r="S281" s="37" t="s">
        <v>2304</v>
      </c>
      <c r="T281" s="37">
        <v>0</v>
      </c>
    </row>
    <row r="282" spans="1:20">
      <c r="A282" s="54">
        <v>45441</v>
      </c>
      <c r="B282" s="37" t="s">
        <v>2305</v>
      </c>
      <c r="C282" s="37" t="s">
        <v>712</v>
      </c>
      <c r="D282" s="37" t="s">
        <v>592</v>
      </c>
      <c r="E282" s="56" t="s">
        <v>834</v>
      </c>
      <c r="F282" s="37" t="s">
        <v>782</v>
      </c>
      <c r="G282" s="37" t="s">
        <v>1900</v>
      </c>
      <c r="H282" s="37">
        <v>52.5</v>
      </c>
      <c r="I282" s="37">
        <v>0</v>
      </c>
      <c r="J282" s="38">
        <v>243080.08</v>
      </c>
      <c r="K282" s="37" t="s">
        <v>615</v>
      </c>
      <c r="O282" s="37">
        <v>0</v>
      </c>
      <c r="P282" s="37">
        <v>0</v>
      </c>
      <c r="Q282" s="37">
        <v>0</v>
      </c>
      <c r="R282" s="37">
        <v>0</v>
      </c>
      <c r="S282" s="37" t="s">
        <v>2306</v>
      </c>
      <c r="T282" s="37">
        <v>0</v>
      </c>
    </row>
    <row r="283" spans="1:20">
      <c r="A283" s="54">
        <v>45442</v>
      </c>
      <c r="B283" s="37" t="s">
        <v>2307</v>
      </c>
      <c r="C283" s="37" t="s">
        <v>712</v>
      </c>
      <c r="D283" s="37" t="s">
        <v>592</v>
      </c>
      <c r="E283" s="56" t="s">
        <v>834</v>
      </c>
      <c r="F283" s="37" t="s">
        <v>782</v>
      </c>
      <c r="G283" s="37" t="s">
        <v>1900</v>
      </c>
      <c r="H283" s="37">
        <v>52.5</v>
      </c>
      <c r="I283" s="37">
        <v>0</v>
      </c>
      <c r="J283" s="38">
        <v>243132.58</v>
      </c>
      <c r="K283" s="37" t="s">
        <v>615</v>
      </c>
      <c r="O283" s="37">
        <v>0</v>
      </c>
      <c r="P283" s="37">
        <v>0</v>
      </c>
      <c r="Q283" s="37">
        <v>0</v>
      </c>
      <c r="R283" s="37">
        <v>0</v>
      </c>
      <c r="S283" s="37" t="s">
        <v>2308</v>
      </c>
      <c r="T283" s="37">
        <v>0</v>
      </c>
    </row>
    <row r="284" spans="1:20">
      <c r="A284" s="54">
        <v>45443</v>
      </c>
      <c r="B284" s="37" t="s">
        <v>2311</v>
      </c>
      <c r="C284" s="37" t="s">
        <v>712</v>
      </c>
      <c r="D284" s="37" t="s">
        <v>592</v>
      </c>
      <c r="E284" s="56" t="s">
        <v>834</v>
      </c>
      <c r="F284" s="37" t="s">
        <v>616</v>
      </c>
      <c r="G284" s="37" t="s">
        <v>2312</v>
      </c>
      <c r="H284" s="38">
        <v>8420.9599999999991</v>
      </c>
      <c r="I284" s="37">
        <v>0</v>
      </c>
      <c r="J284" s="38">
        <v>254752.54</v>
      </c>
      <c r="K284" s="37" t="s">
        <v>615</v>
      </c>
      <c r="O284" s="37">
        <v>0</v>
      </c>
      <c r="P284" s="37">
        <v>0</v>
      </c>
      <c r="Q284" s="37">
        <v>0</v>
      </c>
      <c r="R284" s="37">
        <v>0</v>
      </c>
      <c r="T284" s="37">
        <v>0</v>
      </c>
    </row>
    <row r="285" spans="1:20">
      <c r="A285" s="54">
        <v>45443</v>
      </c>
      <c r="B285" s="37" t="s">
        <v>2315</v>
      </c>
      <c r="C285" s="37" t="s">
        <v>712</v>
      </c>
      <c r="D285" s="37" t="s">
        <v>592</v>
      </c>
      <c r="E285" s="56" t="s">
        <v>835</v>
      </c>
      <c r="F285" s="37" t="s">
        <v>616</v>
      </c>
      <c r="G285" s="37" t="s">
        <v>2316</v>
      </c>
      <c r="H285" s="37">
        <v>499.59</v>
      </c>
      <c r="I285" s="37">
        <v>0</v>
      </c>
      <c r="J285" s="38">
        <v>256779.46</v>
      </c>
      <c r="K285" s="37" t="s">
        <v>615</v>
      </c>
      <c r="O285" s="37">
        <v>0</v>
      </c>
      <c r="P285" s="37">
        <v>0</v>
      </c>
      <c r="Q285" s="37">
        <v>0</v>
      </c>
      <c r="R285" s="37">
        <v>0</v>
      </c>
      <c r="T285" s="37">
        <v>0</v>
      </c>
    </row>
    <row r="286" spans="1:20">
      <c r="A286" s="54">
        <v>45443</v>
      </c>
      <c r="B286" s="37" t="s">
        <v>2309</v>
      </c>
      <c r="C286" s="37" t="s">
        <v>712</v>
      </c>
      <c r="D286" s="37" t="s">
        <v>592</v>
      </c>
      <c r="E286" s="56" t="s">
        <v>800</v>
      </c>
      <c r="F286" s="37" t="s">
        <v>792</v>
      </c>
      <c r="G286" s="37" t="s">
        <v>2310</v>
      </c>
      <c r="H286" s="38">
        <v>3199</v>
      </c>
      <c r="I286" s="37">
        <v>0</v>
      </c>
      <c r="J286" s="38">
        <v>246331.58</v>
      </c>
      <c r="K286" s="37" t="s">
        <v>615</v>
      </c>
      <c r="O286" s="37">
        <v>0</v>
      </c>
      <c r="P286" s="37">
        <v>0</v>
      </c>
      <c r="Q286" s="37">
        <v>0</v>
      </c>
      <c r="R286" s="37">
        <v>0</v>
      </c>
      <c r="T286" s="37">
        <v>0</v>
      </c>
    </row>
    <row r="287" spans="1:20">
      <c r="A287" s="54">
        <v>45443</v>
      </c>
      <c r="B287" s="37" t="s">
        <v>2313</v>
      </c>
      <c r="C287" s="37" t="s">
        <v>1536</v>
      </c>
      <c r="D287" s="37" t="s">
        <v>1975</v>
      </c>
      <c r="E287" s="56" t="s">
        <v>800</v>
      </c>
      <c r="F287" s="37" t="s">
        <v>616</v>
      </c>
      <c r="G287" s="37" t="s">
        <v>2314</v>
      </c>
      <c r="H287" s="38">
        <v>1527.33</v>
      </c>
      <c r="I287" s="37">
        <v>0</v>
      </c>
      <c r="J287" s="38">
        <v>256279.87</v>
      </c>
      <c r="K287" s="37" t="s">
        <v>615</v>
      </c>
      <c r="O287" s="37">
        <v>0</v>
      </c>
      <c r="P287" s="37">
        <v>0</v>
      </c>
      <c r="Q287" s="37">
        <v>0</v>
      </c>
      <c r="R287" s="37">
        <v>0</v>
      </c>
      <c r="T287" s="37">
        <v>0</v>
      </c>
    </row>
    <row r="288" spans="1:20">
      <c r="A288" s="54">
        <v>45444</v>
      </c>
      <c r="B288" s="37" t="s">
        <v>2321</v>
      </c>
      <c r="C288" s="37" t="s">
        <v>712</v>
      </c>
      <c r="D288" s="37" t="s">
        <v>592</v>
      </c>
      <c r="E288" s="56" t="s">
        <v>834</v>
      </c>
      <c r="F288" s="37" t="s">
        <v>616</v>
      </c>
      <c r="G288" s="37" t="s">
        <v>2322</v>
      </c>
      <c r="H288" s="38">
        <v>2290.21</v>
      </c>
      <c r="I288" s="37">
        <v>0</v>
      </c>
      <c r="J288" s="38">
        <v>259255</v>
      </c>
      <c r="K288" s="37" t="s">
        <v>615</v>
      </c>
      <c r="O288" s="37">
        <v>0</v>
      </c>
      <c r="P288" s="37">
        <v>0</v>
      </c>
      <c r="Q288" s="37">
        <v>0</v>
      </c>
      <c r="R288" s="37">
        <v>0</v>
      </c>
      <c r="T288" s="37">
        <v>0</v>
      </c>
    </row>
    <row r="289" spans="1:20">
      <c r="A289" s="54">
        <v>45444</v>
      </c>
      <c r="B289" s="37" t="s">
        <v>2318</v>
      </c>
      <c r="C289" s="37" t="s">
        <v>712</v>
      </c>
      <c r="D289" s="37" t="s">
        <v>592</v>
      </c>
      <c r="E289" s="56" t="s">
        <v>834</v>
      </c>
      <c r="F289" s="37" t="s">
        <v>782</v>
      </c>
      <c r="G289" s="37" t="s">
        <v>1898</v>
      </c>
      <c r="H289" s="37">
        <v>52.5</v>
      </c>
      <c r="I289" s="37">
        <v>0</v>
      </c>
      <c r="J289" s="38">
        <v>256884.46</v>
      </c>
      <c r="K289" s="37" t="s">
        <v>615</v>
      </c>
      <c r="O289" s="37">
        <v>0</v>
      </c>
      <c r="P289" s="37">
        <v>0</v>
      </c>
      <c r="Q289" s="37">
        <v>0</v>
      </c>
      <c r="R289" s="37">
        <v>0</v>
      </c>
      <c r="S289" s="37" t="s">
        <v>2318</v>
      </c>
      <c r="T289" s="37">
        <v>0</v>
      </c>
    </row>
    <row r="290" spans="1:20">
      <c r="A290" s="54">
        <v>45444</v>
      </c>
      <c r="B290" s="37" t="s">
        <v>2317</v>
      </c>
      <c r="C290" s="37" t="s">
        <v>712</v>
      </c>
      <c r="D290" s="37" t="s">
        <v>592</v>
      </c>
      <c r="E290" s="56" t="s">
        <v>834</v>
      </c>
      <c r="F290" s="37" t="s">
        <v>782</v>
      </c>
      <c r="G290" s="37" t="s">
        <v>1996</v>
      </c>
      <c r="H290" s="37">
        <v>52.5</v>
      </c>
      <c r="I290" s="37">
        <v>0</v>
      </c>
      <c r="J290" s="38">
        <v>256831.96</v>
      </c>
      <c r="K290" s="37" t="s">
        <v>615</v>
      </c>
      <c r="O290" s="37">
        <v>0</v>
      </c>
      <c r="P290" s="37">
        <v>0</v>
      </c>
      <c r="Q290" s="37">
        <v>0</v>
      </c>
      <c r="R290" s="37">
        <v>0</v>
      </c>
      <c r="S290" s="37" t="s">
        <v>2317</v>
      </c>
      <c r="T290" s="37">
        <v>0</v>
      </c>
    </row>
    <row r="291" spans="1:20">
      <c r="A291" s="54">
        <v>45444</v>
      </c>
      <c r="B291" s="37" t="s">
        <v>2319</v>
      </c>
      <c r="C291" s="37" t="s">
        <v>712</v>
      </c>
      <c r="D291" s="37" t="s">
        <v>592</v>
      </c>
      <c r="E291" s="56" t="s">
        <v>835</v>
      </c>
      <c r="F291" s="37" t="s">
        <v>616</v>
      </c>
      <c r="G291" s="37" t="s">
        <v>2320</v>
      </c>
      <c r="H291" s="37">
        <v>80.33</v>
      </c>
      <c r="I291" s="37">
        <v>0</v>
      </c>
      <c r="J291" s="38">
        <v>256964.79</v>
      </c>
      <c r="K291" s="37" t="s">
        <v>615</v>
      </c>
      <c r="O291" s="37">
        <v>0</v>
      </c>
      <c r="P291" s="37">
        <v>0</v>
      </c>
      <c r="Q291" s="37">
        <v>0</v>
      </c>
      <c r="R291" s="37">
        <v>0</v>
      </c>
      <c r="T291" s="37">
        <v>0</v>
      </c>
    </row>
    <row r="292" spans="1:20">
      <c r="A292" s="54">
        <v>45447</v>
      </c>
      <c r="B292" s="37" t="s">
        <v>2324</v>
      </c>
      <c r="C292" s="37" t="s">
        <v>712</v>
      </c>
      <c r="D292" s="37" t="s">
        <v>592</v>
      </c>
      <c r="E292" s="56" t="s">
        <v>834</v>
      </c>
      <c r="F292" s="37" t="s">
        <v>616</v>
      </c>
      <c r="G292" s="37" t="s">
        <v>2325</v>
      </c>
      <c r="H292" s="38">
        <v>1848</v>
      </c>
      <c r="I292" s="37">
        <v>0</v>
      </c>
      <c r="J292" s="38">
        <v>261155.5</v>
      </c>
      <c r="K292" s="37" t="s">
        <v>615</v>
      </c>
      <c r="O292" s="37">
        <v>0</v>
      </c>
      <c r="P292" s="37">
        <v>0</v>
      </c>
      <c r="Q292" s="37">
        <v>0</v>
      </c>
      <c r="R292" s="37">
        <v>0</v>
      </c>
      <c r="T292" s="37">
        <v>0</v>
      </c>
    </row>
    <row r="293" spans="1:20">
      <c r="A293" s="54">
        <v>45447</v>
      </c>
      <c r="B293" s="37" t="s">
        <v>2323</v>
      </c>
      <c r="C293" s="37" t="s">
        <v>712</v>
      </c>
      <c r="D293" s="37" t="s">
        <v>592</v>
      </c>
      <c r="E293" s="56" t="s">
        <v>834</v>
      </c>
      <c r="F293" s="37" t="s">
        <v>782</v>
      </c>
      <c r="G293" s="37" t="s">
        <v>1900</v>
      </c>
      <c r="H293" s="37">
        <v>52.5</v>
      </c>
      <c r="I293" s="37">
        <v>0</v>
      </c>
      <c r="J293" s="38">
        <v>259307.5</v>
      </c>
      <c r="K293" s="37" t="s">
        <v>615</v>
      </c>
      <c r="O293" s="37">
        <v>0</v>
      </c>
      <c r="P293" s="37">
        <v>0</v>
      </c>
      <c r="Q293" s="37">
        <v>0</v>
      </c>
      <c r="R293" s="37">
        <v>0</v>
      </c>
      <c r="S293" s="37" t="s">
        <v>2323</v>
      </c>
      <c r="T293" s="37">
        <v>0</v>
      </c>
    </row>
    <row r="294" spans="1:20">
      <c r="A294" s="54">
        <v>45448</v>
      </c>
      <c r="B294" s="37" t="s">
        <v>2326</v>
      </c>
      <c r="C294" s="37" t="s">
        <v>712</v>
      </c>
      <c r="D294" s="37" t="s">
        <v>592</v>
      </c>
      <c r="E294" s="56" t="s">
        <v>834</v>
      </c>
      <c r="F294" s="37" t="s">
        <v>782</v>
      </c>
      <c r="G294" s="37" t="s">
        <v>1883</v>
      </c>
      <c r="H294" s="37">
        <v>119.7</v>
      </c>
      <c r="I294" s="37">
        <v>0</v>
      </c>
      <c r="J294" s="38">
        <v>261275.2</v>
      </c>
      <c r="K294" s="37" t="s">
        <v>615</v>
      </c>
      <c r="O294" s="37">
        <v>0</v>
      </c>
      <c r="P294" s="37">
        <v>0</v>
      </c>
      <c r="Q294" s="37">
        <v>0</v>
      </c>
      <c r="R294" s="37">
        <v>0</v>
      </c>
      <c r="S294" s="37" t="s">
        <v>2327</v>
      </c>
      <c r="T294" s="37">
        <v>0</v>
      </c>
    </row>
    <row r="295" spans="1:20">
      <c r="A295" s="54">
        <v>45448</v>
      </c>
      <c r="B295" s="37" t="s">
        <v>2328</v>
      </c>
      <c r="C295" s="37" t="s">
        <v>712</v>
      </c>
      <c r="D295" s="37" t="s">
        <v>592</v>
      </c>
      <c r="E295" s="56" t="s">
        <v>834</v>
      </c>
      <c r="F295" s="37" t="s">
        <v>782</v>
      </c>
      <c r="G295" s="37" t="s">
        <v>1883</v>
      </c>
      <c r="H295" s="37">
        <v>52.5</v>
      </c>
      <c r="I295" s="37">
        <v>0</v>
      </c>
      <c r="J295" s="38">
        <v>261327.7</v>
      </c>
      <c r="K295" s="37" t="s">
        <v>615</v>
      </c>
      <c r="O295" s="37">
        <v>0</v>
      </c>
      <c r="P295" s="37">
        <v>0</v>
      </c>
      <c r="Q295" s="37">
        <v>0</v>
      </c>
      <c r="R295" s="37">
        <v>0</v>
      </c>
      <c r="S295" s="37" t="s">
        <v>2329</v>
      </c>
      <c r="T295" s="37">
        <v>0</v>
      </c>
    </row>
    <row r="296" spans="1:20">
      <c r="A296" s="54">
        <v>45448</v>
      </c>
      <c r="B296" s="37" t="s">
        <v>1311</v>
      </c>
      <c r="C296" s="37" t="s">
        <v>712</v>
      </c>
      <c r="D296" s="37" t="s">
        <v>592</v>
      </c>
      <c r="E296" s="56" t="s">
        <v>834</v>
      </c>
      <c r="F296" s="37" t="s">
        <v>782</v>
      </c>
      <c r="G296" s="37" t="s">
        <v>1900</v>
      </c>
      <c r="H296" s="37">
        <v>52.5</v>
      </c>
      <c r="I296" s="37">
        <v>0</v>
      </c>
      <c r="J296" s="38">
        <v>261380.2</v>
      </c>
      <c r="K296" s="37" t="s">
        <v>615</v>
      </c>
      <c r="O296" s="37">
        <v>0</v>
      </c>
      <c r="P296" s="37">
        <v>0</v>
      </c>
      <c r="Q296" s="37">
        <v>0</v>
      </c>
      <c r="R296" s="37">
        <v>0</v>
      </c>
      <c r="S296" s="37" t="s">
        <v>2330</v>
      </c>
      <c r="T296" s="37">
        <v>0</v>
      </c>
    </row>
    <row r="297" spans="1:20">
      <c r="A297" s="54">
        <v>45449</v>
      </c>
      <c r="B297" s="37" t="s">
        <v>2331</v>
      </c>
      <c r="C297" s="37" t="s">
        <v>712</v>
      </c>
      <c r="D297" s="37" t="s">
        <v>592</v>
      </c>
      <c r="E297" s="56" t="s">
        <v>834</v>
      </c>
      <c r="F297" s="37" t="s">
        <v>782</v>
      </c>
      <c r="G297" s="37" t="s">
        <v>1883</v>
      </c>
      <c r="H297" s="37">
        <v>52.5</v>
      </c>
      <c r="I297" s="37">
        <v>0</v>
      </c>
      <c r="J297" s="38">
        <v>261432.7</v>
      </c>
      <c r="K297" s="37" t="s">
        <v>615</v>
      </c>
      <c r="O297" s="37">
        <v>0</v>
      </c>
      <c r="P297" s="37">
        <v>0</v>
      </c>
      <c r="Q297" s="37">
        <v>0</v>
      </c>
      <c r="R297" s="37">
        <v>0</v>
      </c>
      <c r="S297" s="37" t="s">
        <v>2331</v>
      </c>
      <c r="T297" s="37">
        <v>0</v>
      </c>
    </row>
    <row r="298" spans="1:20">
      <c r="A298" s="54">
        <v>45449</v>
      </c>
      <c r="B298" s="37" t="s">
        <v>2332</v>
      </c>
      <c r="C298" s="37" t="s">
        <v>712</v>
      </c>
      <c r="D298" s="37" t="s">
        <v>592</v>
      </c>
      <c r="E298" s="56" t="s">
        <v>834</v>
      </c>
      <c r="F298" s="37" t="s">
        <v>782</v>
      </c>
      <c r="G298" s="37" t="s">
        <v>1996</v>
      </c>
      <c r="H298" s="37">
        <v>52.5</v>
      </c>
      <c r="I298" s="37">
        <v>0</v>
      </c>
      <c r="J298" s="38">
        <v>261485.2</v>
      </c>
      <c r="K298" s="37" t="s">
        <v>615</v>
      </c>
      <c r="O298" s="37">
        <v>0</v>
      </c>
      <c r="P298" s="37">
        <v>0</v>
      </c>
      <c r="Q298" s="37">
        <v>0</v>
      </c>
      <c r="R298" s="37">
        <v>0</v>
      </c>
      <c r="S298" s="37" t="s">
        <v>2333</v>
      </c>
      <c r="T298" s="37">
        <v>0</v>
      </c>
    </row>
    <row r="299" spans="1:20">
      <c r="A299" s="54">
        <v>45449</v>
      </c>
      <c r="B299" s="37" t="s">
        <v>2334</v>
      </c>
      <c r="C299" s="37" t="s">
        <v>712</v>
      </c>
      <c r="D299" s="37" t="s">
        <v>592</v>
      </c>
      <c r="E299" s="56" t="s">
        <v>834</v>
      </c>
      <c r="F299" s="37" t="s">
        <v>782</v>
      </c>
      <c r="G299" s="37" t="s">
        <v>1900</v>
      </c>
      <c r="H299" s="37">
        <v>52.5</v>
      </c>
      <c r="I299" s="37">
        <v>0</v>
      </c>
      <c r="J299" s="38">
        <v>261537.7</v>
      </c>
      <c r="K299" s="37" t="s">
        <v>615</v>
      </c>
      <c r="O299" s="37">
        <v>0</v>
      </c>
      <c r="P299" s="37">
        <v>0</v>
      </c>
      <c r="Q299" s="37">
        <v>0</v>
      </c>
      <c r="R299" s="37">
        <v>0</v>
      </c>
      <c r="S299" s="37" t="s">
        <v>2335</v>
      </c>
      <c r="T299" s="37">
        <v>0</v>
      </c>
    </row>
    <row r="300" spans="1:20">
      <c r="A300" s="54">
        <v>45450</v>
      </c>
      <c r="B300" s="37" t="s">
        <v>2336</v>
      </c>
      <c r="C300" s="37" t="s">
        <v>712</v>
      </c>
      <c r="D300" s="37" t="s">
        <v>592</v>
      </c>
      <c r="E300" s="56" t="s">
        <v>834</v>
      </c>
      <c r="F300" s="37" t="s">
        <v>782</v>
      </c>
      <c r="G300" s="37" t="s">
        <v>1900</v>
      </c>
      <c r="H300" s="37">
        <v>52.5</v>
      </c>
      <c r="I300" s="37">
        <v>0</v>
      </c>
      <c r="J300" s="38">
        <v>261590.2</v>
      </c>
      <c r="K300" s="37" t="s">
        <v>615</v>
      </c>
      <c r="O300" s="37">
        <v>0</v>
      </c>
      <c r="P300" s="37">
        <v>0</v>
      </c>
      <c r="Q300" s="37">
        <v>0</v>
      </c>
      <c r="R300" s="37">
        <v>0</v>
      </c>
      <c r="S300" s="37" t="s">
        <v>2337</v>
      </c>
      <c r="T300" s="37">
        <v>0</v>
      </c>
    </row>
    <row r="301" spans="1:20">
      <c r="A301" s="54">
        <v>45450</v>
      </c>
      <c r="B301" s="37" t="s">
        <v>2338</v>
      </c>
      <c r="C301" s="37" t="s">
        <v>765</v>
      </c>
      <c r="D301" s="37" t="s">
        <v>766</v>
      </c>
      <c r="E301" s="56" t="s">
        <v>800</v>
      </c>
      <c r="F301" s="37" t="s">
        <v>616</v>
      </c>
      <c r="G301" s="37" t="s">
        <v>2339</v>
      </c>
      <c r="H301" s="37">
        <v>0.01</v>
      </c>
      <c r="I301" s="37">
        <v>0</v>
      </c>
      <c r="J301" s="38">
        <v>261590.21</v>
      </c>
      <c r="K301" s="37" t="s">
        <v>615</v>
      </c>
      <c r="O301" s="37">
        <v>0</v>
      </c>
      <c r="P301" s="37">
        <v>0</v>
      </c>
      <c r="Q301" s="37">
        <v>0</v>
      </c>
      <c r="R301" s="37">
        <v>0</v>
      </c>
      <c r="T301" s="37">
        <v>0</v>
      </c>
    </row>
    <row r="302" spans="1:20">
      <c r="A302" s="54">
        <v>45451</v>
      </c>
      <c r="B302" s="37" t="s">
        <v>2340</v>
      </c>
      <c r="C302" s="37" t="s">
        <v>712</v>
      </c>
      <c r="D302" s="37" t="s">
        <v>592</v>
      </c>
      <c r="E302" s="56" t="s">
        <v>834</v>
      </c>
      <c r="F302" s="37" t="s">
        <v>782</v>
      </c>
      <c r="G302" s="37" t="s">
        <v>1883</v>
      </c>
      <c r="H302" s="37">
        <v>157.19999999999999</v>
      </c>
      <c r="I302" s="37">
        <v>0</v>
      </c>
      <c r="J302" s="38">
        <v>261747.41</v>
      </c>
      <c r="K302" s="37" t="s">
        <v>615</v>
      </c>
      <c r="O302" s="37">
        <v>0</v>
      </c>
      <c r="P302" s="37">
        <v>0</v>
      </c>
      <c r="Q302" s="37">
        <v>0</v>
      </c>
      <c r="R302" s="37">
        <v>0</v>
      </c>
      <c r="S302" s="37" t="s">
        <v>2340</v>
      </c>
      <c r="T302" s="37">
        <v>0</v>
      </c>
    </row>
    <row r="303" spans="1:20">
      <c r="A303" s="54">
        <v>45453</v>
      </c>
      <c r="B303" s="37" t="s">
        <v>2341</v>
      </c>
      <c r="C303" s="37" t="s">
        <v>712</v>
      </c>
      <c r="D303" s="37" t="s">
        <v>592</v>
      </c>
      <c r="E303" s="56" t="s">
        <v>834</v>
      </c>
      <c r="F303" s="37" t="s">
        <v>616</v>
      </c>
      <c r="G303" s="37" t="s">
        <v>2342</v>
      </c>
      <c r="H303" s="38">
        <v>6247.85</v>
      </c>
      <c r="I303" s="37">
        <v>0</v>
      </c>
      <c r="J303" s="38">
        <v>267995.26</v>
      </c>
      <c r="K303" s="37" t="s">
        <v>615</v>
      </c>
      <c r="O303" s="37">
        <v>0</v>
      </c>
      <c r="P303" s="37">
        <v>0</v>
      </c>
      <c r="Q303" s="37">
        <v>0</v>
      </c>
      <c r="R303" s="37">
        <v>0</v>
      </c>
      <c r="T303" s="37">
        <v>0</v>
      </c>
    </row>
    <row r="304" spans="1:20">
      <c r="A304" s="54">
        <v>45454</v>
      </c>
      <c r="B304" s="37" t="s">
        <v>2346</v>
      </c>
      <c r="C304" s="37" t="s">
        <v>712</v>
      </c>
      <c r="D304" s="37" t="s">
        <v>592</v>
      </c>
      <c r="E304" s="56" t="s">
        <v>834</v>
      </c>
      <c r="F304" s="37" t="s">
        <v>782</v>
      </c>
      <c r="G304" s="37" t="s">
        <v>2347</v>
      </c>
      <c r="H304" s="37">
        <v>52.5</v>
      </c>
      <c r="I304" s="37">
        <v>0</v>
      </c>
      <c r="J304" s="38">
        <v>268226.96000000002</v>
      </c>
      <c r="K304" s="37" t="s">
        <v>615</v>
      </c>
      <c r="O304" s="37">
        <v>0</v>
      </c>
      <c r="P304" s="37">
        <v>0</v>
      </c>
      <c r="Q304" s="37">
        <v>0</v>
      </c>
      <c r="R304" s="37">
        <v>0</v>
      </c>
      <c r="S304" s="37" t="s">
        <v>2348</v>
      </c>
      <c r="T304" s="37">
        <v>0</v>
      </c>
    </row>
    <row r="305" spans="1:20">
      <c r="A305" s="54">
        <v>45454</v>
      </c>
      <c r="B305" s="37" t="s">
        <v>2349</v>
      </c>
      <c r="C305" s="37" t="s">
        <v>712</v>
      </c>
      <c r="D305" s="37" t="s">
        <v>592</v>
      </c>
      <c r="E305" s="56" t="s">
        <v>834</v>
      </c>
      <c r="F305" s="37" t="s">
        <v>782</v>
      </c>
      <c r="G305" s="37" t="s">
        <v>2347</v>
      </c>
      <c r="H305" s="37">
        <v>40.5</v>
      </c>
      <c r="I305" s="37">
        <v>0</v>
      </c>
      <c r="J305" s="38">
        <v>268267.46000000002</v>
      </c>
      <c r="K305" s="37" t="s">
        <v>615</v>
      </c>
      <c r="O305" s="37">
        <v>0</v>
      </c>
      <c r="P305" s="37">
        <v>0</v>
      </c>
      <c r="Q305" s="37">
        <v>0</v>
      </c>
      <c r="R305" s="37">
        <v>0</v>
      </c>
      <c r="S305" s="37" t="s">
        <v>2350</v>
      </c>
      <c r="T305" s="37">
        <v>0</v>
      </c>
    </row>
    <row r="306" spans="1:20">
      <c r="A306" s="54">
        <v>45454</v>
      </c>
      <c r="B306" s="37" t="s">
        <v>2343</v>
      </c>
      <c r="C306" s="37" t="s">
        <v>712</v>
      </c>
      <c r="D306" s="37" t="s">
        <v>592</v>
      </c>
      <c r="E306" s="56" t="s">
        <v>834</v>
      </c>
      <c r="F306" s="37" t="s">
        <v>782</v>
      </c>
      <c r="G306" s="37" t="s">
        <v>1929</v>
      </c>
      <c r="H306" s="37">
        <v>119.7</v>
      </c>
      <c r="I306" s="37">
        <v>0</v>
      </c>
      <c r="J306" s="38">
        <v>268114.96000000002</v>
      </c>
      <c r="K306" s="37" t="s">
        <v>615</v>
      </c>
      <c r="O306" s="37">
        <v>0</v>
      </c>
      <c r="P306" s="37">
        <v>0</v>
      </c>
      <c r="Q306" s="37">
        <v>0</v>
      </c>
      <c r="R306" s="37">
        <v>0</v>
      </c>
      <c r="S306" s="37" t="s">
        <v>2344</v>
      </c>
      <c r="T306" s="37">
        <v>0</v>
      </c>
    </row>
    <row r="307" spans="1:20">
      <c r="A307" s="54">
        <v>45454</v>
      </c>
      <c r="B307" s="37" t="s">
        <v>1277</v>
      </c>
      <c r="C307" s="37" t="s">
        <v>712</v>
      </c>
      <c r="D307" s="37" t="s">
        <v>592</v>
      </c>
      <c r="E307" s="56" t="s">
        <v>834</v>
      </c>
      <c r="F307" s="37" t="s">
        <v>782</v>
      </c>
      <c r="G307" s="37" t="s">
        <v>1929</v>
      </c>
      <c r="H307" s="37">
        <v>59.5</v>
      </c>
      <c r="I307" s="37">
        <v>0</v>
      </c>
      <c r="J307" s="38">
        <v>268174.46000000002</v>
      </c>
      <c r="K307" s="37" t="s">
        <v>615</v>
      </c>
      <c r="O307" s="37">
        <v>0</v>
      </c>
      <c r="P307" s="37">
        <v>0</v>
      </c>
      <c r="Q307" s="37">
        <v>0</v>
      </c>
      <c r="R307" s="37">
        <v>0</v>
      </c>
      <c r="S307" s="37" t="s">
        <v>2345</v>
      </c>
      <c r="T307" s="37">
        <v>0</v>
      </c>
    </row>
    <row r="308" spans="1:20">
      <c r="A308" s="54">
        <v>45454</v>
      </c>
      <c r="B308" s="37" t="s">
        <v>2351</v>
      </c>
      <c r="C308" s="37" t="s">
        <v>712</v>
      </c>
      <c r="D308" s="37" t="s">
        <v>592</v>
      </c>
      <c r="E308" s="56" t="s">
        <v>834</v>
      </c>
      <c r="F308" s="37" t="s">
        <v>782</v>
      </c>
      <c r="G308" s="37" t="s">
        <v>1929</v>
      </c>
      <c r="H308" s="37">
        <v>88.5</v>
      </c>
      <c r="I308" s="37">
        <v>0</v>
      </c>
      <c r="J308" s="38">
        <v>268355.96000000002</v>
      </c>
      <c r="K308" s="37" t="s">
        <v>615</v>
      </c>
      <c r="O308" s="37">
        <v>0</v>
      </c>
      <c r="P308" s="37">
        <v>0</v>
      </c>
      <c r="Q308" s="37">
        <v>0</v>
      </c>
      <c r="R308" s="37">
        <v>0</v>
      </c>
      <c r="S308" s="37" t="s">
        <v>2352</v>
      </c>
      <c r="T308" s="37">
        <v>0</v>
      </c>
    </row>
    <row r="309" spans="1:20">
      <c r="A309" s="54">
        <v>45454</v>
      </c>
      <c r="B309" s="37" t="s">
        <v>2353</v>
      </c>
      <c r="C309" s="37" t="s">
        <v>712</v>
      </c>
      <c r="D309" s="37" t="s">
        <v>592</v>
      </c>
      <c r="E309" s="56" t="s">
        <v>834</v>
      </c>
      <c r="F309" s="37" t="s">
        <v>782</v>
      </c>
      <c r="G309" s="37" t="s">
        <v>1929</v>
      </c>
      <c r="H309" s="37">
        <v>49.5</v>
      </c>
      <c r="I309" s="37">
        <v>0</v>
      </c>
      <c r="J309" s="38">
        <v>268405.46000000002</v>
      </c>
      <c r="K309" s="37" t="s">
        <v>615</v>
      </c>
      <c r="O309" s="37">
        <v>0</v>
      </c>
      <c r="P309" s="37">
        <v>0</v>
      </c>
      <c r="Q309" s="37">
        <v>0</v>
      </c>
      <c r="R309" s="37">
        <v>0</v>
      </c>
      <c r="S309" s="37" t="s">
        <v>2343</v>
      </c>
      <c r="T309" s="37">
        <v>0</v>
      </c>
    </row>
    <row r="310" spans="1:20">
      <c r="A310" s="54">
        <v>45455</v>
      </c>
      <c r="B310" s="37" t="s">
        <v>2356</v>
      </c>
      <c r="C310" s="37" t="s">
        <v>712</v>
      </c>
      <c r="D310" s="37" t="s">
        <v>592</v>
      </c>
      <c r="E310" s="56" t="s">
        <v>834</v>
      </c>
      <c r="F310" s="37" t="s">
        <v>782</v>
      </c>
      <c r="G310" s="37" t="s">
        <v>2347</v>
      </c>
      <c r="H310" s="37">
        <v>52.5</v>
      </c>
      <c r="I310" s="37">
        <v>0</v>
      </c>
      <c r="J310" s="38">
        <v>269587.46000000002</v>
      </c>
      <c r="K310" s="37" t="s">
        <v>615</v>
      </c>
      <c r="O310" s="37">
        <v>0</v>
      </c>
      <c r="P310" s="37">
        <v>0</v>
      </c>
      <c r="Q310" s="37">
        <v>0</v>
      </c>
      <c r="R310" s="37">
        <v>0</v>
      </c>
      <c r="S310" s="37" t="s">
        <v>2357</v>
      </c>
      <c r="T310" s="37">
        <v>0</v>
      </c>
    </row>
    <row r="311" spans="1:20">
      <c r="A311" s="54">
        <v>45455</v>
      </c>
      <c r="B311" s="37" t="s">
        <v>1312</v>
      </c>
      <c r="C311" s="37" t="s">
        <v>712</v>
      </c>
      <c r="D311" s="37" t="s">
        <v>592</v>
      </c>
      <c r="E311" s="56" t="s">
        <v>800</v>
      </c>
      <c r="F311" s="37" t="s">
        <v>782</v>
      </c>
      <c r="G311" s="37" t="s">
        <v>2354</v>
      </c>
      <c r="H311" s="38">
        <v>1129.5</v>
      </c>
      <c r="I311" s="37">
        <v>0</v>
      </c>
      <c r="J311" s="38">
        <v>269534.96000000002</v>
      </c>
      <c r="K311" s="37" t="s">
        <v>615</v>
      </c>
      <c r="O311" s="37">
        <v>0</v>
      </c>
      <c r="P311" s="37">
        <v>0</v>
      </c>
      <c r="Q311" s="37">
        <v>0</v>
      </c>
      <c r="R311" s="37">
        <v>0</v>
      </c>
      <c r="S311" s="37" t="s">
        <v>2355</v>
      </c>
      <c r="T311" s="37">
        <v>0</v>
      </c>
    </row>
    <row r="312" spans="1:20">
      <c r="A312" s="54">
        <v>45456</v>
      </c>
      <c r="B312" s="37" t="s">
        <v>2358</v>
      </c>
      <c r="C312" s="37" t="s">
        <v>712</v>
      </c>
      <c r="D312" s="37" t="s">
        <v>592</v>
      </c>
      <c r="E312" s="56" t="s">
        <v>834</v>
      </c>
      <c r="F312" s="37" t="s">
        <v>782</v>
      </c>
      <c r="G312" s="37" t="s">
        <v>2347</v>
      </c>
      <c r="H312" s="37">
        <v>52.5</v>
      </c>
      <c r="I312" s="37">
        <v>0</v>
      </c>
      <c r="J312" s="38">
        <v>269639.96000000002</v>
      </c>
      <c r="K312" s="37" t="s">
        <v>615</v>
      </c>
      <c r="O312" s="37">
        <v>0</v>
      </c>
      <c r="P312" s="37">
        <v>0</v>
      </c>
      <c r="Q312" s="37">
        <v>0</v>
      </c>
      <c r="R312" s="37">
        <v>0</v>
      </c>
      <c r="S312" s="37" t="s">
        <v>1865</v>
      </c>
      <c r="T312" s="37">
        <v>0</v>
      </c>
    </row>
    <row r="313" spans="1:20">
      <c r="A313" s="54">
        <v>45457</v>
      </c>
      <c r="B313" s="37" t="s">
        <v>2361</v>
      </c>
      <c r="C313" s="37" t="s">
        <v>712</v>
      </c>
      <c r="D313" s="37" t="s">
        <v>592</v>
      </c>
      <c r="E313" s="56" t="s">
        <v>834</v>
      </c>
      <c r="F313" s="37" t="s">
        <v>782</v>
      </c>
      <c r="G313" s="37" t="s">
        <v>2347</v>
      </c>
      <c r="H313" s="37">
        <v>52.5</v>
      </c>
      <c r="I313" s="37">
        <v>0</v>
      </c>
      <c r="J313" s="38">
        <v>269744.96000000002</v>
      </c>
      <c r="K313" s="37" t="s">
        <v>615</v>
      </c>
      <c r="O313" s="37">
        <v>0</v>
      </c>
      <c r="P313" s="37">
        <v>0</v>
      </c>
      <c r="Q313" s="37">
        <v>0</v>
      </c>
      <c r="R313" s="37">
        <v>0</v>
      </c>
      <c r="S313" s="37" t="s">
        <v>2362</v>
      </c>
      <c r="T313" s="37">
        <v>0</v>
      </c>
    </row>
    <row r="314" spans="1:20">
      <c r="A314" s="54">
        <v>45457</v>
      </c>
      <c r="B314" s="37" t="s">
        <v>1313</v>
      </c>
      <c r="C314" s="37" t="s">
        <v>712</v>
      </c>
      <c r="D314" s="37" t="s">
        <v>592</v>
      </c>
      <c r="E314" s="56" t="s">
        <v>834</v>
      </c>
      <c r="F314" s="37" t="s">
        <v>782</v>
      </c>
      <c r="G314" s="37" t="s">
        <v>2347</v>
      </c>
      <c r="H314" s="37">
        <v>52.5</v>
      </c>
      <c r="I314" s="37">
        <v>0</v>
      </c>
      <c r="J314" s="38">
        <v>269797.46000000002</v>
      </c>
      <c r="K314" s="37" t="s">
        <v>615</v>
      </c>
      <c r="O314" s="37">
        <v>0</v>
      </c>
      <c r="P314" s="37">
        <v>0</v>
      </c>
      <c r="Q314" s="37">
        <v>0</v>
      </c>
      <c r="R314" s="37">
        <v>0</v>
      </c>
      <c r="S314" s="37" t="s">
        <v>2363</v>
      </c>
      <c r="T314" s="37">
        <v>0</v>
      </c>
    </row>
    <row r="315" spans="1:20">
      <c r="A315" s="54">
        <v>45457</v>
      </c>
      <c r="B315" s="37" t="s">
        <v>2359</v>
      </c>
      <c r="C315" s="37" t="s">
        <v>712</v>
      </c>
      <c r="D315" s="37" t="s">
        <v>592</v>
      </c>
      <c r="E315" s="56" t="s">
        <v>834</v>
      </c>
      <c r="F315" s="37" t="s">
        <v>782</v>
      </c>
      <c r="G315" s="37" t="s">
        <v>1898</v>
      </c>
      <c r="H315" s="37">
        <v>52.5</v>
      </c>
      <c r="I315" s="37">
        <v>0</v>
      </c>
      <c r="J315" s="38">
        <v>269692.46000000002</v>
      </c>
      <c r="K315" s="37" t="s">
        <v>615</v>
      </c>
      <c r="O315" s="37">
        <v>0</v>
      </c>
      <c r="P315" s="37">
        <v>0</v>
      </c>
      <c r="Q315" s="37">
        <v>0</v>
      </c>
      <c r="R315" s="37">
        <v>0</v>
      </c>
      <c r="S315" s="37" t="s">
        <v>2360</v>
      </c>
      <c r="T315" s="37">
        <v>0</v>
      </c>
    </row>
    <row r="316" spans="1:20">
      <c r="A316" s="54">
        <v>45457</v>
      </c>
      <c r="B316" s="37" t="s">
        <v>2364</v>
      </c>
      <c r="C316" s="37" t="s">
        <v>712</v>
      </c>
      <c r="D316" s="37" t="s">
        <v>592</v>
      </c>
      <c r="E316" s="56" t="s">
        <v>834</v>
      </c>
      <c r="F316" s="37" t="s">
        <v>782</v>
      </c>
      <c r="G316" s="37" t="s">
        <v>1883</v>
      </c>
      <c r="H316" s="37">
        <v>52.5</v>
      </c>
      <c r="I316" s="37">
        <v>0</v>
      </c>
      <c r="J316" s="38">
        <v>269849.96000000002</v>
      </c>
      <c r="K316" s="37" t="s">
        <v>615</v>
      </c>
      <c r="O316" s="37">
        <v>0</v>
      </c>
      <c r="P316" s="37">
        <v>0</v>
      </c>
      <c r="Q316" s="37">
        <v>0</v>
      </c>
      <c r="R316" s="37">
        <v>0</v>
      </c>
      <c r="S316" s="37" t="s">
        <v>2365</v>
      </c>
      <c r="T316" s="37">
        <v>0</v>
      </c>
    </row>
    <row r="317" spans="1:20">
      <c r="A317" s="54">
        <v>45458</v>
      </c>
      <c r="B317" s="37" t="s">
        <v>2366</v>
      </c>
      <c r="C317" s="37" t="s">
        <v>712</v>
      </c>
      <c r="D317" s="37" t="s">
        <v>592</v>
      </c>
      <c r="E317" s="56" t="s">
        <v>834</v>
      </c>
      <c r="F317" s="37" t="s">
        <v>782</v>
      </c>
      <c r="G317" s="37" t="s">
        <v>2347</v>
      </c>
      <c r="H317" s="37">
        <v>52.5</v>
      </c>
      <c r="I317" s="37">
        <v>0</v>
      </c>
      <c r="J317" s="38">
        <v>269902.46000000002</v>
      </c>
      <c r="K317" s="37" t="s">
        <v>615</v>
      </c>
      <c r="O317" s="37">
        <v>0</v>
      </c>
      <c r="P317" s="37">
        <v>0</v>
      </c>
      <c r="Q317" s="37">
        <v>0</v>
      </c>
      <c r="R317" s="37">
        <v>0</v>
      </c>
      <c r="S317" s="37" t="s">
        <v>1295</v>
      </c>
      <c r="T317" s="37">
        <v>0</v>
      </c>
    </row>
    <row r="318" spans="1:20">
      <c r="A318" s="54">
        <v>45460</v>
      </c>
      <c r="B318" s="37" t="s">
        <v>2367</v>
      </c>
      <c r="C318" s="37" t="s">
        <v>712</v>
      </c>
      <c r="D318" s="37" t="s">
        <v>592</v>
      </c>
      <c r="E318" s="56" t="s">
        <v>834</v>
      </c>
      <c r="F318" s="37" t="s">
        <v>782</v>
      </c>
      <c r="G318" s="37" t="s">
        <v>1883</v>
      </c>
      <c r="H318" s="37">
        <v>52.5</v>
      </c>
      <c r="I318" s="37">
        <v>0</v>
      </c>
      <c r="J318" s="38">
        <v>269954.96000000002</v>
      </c>
      <c r="K318" s="37" t="s">
        <v>615</v>
      </c>
      <c r="O318" s="37">
        <v>0</v>
      </c>
      <c r="P318" s="37">
        <v>0</v>
      </c>
      <c r="Q318" s="37">
        <v>0</v>
      </c>
      <c r="R318" s="37">
        <v>0</v>
      </c>
      <c r="S318" s="37" t="s">
        <v>2367</v>
      </c>
      <c r="T318" s="37">
        <v>0</v>
      </c>
    </row>
    <row r="319" spans="1:20">
      <c r="A319" s="54">
        <v>45461</v>
      </c>
      <c r="B319" s="37" t="s">
        <v>2369</v>
      </c>
      <c r="C319" s="37" t="s">
        <v>712</v>
      </c>
      <c r="D319" s="37" t="s">
        <v>592</v>
      </c>
      <c r="E319" s="56" t="s">
        <v>834</v>
      </c>
      <c r="F319" s="37" t="s">
        <v>782</v>
      </c>
      <c r="G319" s="37" t="s">
        <v>1929</v>
      </c>
      <c r="H319" s="37">
        <v>138</v>
      </c>
      <c r="I319" s="37">
        <v>0</v>
      </c>
      <c r="J319" s="38">
        <v>270094.96000000002</v>
      </c>
      <c r="K319" s="37" t="s">
        <v>615</v>
      </c>
      <c r="O319" s="37">
        <v>0</v>
      </c>
      <c r="P319" s="37">
        <v>0</v>
      </c>
      <c r="Q319" s="37">
        <v>0</v>
      </c>
      <c r="R319" s="37">
        <v>0</v>
      </c>
      <c r="S319" s="37" t="s">
        <v>2369</v>
      </c>
      <c r="T319" s="37">
        <v>0</v>
      </c>
    </row>
    <row r="320" spans="1:20">
      <c r="A320" s="54">
        <v>45461</v>
      </c>
      <c r="B320" s="37" t="s">
        <v>2370</v>
      </c>
      <c r="C320" s="37" t="s">
        <v>712</v>
      </c>
      <c r="D320" s="37" t="s">
        <v>592</v>
      </c>
      <c r="E320" s="56" t="s">
        <v>834</v>
      </c>
      <c r="F320" s="37" t="s">
        <v>782</v>
      </c>
      <c r="G320" s="37" t="s">
        <v>1929</v>
      </c>
      <c r="H320" s="37">
        <v>157.19999999999999</v>
      </c>
      <c r="I320" s="37">
        <v>0</v>
      </c>
      <c r="J320" s="38">
        <v>270252.15999999997</v>
      </c>
      <c r="K320" s="37" t="s">
        <v>615</v>
      </c>
      <c r="O320" s="37">
        <v>0</v>
      </c>
      <c r="P320" s="37">
        <v>0</v>
      </c>
      <c r="Q320" s="37">
        <v>0</v>
      </c>
      <c r="R320" s="37">
        <v>0</v>
      </c>
      <c r="S320" s="37" t="s">
        <v>2370</v>
      </c>
      <c r="T320" s="37">
        <v>0</v>
      </c>
    </row>
    <row r="321" spans="1:20">
      <c r="A321" s="54">
        <v>45461</v>
      </c>
      <c r="B321" s="37" t="s">
        <v>2371</v>
      </c>
      <c r="C321" s="37" t="s">
        <v>712</v>
      </c>
      <c r="D321" s="37" t="s">
        <v>592</v>
      </c>
      <c r="E321" s="56" t="s">
        <v>834</v>
      </c>
      <c r="F321" s="37" t="s">
        <v>782</v>
      </c>
      <c r="G321" s="37" t="s">
        <v>1929</v>
      </c>
      <c r="H321" s="37">
        <v>119.7</v>
      </c>
      <c r="I321" s="37">
        <v>0</v>
      </c>
      <c r="J321" s="38">
        <v>270371.86</v>
      </c>
      <c r="K321" s="37" t="s">
        <v>615</v>
      </c>
      <c r="O321" s="37">
        <v>0</v>
      </c>
      <c r="P321" s="37">
        <v>0</v>
      </c>
      <c r="Q321" s="37">
        <v>0</v>
      </c>
      <c r="R321" s="37">
        <v>0</v>
      </c>
      <c r="S321" s="37" t="s">
        <v>2371</v>
      </c>
      <c r="T321" s="37">
        <v>0</v>
      </c>
    </row>
    <row r="322" spans="1:20">
      <c r="A322" s="54">
        <v>45461</v>
      </c>
      <c r="B322" s="37" t="s">
        <v>2372</v>
      </c>
      <c r="C322" s="37" t="s">
        <v>712</v>
      </c>
      <c r="D322" s="37" t="s">
        <v>592</v>
      </c>
      <c r="E322" s="56" t="s">
        <v>834</v>
      </c>
      <c r="F322" s="37" t="s">
        <v>782</v>
      </c>
      <c r="G322" s="37" t="s">
        <v>1929</v>
      </c>
      <c r="H322" s="37">
        <v>125.7</v>
      </c>
      <c r="I322" s="37">
        <v>0</v>
      </c>
      <c r="J322" s="38">
        <v>270497.56</v>
      </c>
      <c r="K322" s="37" t="s">
        <v>615</v>
      </c>
      <c r="O322" s="37">
        <v>0</v>
      </c>
      <c r="P322" s="37">
        <v>0</v>
      </c>
      <c r="Q322" s="37">
        <v>0</v>
      </c>
      <c r="R322" s="37">
        <v>0</v>
      </c>
      <c r="S322" s="37" t="s">
        <v>2372</v>
      </c>
      <c r="T322" s="37">
        <v>0</v>
      </c>
    </row>
    <row r="323" spans="1:20">
      <c r="A323" s="54">
        <v>45461</v>
      </c>
      <c r="B323" s="37" t="s">
        <v>2368</v>
      </c>
      <c r="C323" s="37" t="s">
        <v>712</v>
      </c>
      <c r="D323" s="37" t="s">
        <v>592</v>
      </c>
      <c r="E323" s="56" t="s">
        <v>834</v>
      </c>
      <c r="F323" s="37" t="s">
        <v>782</v>
      </c>
      <c r="G323" s="37" t="s">
        <v>1883</v>
      </c>
      <c r="H323" s="37">
        <v>2</v>
      </c>
      <c r="I323" s="37">
        <v>0</v>
      </c>
      <c r="J323" s="38">
        <v>269956.96000000002</v>
      </c>
      <c r="K323" s="37" t="s">
        <v>615</v>
      </c>
      <c r="O323" s="37">
        <v>0</v>
      </c>
      <c r="P323" s="37">
        <v>0</v>
      </c>
      <c r="Q323" s="37">
        <v>0</v>
      </c>
      <c r="R323" s="37">
        <v>0</v>
      </c>
      <c r="S323" s="37" t="s">
        <v>2368</v>
      </c>
      <c r="T323" s="37">
        <v>0</v>
      </c>
    </row>
    <row r="324" spans="1:20">
      <c r="A324" s="54">
        <v>45462</v>
      </c>
      <c r="B324" s="37" t="s">
        <v>2373</v>
      </c>
      <c r="C324" s="37" t="s">
        <v>712</v>
      </c>
      <c r="D324" s="37" t="s">
        <v>592</v>
      </c>
      <c r="E324" s="56" t="s">
        <v>834</v>
      </c>
      <c r="F324" s="37" t="s">
        <v>782</v>
      </c>
      <c r="G324" s="37" t="s">
        <v>1883</v>
      </c>
      <c r="H324" s="37">
        <v>52.5</v>
      </c>
      <c r="I324" s="37">
        <v>0</v>
      </c>
      <c r="J324" s="38">
        <v>270550.06</v>
      </c>
      <c r="K324" s="37" t="s">
        <v>615</v>
      </c>
      <c r="O324" s="37">
        <v>0</v>
      </c>
      <c r="P324" s="37">
        <v>0</v>
      </c>
      <c r="Q324" s="37">
        <v>0</v>
      </c>
      <c r="R324" s="37">
        <v>0</v>
      </c>
      <c r="S324" s="37" t="s">
        <v>2373</v>
      </c>
      <c r="T324" s="37">
        <v>0</v>
      </c>
    </row>
    <row r="325" spans="1:20">
      <c r="A325" s="54">
        <v>45463</v>
      </c>
      <c r="B325" s="37" t="s">
        <v>2374</v>
      </c>
      <c r="C325" s="37" t="s">
        <v>712</v>
      </c>
      <c r="D325" s="37" t="s">
        <v>592</v>
      </c>
      <c r="E325" s="56" t="s">
        <v>834</v>
      </c>
      <c r="F325" s="37" t="s">
        <v>616</v>
      </c>
      <c r="G325" s="37" t="s">
        <v>2375</v>
      </c>
      <c r="H325" s="38">
        <v>5843.23</v>
      </c>
      <c r="I325" s="37">
        <v>0</v>
      </c>
      <c r="J325" s="38">
        <v>276393.28999999998</v>
      </c>
      <c r="K325" s="37" t="s">
        <v>615</v>
      </c>
      <c r="O325" s="37">
        <v>0</v>
      </c>
      <c r="P325" s="37">
        <v>0</v>
      </c>
      <c r="Q325" s="37">
        <v>0</v>
      </c>
      <c r="R325" s="37">
        <v>0</v>
      </c>
      <c r="T325" s="37">
        <v>0</v>
      </c>
    </row>
    <row r="326" spans="1:20">
      <c r="A326" s="54">
        <v>45465</v>
      </c>
      <c r="B326" s="37" t="s">
        <v>2376</v>
      </c>
      <c r="C326" s="37" t="s">
        <v>712</v>
      </c>
      <c r="D326" s="37" t="s">
        <v>592</v>
      </c>
      <c r="E326" s="56" t="s">
        <v>834</v>
      </c>
      <c r="F326" s="37" t="s">
        <v>782</v>
      </c>
      <c r="G326" s="37" t="s">
        <v>1929</v>
      </c>
      <c r="H326" s="37">
        <v>119.7</v>
      </c>
      <c r="I326" s="37">
        <v>0</v>
      </c>
      <c r="J326" s="38">
        <v>276512.99</v>
      </c>
      <c r="K326" s="37" t="s">
        <v>615</v>
      </c>
      <c r="O326" s="37">
        <v>0</v>
      </c>
      <c r="P326" s="37">
        <v>0</v>
      </c>
      <c r="Q326" s="37">
        <v>0</v>
      </c>
      <c r="R326" s="37">
        <v>0</v>
      </c>
      <c r="S326" s="37" t="s">
        <v>2376</v>
      </c>
      <c r="T326" s="37">
        <v>0</v>
      </c>
    </row>
    <row r="327" spans="1:20">
      <c r="A327" s="54">
        <v>45465</v>
      </c>
      <c r="B327" s="37" t="s">
        <v>2377</v>
      </c>
      <c r="C327" s="37" t="s">
        <v>712</v>
      </c>
      <c r="D327" s="37" t="s">
        <v>592</v>
      </c>
      <c r="E327" s="56" t="s">
        <v>834</v>
      </c>
      <c r="F327" s="37" t="s">
        <v>782</v>
      </c>
      <c r="G327" s="37" t="s">
        <v>1929</v>
      </c>
      <c r="H327" s="37">
        <v>125.7</v>
      </c>
      <c r="I327" s="37">
        <v>0</v>
      </c>
      <c r="J327" s="38">
        <v>276638.69</v>
      </c>
      <c r="K327" s="37" t="s">
        <v>615</v>
      </c>
      <c r="O327" s="37">
        <v>0</v>
      </c>
      <c r="P327" s="37">
        <v>0</v>
      </c>
      <c r="Q327" s="37">
        <v>0</v>
      </c>
      <c r="R327" s="37">
        <v>0</v>
      </c>
      <c r="S327" s="37" t="s">
        <v>2377</v>
      </c>
      <c r="T327" s="37">
        <v>0</v>
      </c>
    </row>
    <row r="328" spans="1:20">
      <c r="A328" s="54">
        <v>45468</v>
      </c>
      <c r="B328" s="37" t="s">
        <v>2378</v>
      </c>
      <c r="C328" s="37" t="s">
        <v>712</v>
      </c>
      <c r="D328" s="37" t="s">
        <v>592</v>
      </c>
      <c r="E328" s="56" t="s">
        <v>834</v>
      </c>
      <c r="F328" s="37" t="s">
        <v>782</v>
      </c>
      <c r="G328" s="37" t="s">
        <v>1900</v>
      </c>
      <c r="H328" s="37">
        <v>33.6</v>
      </c>
      <c r="I328" s="37">
        <v>0</v>
      </c>
      <c r="J328" s="38">
        <v>276672.28999999998</v>
      </c>
      <c r="K328" s="37" t="s">
        <v>615</v>
      </c>
      <c r="O328" s="37">
        <v>0</v>
      </c>
      <c r="P328" s="37">
        <v>0</v>
      </c>
      <c r="Q328" s="37">
        <v>0</v>
      </c>
      <c r="R328" s="37">
        <v>0</v>
      </c>
      <c r="S328" s="37" t="s">
        <v>1314</v>
      </c>
      <c r="T328" s="37">
        <v>0</v>
      </c>
    </row>
    <row r="329" spans="1:20">
      <c r="A329" s="54">
        <v>45468</v>
      </c>
      <c r="B329" s="37" t="s">
        <v>2379</v>
      </c>
      <c r="C329" s="37" t="s">
        <v>712</v>
      </c>
      <c r="D329" s="37" t="s">
        <v>592</v>
      </c>
      <c r="E329" s="56" t="s">
        <v>834</v>
      </c>
      <c r="F329" s="37" t="s">
        <v>782</v>
      </c>
      <c r="G329" s="37" t="s">
        <v>1900</v>
      </c>
      <c r="H329" s="37">
        <v>52.5</v>
      </c>
      <c r="I329" s="37">
        <v>0</v>
      </c>
      <c r="J329" s="38">
        <v>276724.78999999998</v>
      </c>
      <c r="K329" s="37" t="s">
        <v>615</v>
      </c>
      <c r="O329" s="37">
        <v>0</v>
      </c>
      <c r="P329" s="37">
        <v>0</v>
      </c>
      <c r="Q329" s="37">
        <v>0</v>
      </c>
      <c r="R329" s="37">
        <v>0</v>
      </c>
      <c r="S329" s="37" t="s">
        <v>1296</v>
      </c>
      <c r="T329" s="37">
        <v>0</v>
      </c>
    </row>
    <row r="330" spans="1:20">
      <c r="A330" s="54">
        <v>45469</v>
      </c>
      <c r="B330" s="37" t="s">
        <v>2389</v>
      </c>
      <c r="C330" s="37" t="s">
        <v>712</v>
      </c>
      <c r="D330" s="37" t="s">
        <v>592</v>
      </c>
      <c r="E330" s="56" t="s">
        <v>834</v>
      </c>
      <c r="F330" s="37" t="s">
        <v>782</v>
      </c>
      <c r="G330" s="37" t="s">
        <v>1929</v>
      </c>
      <c r="H330" s="38">
        <v>1500</v>
      </c>
      <c r="I330" s="37">
        <v>0</v>
      </c>
      <c r="J330" s="38">
        <v>279942.78999999998</v>
      </c>
      <c r="K330" s="37" t="s">
        <v>615</v>
      </c>
      <c r="O330" s="37">
        <v>0</v>
      </c>
      <c r="P330" s="37">
        <v>0</v>
      </c>
      <c r="Q330" s="37">
        <v>0</v>
      </c>
      <c r="R330" s="37">
        <v>0</v>
      </c>
      <c r="S330" s="37" t="s">
        <v>2382</v>
      </c>
      <c r="T330" s="37">
        <v>0</v>
      </c>
    </row>
    <row r="331" spans="1:20">
      <c r="A331" s="54">
        <v>45469</v>
      </c>
      <c r="B331" s="37" t="s">
        <v>2382</v>
      </c>
      <c r="C331" s="37" t="s">
        <v>712</v>
      </c>
      <c r="D331" s="37" t="s">
        <v>592</v>
      </c>
      <c r="E331" s="56" t="s">
        <v>834</v>
      </c>
      <c r="F331" s="37" t="s">
        <v>782</v>
      </c>
      <c r="G331" s="37" t="s">
        <v>1900</v>
      </c>
      <c r="H331" s="37">
        <v>2.5</v>
      </c>
      <c r="I331" s="37">
        <v>0</v>
      </c>
      <c r="J331" s="38">
        <v>278377.28999999998</v>
      </c>
      <c r="K331" s="37" t="s">
        <v>615</v>
      </c>
      <c r="O331" s="37">
        <v>0</v>
      </c>
      <c r="P331" s="37">
        <v>0</v>
      </c>
      <c r="Q331" s="37">
        <v>0</v>
      </c>
      <c r="R331" s="37">
        <v>0</v>
      </c>
      <c r="S331" s="37" t="s">
        <v>2383</v>
      </c>
      <c r="T331" s="37">
        <v>0</v>
      </c>
    </row>
    <row r="332" spans="1:20">
      <c r="A332" s="54">
        <v>45469</v>
      </c>
      <c r="B332" s="37" t="s">
        <v>1315</v>
      </c>
      <c r="C332" s="37" t="s">
        <v>712</v>
      </c>
      <c r="D332" s="37" t="s">
        <v>592</v>
      </c>
      <c r="E332" s="56" t="s">
        <v>834</v>
      </c>
      <c r="F332" s="37" t="s">
        <v>782</v>
      </c>
      <c r="G332" s="37" t="s">
        <v>1900</v>
      </c>
      <c r="H332" s="37">
        <v>2.5</v>
      </c>
      <c r="I332" s="37">
        <v>0</v>
      </c>
      <c r="J332" s="38">
        <v>278379.78999999998</v>
      </c>
      <c r="K332" s="37" t="s">
        <v>615</v>
      </c>
      <c r="O332" s="37">
        <v>0</v>
      </c>
      <c r="P332" s="37">
        <v>0</v>
      </c>
      <c r="Q332" s="37">
        <v>0</v>
      </c>
      <c r="R332" s="37">
        <v>0</v>
      </c>
      <c r="S332" s="37" t="s">
        <v>2384</v>
      </c>
      <c r="T332" s="37">
        <v>0</v>
      </c>
    </row>
    <row r="333" spans="1:20">
      <c r="A333" s="54">
        <v>45469</v>
      </c>
      <c r="B333" s="37" t="s">
        <v>1876</v>
      </c>
      <c r="C333" s="37" t="s">
        <v>712</v>
      </c>
      <c r="D333" s="37" t="s">
        <v>592</v>
      </c>
      <c r="E333" s="56" t="s">
        <v>834</v>
      </c>
      <c r="F333" s="37" t="s">
        <v>782</v>
      </c>
      <c r="G333" s="37" t="s">
        <v>1900</v>
      </c>
      <c r="H333" s="37">
        <v>4.5</v>
      </c>
      <c r="I333" s="37">
        <v>0</v>
      </c>
      <c r="J333" s="38">
        <v>278384.28999999998</v>
      </c>
      <c r="K333" s="37" t="s">
        <v>615</v>
      </c>
      <c r="O333" s="37">
        <v>0</v>
      </c>
      <c r="P333" s="37">
        <v>0</v>
      </c>
      <c r="Q333" s="37">
        <v>0</v>
      </c>
      <c r="R333" s="37">
        <v>0</v>
      </c>
      <c r="S333" s="37" t="s">
        <v>2385</v>
      </c>
      <c r="T333" s="37">
        <v>0</v>
      </c>
    </row>
    <row r="334" spans="1:20">
      <c r="A334" s="54">
        <v>45469</v>
      </c>
      <c r="B334" s="37" t="s">
        <v>2386</v>
      </c>
      <c r="C334" s="37" t="s">
        <v>712</v>
      </c>
      <c r="D334" s="37" t="s">
        <v>592</v>
      </c>
      <c r="E334" s="56" t="s">
        <v>834</v>
      </c>
      <c r="F334" s="37" t="s">
        <v>782</v>
      </c>
      <c r="G334" s="37" t="s">
        <v>1900</v>
      </c>
      <c r="H334" s="37">
        <v>6</v>
      </c>
      <c r="I334" s="37">
        <v>0</v>
      </c>
      <c r="J334" s="38">
        <v>278390.28999999998</v>
      </c>
      <c r="K334" s="37" t="s">
        <v>615</v>
      </c>
      <c r="O334" s="37">
        <v>0</v>
      </c>
      <c r="P334" s="37">
        <v>0</v>
      </c>
      <c r="Q334" s="37">
        <v>0</v>
      </c>
      <c r="R334" s="37">
        <v>0</v>
      </c>
      <c r="S334" s="37" t="s">
        <v>2387</v>
      </c>
      <c r="T334" s="37">
        <v>0</v>
      </c>
    </row>
    <row r="335" spans="1:20">
      <c r="A335" s="54">
        <v>45469</v>
      </c>
      <c r="B335" s="37" t="s">
        <v>2388</v>
      </c>
      <c r="C335" s="37" t="s">
        <v>712</v>
      </c>
      <c r="D335" s="37" t="s">
        <v>592</v>
      </c>
      <c r="E335" s="56" t="s">
        <v>834</v>
      </c>
      <c r="F335" s="37" t="s">
        <v>782</v>
      </c>
      <c r="G335" s="37" t="s">
        <v>1900</v>
      </c>
      <c r="H335" s="37">
        <v>52.5</v>
      </c>
      <c r="I335" s="37">
        <v>0</v>
      </c>
      <c r="J335" s="38">
        <v>278442.78999999998</v>
      </c>
      <c r="K335" s="37" t="s">
        <v>615</v>
      </c>
      <c r="O335" s="37">
        <v>0</v>
      </c>
      <c r="P335" s="37">
        <v>0</v>
      </c>
      <c r="Q335" s="37">
        <v>0</v>
      </c>
      <c r="R335" s="37">
        <v>0</v>
      </c>
      <c r="S335" s="37" t="s">
        <v>2380</v>
      </c>
      <c r="T335" s="37">
        <v>0</v>
      </c>
    </row>
    <row r="336" spans="1:20">
      <c r="A336" s="54">
        <v>45469</v>
      </c>
      <c r="B336" s="37" t="s">
        <v>2380</v>
      </c>
      <c r="C336" s="37" t="s">
        <v>712</v>
      </c>
      <c r="D336" s="37" t="s">
        <v>592</v>
      </c>
      <c r="E336" s="56" t="s">
        <v>800</v>
      </c>
      <c r="F336" s="37" t="s">
        <v>616</v>
      </c>
      <c r="G336" s="37" t="s">
        <v>2381</v>
      </c>
      <c r="H336" s="38">
        <v>1650</v>
      </c>
      <c r="I336" s="37">
        <v>0</v>
      </c>
      <c r="J336" s="38">
        <v>278374.78999999998</v>
      </c>
      <c r="K336" s="37" t="s">
        <v>615</v>
      </c>
      <c r="O336" s="37">
        <v>0</v>
      </c>
      <c r="P336" s="37">
        <v>0</v>
      </c>
      <c r="Q336" s="37">
        <v>0</v>
      </c>
      <c r="R336" s="37">
        <v>0</v>
      </c>
      <c r="T336" s="37">
        <v>0</v>
      </c>
    </row>
    <row r="337" spans="1:20">
      <c r="A337" s="54">
        <v>45470</v>
      </c>
      <c r="B337" s="37" t="s">
        <v>2392</v>
      </c>
      <c r="C337" s="37" t="s">
        <v>712</v>
      </c>
      <c r="D337" s="37" t="s">
        <v>592</v>
      </c>
      <c r="E337" s="56" t="s">
        <v>834</v>
      </c>
      <c r="F337" s="37" t="s">
        <v>616</v>
      </c>
      <c r="G337" s="37" t="s">
        <v>2393</v>
      </c>
      <c r="H337" s="38">
        <v>2745.6</v>
      </c>
      <c r="I337" s="37">
        <v>0</v>
      </c>
      <c r="J337" s="38">
        <v>282740.89</v>
      </c>
      <c r="K337" s="37" t="s">
        <v>615</v>
      </c>
      <c r="O337" s="37">
        <v>0</v>
      </c>
      <c r="P337" s="37">
        <v>0</v>
      </c>
      <c r="Q337" s="37">
        <v>0</v>
      </c>
      <c r="R337" s="37">
        <v>0</v>
      </c>
      <c r="T337" s="37">
        <v>0</v>
      </c>
    </row>
    <row r="338" spans="1:20">
      <c r="A338" s="54">
        <v>45470</v>
      </c>
      <c r="B338" s="37" t="s">
        <v>2390</v>
      </c>
      <c r="C338" s="37" t="s">
        <v>712</v>
      </c>
      <c r="D338" s="37" t="s">
        <v>592</v>
      </c>
      <c r="E338" s="56" t="s">
        <v>834</v>
      </c>
      <c r="F338" s="37" t="s">
        <v>782</v>
      </c>
      <c r="G338" s="37" t="s">
        <v>1900</v>
      </c>
      <c r="H338" s="37">
        <v>52.5</v>
      </c>
      <c r="I338" s="37">
        <v>0</v>
      </c>
      <c r="J338" s="38">
        <v>279995.28999999998</v>
      </c>
      <c r="K338" s="37" t="s">
        <v>615</v>
      </c>
      <c r="O338" s="37">
        <v>0</v>
      </c>
      <c r="P338" s="37">
        <v>0</v>
      </c>
      <c r="Q338" s="37">
        <v>0</v>
      </c>
      <c r="R338" s="37">
        <v>0</v>
      </c>
      <c r="S338" s="37" t="s">
        <v>2391</v>
      </c>
      <c r="T338" s="37">
        <v>0</v>
      </c>
    </row>
    <row r="339" spans="1:20">
      <c r="A339" s="54">
        <v>45471</v>
      </c>
      <c r="B339" s="37" t="s">
        <v>2394</v>
      </c>
      <c r="C339" s="37" t="s">
        <v>712</v>
      </c>
      <c r="D339" s="37" t="s">
        <v>592</v>
      </c>
      <c r="E339" s="56" t="s">
        <v>834</v>
      </c>
      <c r="F339" s="37" t="s">
        <v>782</v>
      </c>
      <c r="G339" s="37" t="s">
        <v>1898</v>
      </c>
      <c r="H339" s="37">
        <v>52.5</v>
      </c>
      <c r="I339" s="37">
        <v>0</v>
      </c>
      <c r="J339" s="38">
        <v>282793.39</v>
      </c>
      <c r="K339" s="37" t="s">
        <v>615</v>
      </c>
      <c r="O339" s="37">
        <v>0</v>
      </c>
      <c r="P339" s="37">
        <v>0</v>
      </c>
      <c r="Q339" s="37">
        <v>0</v>
      </c>
      <c r="R339" s="37">
        <v>0</v>
      </c>
      <c r="S339" s="37" t="s">
        <v>2395</v>
      </c>
      <c r="T339" s="37">
        <v>0</v>
      </c>
    </row>
    <row r="340" spans="1:20">
      <c r="A340" s="54">
        <v>45471</v>
      </c>
      <c r="B340" s="37" t="s">
        <v>2396</v>
      </c>
      <c r="C340" s="37" t="s">
        <v>712</v>
      </c>
      <c r="D340" s="37" t="s">
        <v>592</v>
      </c>
      <c r="E340" s="56" t="s">
        <v>834</v>
      </c>
      <c r="F340" s="37" t="s">
        <v>782</v>
      </c>
      <c r="G340" s="37" t="s">
        <v>1883</v>
      </c>
      <c r="H340" s="37">
        <v>52.5</v>
      </c>
      <c r="I340" s="37">
        <v>0</v>
      </c>
      <c r="J340" s="38">
        <v>282845.89</v>
      </c>
      <c r="K340" s="37" t="s">
        <v>615</v>
      </c>
      <c r="O340" s="37">
        <v>0</v>
      </c>
      <c r="P340" s="37">
        <v>0</v>
      </c>
      <c r="Q340" s="37">
        <v>0</v>
      </c>
      <c r="R340" s="37">
        <v>0</v>
      </c>
      <c r="S340" s="37" t="s">
        <v>1297</v>
      </c>
      <c r="T340" s="37">
        <v>0</v>
      </c>
    </row>
    <row r="341" spans="1:20">
      <c r="A341" s="54">
        <v>45472</v>
      </c>
      <c r="B341" s="37" t="s">
        <v>2397</v>
      </c>
      <c r="C341" s="37" t="s">
        <v>712</v>
      </c>
      <c r="D341" s="37" t="s">
        <v>592</v>
      </c>
      <c r="E341" s="56" t="s">
        <v>834</v>
      </c>
      <c r="F341" s="37" t="s">
        <v>782</v>
      </c>
      <c r="G341" s="37" t="s">
        <v>1883</v>
      </c>
      <c r="H341" s="37">
        <v>52.5</v>
      </c>
      <c r="I341" s="37">
        <v>0</v>
      </c>
      <c r="J341" s="38">
        <v>282898.39</v>
      </c>
      <c r="K341" s="37" t="s">
        <v>615</v>
      </c>
      <c r="O341" s="37">
        <v>0</v>
      </c>
      <c r="P341" s="37">
        <v>0</v>
      </c>
      <c r="Q341" s="37">
        <v>0</v>
      </c>
      <c r="R341" s="37">
        <v>0</v>
      </c>
      <c r="S341" s="37" t="s">
        <v>2398</v>
      </c>
      <c r="T341" s="37">
        <v>0</v>
      </c>
    </row>
    <row r="342" spans="1:20">
      <c r="A342" s="54">
        <v>45473</v>
      </c>
      <c r="B342" s="37" t="s">
        <v>2399</v>
      </c>
      <c r="C342" s="37" t="s">
        <v>712</v>
      </c>
      <c r="D342" s="37" t="s">
        <v>592</v>
      </c>
      <c r="E342" s="56" t="s">
        <v>834</v>
      </c>
      <c r="F342" s="37" t="s">
        <v>616</v>
      </c>
      <c r="G342" s="37" t="s">
        <v>2400</v>
      </c>
      <c r="H342" s="38">
        <v>4702.03</v>
      </c>
      <c r="I342" s="37">
        <v>0</v>
      </c>
      <c r="J342" s="38">
        <v>287600.42</v>
      </c>
      <c r="K342" s="37" t="s">
        <v>615</v>
      </c>
      <c r="O342" s="37">
        <v>0</v>
      </c>
      <c r="P342" s="37">
        <v>0</v>
      </c>
      <c r="Q342" s="37">
        <v>0</v>
      </c>
      <c r="R342" s="37">
        <v>0</v>
      </c>
      <c r="T342" s="37">
        <v>0</v>
      </c>
    </row>
    <row r="343" spans="1:20">
      <c r="A343" s="54">
        <v>45473</v>
      </c>
      <c r="B343" s="37" t="s">
        <v>2403</v>
      </c>
      <c r="C343" s="37" t="s">
        <v>712</v>
      </c>
      <c r="D343" s="37" t="s">
        <v>592</v>
      </c>
      <c r="E343" s="56" t="s">
        <v>834</v>
      </c>
      <c r="F343" s="37" t="s">
        <v>782</v>
      </c>
      <c r="G343" s="37" t="s">
        <v>2347</v>
      </c>
      <c r="H343" s="37">
        <v>119.7</v>
      </c>
      <c r="I343" s="37">
        <v>0</v>
      </c>
      <c r="J343" s="38">
        <v>287780.12</v>
      </c>
      <c r="K343" s="37" t="s">
        <v>615</v>
      </c>
      <c r="O343" s="37">
        <v>0</v>
      </c>
      <c r="P343" s="37">
        <v>0</v>
      </c>
      <c r="Q343" s="37">
        <v>0</v>
      </c>
      <c r="R343" s="37">
        <v>0</v>
      </c>
      <c r="S343" s="37" t="s">
        <v>2404</v>
      </c>
      <c r="T343" s="37">
        <v>0</v>
      </c>
    </row>
    <row r="344" spans="1:20">
      <c r="A344" s="54">
        <v>45473</v>
      </c>
      <c r="B344" s="37" t="s">
        <v>2405</v>
      </c>
      <c r="C344" s="37" t="s">
        <v>712</v>
      </c>
      <c r="D344" s="37" t="s">
        <v>592</v>
      </c>
      <c r="E344" s="56" t="s">
        <v>834</v>
      </c>
      <c r="F344" s="37" t="s">
        <v>782</v>
      </c>
      <c r="G344" s="37" t="s">
        <v>1929</v>
      </c>
      <c r="H344" s="38">
        <v>1500</v>
      </c>
      <c r="I344" s="37">
        <v>0</v>
      </c>
      <c r="J344" s="38">
        <v>289280.12</v>
      </c>
      <c r="K344" s="37" t="s">
        <v>615</v>
      </c>
      <c r="O344" s="37">
        <v>0</v>
      </c>
      <c r="P344" s="37">
        <v>0</v>
      </c>
      <c r="Q344" s="37">
        <v>0</v>
      </c>
      <c r="R344" s="37">
        <v>0</v>
      </c>
      <c r="S344" s="37" t="s">
        <v>2399</v>
      </c>
      <c r="T344" s="37">
        <v>0</v>
      </c>
    </row>
    <row r="345" spans="1:20">
      <c r="A345" s="54">
        <v>45473</v>
      </c>
      <c r="B345" s="37" t="s">
        <v>2401</v>
      </c>
      <c r="C345" s="37" t="s">
        <v>712</v>
      </c>
      <c r="D345" s="37" t="s">
        <v>592</v>
      </c>
      <c r="E345" s="56" t="s">
        <v>834</v>
      </c>
      <c r="F345" s="37" t="s">
        <v>782</v>
      </c>
      <c r="G345" s="37" t="s">
        <v>1908</v>
      </c>
      <c r="H345" s="37">
        <v>60</v>
      </c>
      <c r="I345" s="37">
        <v>0</v>
      </c>
      <c r="J345" s="38">
        <v>287660.42</v>
      </c>
      <c r="K345" s="37" t="s">
        <v>615</v>
      </c>
      <c r="O345" s="37">
        <v>0</v>
      </c>
      <c r="P345" s="37">
        <v>0</v>
      </c>
      <c r="Q345" s="37">
        <v>0</v>
      </c>
      <c r="R345" s="37">
        <v>0</v>
      </c>
      <c r="S345" s="37" t="s">
        <v>2402</v>
      </c>
      <c r="T345" s="37">
        <v>0</v>
      </c>
    </row>
    <row r="346" spans="1:20">
      <c r="A346" s="54">
        <v>45473</v>
      </c>
      <c r="B346" s="37" t="s">
        <v>2406</v>
      </c>
      <c r="C346" s="37" t="s">
        <v>712</v>
      </c>
      <c r="D346" s="37" t="s">
        <v>592</v>
      </c>
      <c r="E346" s="56" t="s">
        <v>835</v>
      </c>
      <c r="F346" s="37" t="s">
        <v>616</v>
      </c>
      <c r="G346" s="37" t="s">
        <v>2407</v>
      </c>
      <c r="H346" s="37">
        <v>602.76</v>
      </c>
      <c r="I346" s="37">
        <v>0</v>
      </c>
      <c r="J346" s="38">
        <v>289882.88</v>
      </c>
      <c r="K346" s="37" t="s">
        <v>615</v>
      </c>
      <c r="O346" s="37">
        <v>0</v>
      </c>
      <c r="P346" s="37">
        <v>0</v>
      </c>
      <c r="Q346" s="37">
        <v>0</v>
      </c>
      <c r="R346" s="37">
        <v>0</v>
      </c>
      <c r="T346" s="37">
        <v>0</v>
      </c>
    </row>
    <row r="348" spans="1:20">
      <c r="D348"/>
      <c r="E348"/>
      <c r="F348"/>
    </row>
    <row r="349" spans="1:20">
      <c r="D349"/>
      <c r="E349" s="61"/>
      <c r="F349" s="61"/>
    </row>
    <row r="350" spans="1:20">
      <c r="D350"/>
      <c r="E350" s="122" t="s">
        <v>2409</v>
      </c>
      <c r="F350" s="61"/>
    </row>
    <row r="351" spans="1:20">
      <c r="D351" s="58" t="s">
        <v>779</v>
      </c>
      <c r="E351" s="61" t="s">
        <v>781</v>
      </c>
      <c r="F351" s="61" t="s">
        <v>2410</v>
      </c>
    </row>
    <row r="352" spans="1:20">
      <c r="D352" s="59" t="s">
        <v>834</v>
      </c>
      <c r="E352" s="61">
        <v>151226.57000000009</v>
      </c>
      <c r="F352" s="61">
        <v>0</v>
      </c>
    </row>
    <row r="353" spans="4:6">
      <c r="D353" s="59" t="s">
        <v>800</v>
      </c>
      <c r="E353" s="61">
        <v>119339.80000000002</v>
      </c>
      <c r="F353" s="61">
        <v>0</v>
      </c>
    </row>
    <row r="354" spans="4:6">
      <c r="D354" s="59" t="s">
        <v>2408</v>
      </c>
      <c r="E354" s="61">
        <v>16049.9</v>
      </c>
      <c r="F354" s="61">
        <v>0</v>
      </c>
    </row>
    <row r="355" spans="4:6">
      <c r="D355" s="59" t="s">
        <v>835</v>
      </c>
      <c r="E355" s="61">
        <v>3266.6099999999997</v>
      </c>
      <c r="F355" s="61">
        <v>0</v>
      </c>
    </row>
    <row r="356" spans="4:6">
      <c r="D356" s="59" t="s">
        <v>780</v>
      </c>
      <c r="E356" s="61">
        <v>289882.88000000012</v>
      </c>
      <c r="F356" s="61">
        <v>0</v>
      </c>
    </row>
    <row r="357" spans="4:6">
      <c r="D357"/>
      <c r="E357" s="61"/>
      <c r="F357" s="61"/>
    </row>
    <row r="358" spans="4:6">
      <c r="D358"/>
      <c r="E358" s="61"/>
      <c r="F358" s="61"/>
    </row>
    <row r="359" spans="4:6">
      <c r="D359"/>
      <c r="E359" s="61"/>
      <c r="F359" s="61"/>
    </row>
    <row r="360" spans="4:6">
      <c r="D360"/>
      <c r="E360" s="61"/>
      <c r="F360" s="61"/>
    </row>
    <row r="361" spans="4:6">
      <c r="D361"/>
      <c r="E361"/>
      <c r="F361"/>
    </row>
    <row r="362" spans="4:6">
      <c r="D362"/>
      <c r="E362"/>
      <c r="F362"/>
    </row>
    <row r="363" spans="4:6">
      <c r="D363"/>
      <c r="E363"/>
      <c r="F363"/>
    </row>
    <row r="364" spans="4:6">
      <c r="D364"/>
      <c r="E364"/>
      <c r="F364"/>
    </row>
    <row r="365" spans="4:6">
      <c r="D365"/>
      <c r="E365"/>
      <c r="F365"/>
    </row>
    <row r="366" spans="4:6">
      <c r="D366"/>
      <c r="E366"/>
      <c r="F366"/>
    </row>
    <row r="367" spans="4:6">
      <c r="D367"/>
      <c r="E367"/>
      <c r="F367"/>
    </row>
    <row r="368" spans="4:6">
      <c r="D368"/>
    </row>
    <row r="369" spans="4:4">
      <c r="D369"/>
    </row>
    <row r="370" spans="4:4">
      <c r="D370"/>
    </row>
    <row r="371" spans="4:4">
      <c r="D371"/>
    </row>
    <row r="372" spans="4:4">
      <c r="D372"/>
    </row>
    <row r="373" spans="4:4">
      <c r="D373"/>
    </row>
    <row r="374" spans="4:4">
      <c r="D374"/>
    </row>
    <row r="375" spans="4:4">
      <c r="D375"/>
    </row>
    <row r="376" spans="4:4">
      <c r="D376"/>
    </row>
    <row r="377" spans="4:4">
      <c r="D377"/>
    </row>
    <row r="378" spans="4:4">
      <c r="D378"/>
    </row>
    <row r="379" spans="4:4">
      <c r="D379"/>
    </row>
    <row r="380" spans="4:4">
      <c r="D380"/>
    </row>
    <row r="381" spans="4:4">
      <c r="D381"/>
    </row>
    <row r="382" spans="4:4">
      <c r="D382"/>
    </row>
    <row r="383" spans="4:4">
      <c r="D383"/>
    </row>
    <row r="384" spans="4:4">
      <c r="D384"/>
    </row>
    <row r="385" spans="4:4">
      <c r="D385"/>
    </row>
    <row r="386" spans="4:4">
      <c r="D386"/>
    </row>
    <row r="387" spans="4:4">
      <c r="D387"/>
    </row>
    <row r="388" spans="4:4">
      <c r="D388"/>
    </row>
    <row r="389" spans="4:4">
      <c r="D389"/>
    </row>
    <row r="390" spans="4:4">
      <c r="D390"/>
    </row>
    <row r="391" spans="4:4">
      <c r="D391"/>
    </row>
    <row r="392" spans="4:4">
      <c r="D392"/>
    </row>
    <row r="393" spans="4:4">
      <c r="D393"/>
    </row>
    <row r="394" spans="4:4">
      <c r="D394"/>
    </row>
    <row r="395" spans="4:4">
      <c r="D395"/>
    </row>
    <row r="396" spans="4:4">
      <c r="D396"/>
    </row>
    <row r="397" spans="4:4">
      <c r="D397"/>
    </row>
    <row r="398" spans="4:4">
      <c r="D398"/>
    </row>
    <row r="399" spans="4:4">
      <c r="D399"/>
    </row>
    <row r="400" spans="4:4">
      <c r="D400"/>
    </row>
    <row r="401" spans="4:4">
      <c r="D401"/>
    </row>
    <row r="402" spans="4:4">
      <c r="D402"/>
    </row>
    <row r="403" spans="4:4">
      <c r="D403"/>
    </row>
    <row r="404" spans="4:4">
      <c r="D404"/>
    </row>
    <row r="405" spans="4:4">
      <c r="D405"/>
    </row>
    <row r="406" spans="4:4">
      <c r="D406"/>
    </row>
    <row r="407" spans="4:4">
      <c r="D407"/>
    </row>
    <row r="408" spans="4:4">
      <c r="D408"/>
    </row>
    <row r="409" spans="4:4">
      <c r="D409"/>
    </row>
    <row r="410" spans="4:4">
      <c r="D410"/>
    </row>
    <row r="411" spans="4:4">
      <c r="D411"/>
    </row>
    <row r="412" spans="4:4">
      <c r="D412"/>
    </row>
    <row r="413" spans="4:4">
      <c r="D413"/>
    </row>
    <row r="414" spans="4:4">
      <c r="D414"/>
    </row>
    <row r="415" spans="4:4">
      <c r="D415"/>
    </row>
    <row r="416" spans="4:4">
      <c r="D416"/>
    </row>
    <row r="417" spans="4:4">
      <c r="D417"/>
    </row>
    <row r="418" spans="4:4">
      <c r="D418"/>
    </row>
    <row r="419" spans="4:4">
      <c r="D419"/>
    </row>
    <row r="420" spans="4:4">
      <c r="D420"/>
    </row>
    <row r="421" spans="4:4">
      <c r="D421"/>
    </row>
    <row r="422" spans="4:4">
      <c r="D422"/>
    </row>
    <row r="423" spans="4:4">
      <c r="D423"/>
    </row>
    <row r="424" spans="4:4">
      <c r="D424"/>
    </row>
    <row r="425" spans="4:4">
      <c r="D425"/>
    </row>
    <row r="426" spans="4:4">
      <c r="D426"/>
    </row>
    <row r="427" spans="4:4">
      <c r="D427"/>
    </row>
    <row r="428" spans="4:4">
      <c r="D428"/>
    </row>
    <row r="429" spans="4:4">
      <c r="D429"/>
    </row>
    <row r="430" spans="4:4">
      <c r="D430"/>
    </row>
    <row r="431" spans="4:4">
      <c r="D431"/>
    </row>
    <row r="432" spans="4:4">
      <c r="D432"/>
    </row>
    <row r="433" spans="4:4">
      <c r="D433"/>
    </row>
    <row r="434" spans="4:4">
      <c r="D434"/>
    </row>
    <row r="435" spans="4:4">
      <c r="D435"/>
    </row>
    <row r="436" spans="4:4">
      <c r="D436"/>
    </row>
    <row r="437" spans="4:4">
      <c r="D437"/>
    </row>
    <row r="438" spans="4:4">
      <c r="D438"/>
    </row>
    <row r="439" spans="4:4">
      <c r="D439"/>
    </row>
    <row r="440" spans="4:4">
      <c r="D440"/>
    </row>
    <row r="441" spans="4:4">
      <c r="D441"/>
    </row>
    <row r="442" spans="4:4">
      <c r="D442"/>
    </row>
    <row r="443" spans="4:4">
      <c r="D443"/>
    </row>
    <row r="444" spans="4:4">
      <c r="D444"/>
    </row>
    <row r="445" spans="4:4">
      <c r="D445"/>
    </row>
    <row r="446" spans="4:4">
      <c r="D446"/>
    </row>
    <row r="447" spans="4:4">
      <c r="D447"/>
    </row>
    <row r="448" spans="4:4">
      <c r="D448"/>
    </row>
  </sheetData>
  <sortState ref="A4:AB346">
    <sortCondition ref="A4:A346"/>
  </sortState>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dimension ref="B3:F9"/>
  <sheetViews>
    <sheetView workbookViewId="0">
      <selection activeCell="G151" sqref="G151"/>
    </sheetView>
  </sheetViews>
  <sheetFormatPr defaultRowHeight="13.2"/>
  <cols>
    <col min="1" max="1" width="8.88671875" style="56"/>
    <col min="2" max="2" width="8.21875" style="56" bestFit="1" customWidth="1"/>
    <col min="3" max="3" width="10.109375" style="56" bestFit="1" customWidth="1"/>
    <col min="4" max="5" width="9.109375" style="56" bestFit="1" customWidth="1"/>
    <col min="6" max="6" width="18.88671875" style="56" customWidth="1"/>
    <col min="7" max="16384" width="8.88671875" style="56"/>
  </cols>
  <sheetData>
    <row r="3" spans="2:6" ht="26.4">
      <c r="B3" s="104" t="s">
        <v>837</v>
      </c>
      <c r="C3" s="104" t="s">
        <v>1316</v>
      </c>
      <c r="D3" s="104" t="s">
        <v>802</v>
      </c>
      <c r="E3" s="104" t="s">
        <v>1317</v>
      </c>
      <c r="F3" s="105" t="s">
        <v>1318</v>
      </c>
    </row>
    <row r="4" spans="2:6">
      <c r="B4" s="106">
        <v>2019</v>
      </c>
      <c r="C4" s="107"/>
      <c r="D4" s="106"/>
      <c r="E4" s="106"/>
      <c r="F4" s="107">
        <f>+C4-D4</f>
        <v>0</v>
      </c>
    </row>
    <row r="5" spans="2:6">
      <c r="B5" s="106">
        <v>2020</v>
      </c>
      <c r="C5" s="106"/>
      <c r="D5" s="107"/>
      <c r="E5" s="107"/>
      <c r="F5" s="107">
        <v>0</v>
      </c>
    </row>
    <row r="6" spans="2:6">
      <c r="B6" s="106">
        <v>2021</v>
      </c>
      <c r="C6" s="106"/>
      <c r="D6" s="106"/>
      <c r="E6" s="107"/>
      <c r="F6" s="107">
        <v>0</v>
      </c>
    </row>
    <row r="7" spans="2:6">
      <c r="B7" s="106">
        <v>2022</v>
      </c>
      <c r="C7" s="106"/>
      <c r="D7" s="106"/>
      <c r="E7" s="107"/>
      <c r="F7" s="107">
        <v>0</v>
      </c>
    </row>
    <row r="8" spans="2:6">
      <c r="B8" s="106">
        <v>2023</v>
      </c>
      <c r="C8" s="107"/>
      <c r="D8" s="107"/>
      <c r="E8" s="106"/>
      <c r="F8" s="107">
        <f>+C8-D8</f>
        <v>0</v>
      </c>
    </row>
    <row r="9" spans="2:6">
      <c r="B9" s="106" t="s">
        <v>590</v>
      </c>
      <c r="C9" s="107">
        <f>SUM(C4:C8)</f>
        <v>0</v>
      </c>
      <c r="D9" s="107">
        <f>SUM(D4:D8)</f>
        <v>0</v>
      </c>
      <c r="E9" s="107">
        <f>SUM(E4:E8)</f>
        <v>0</v>
      </c>
      <c r="F9" s="10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FF0000"/>
  </sheetPr>
  <dimension ref="B5:H28"/>
  <sheetViews>
    <sheetView workbookViewId="0">
      <selection activeCell="G151" sqref="G151"/>
    </sheetView>
  </sheetViews>
  <sheetFormatPr defaultColWidth="8.77734375" defaultRowHeight="13.2"/>
  <cols>
    <col min="1" max="1" width="8.77734375" style="56"/>
    <col min="2" max="2" width="20" style="56" bestFit="1" customWidth="1"/>
    <col min="3" max="3" width="25" style="56" bestFit="1" customWidth="1"/>
    <col min="4" max="4" width="13.109375" style="56" bestFit="1" customWidth="1"/>
    <col min="5" max="5" width="8.88671875" style="108" customWidth="1"/>
    <col min="6" max="6" width="17.44140625" style="56" bestFit="1" customWidth="1"/>
    <col min="7" max="7" width="31.5546875" style="56" bestFit="1" customWidth="1"/>
    <col min="8" max="8" width="11.6640625" style="56" bestFit="1" customWidth="1"/>
    <col min="9" max="16384" width="8.77734375" style="56"/>
  </cols>
  <sheetData>
    <row r="5" spans="2:8">
      <c r="C5" s="56" t="s">
        <v>1319</v>
      </c>
      <c r="D5" s="109">
        <v>0</v>
      </c>
    </row>
    <row r="7" spans="2:8">
      <c r="B7" s="110" t="s">
        <v>1320</v>
      </c>
      <c r="C7" s="56" t="s">
        <v>1321</v>
      </c>
      <c r="D7" s="56" t="s">
        <v>1322</v>
      </c>
      <c r="E7" s="108" t="s">
        <v>1323</v>
      </c>
      <c r="F7" s="56" t="s">
        <v>1319</v>
      </c>
    </row>
    <row r="8" spans="2:8">
      <c r="B8" s="111">
        <v>600</v>
      </c>
      <c r="C8" s="109" t="s">
        <v>534</v>
      </c>
      <c r="D8" s="38">
        <v>0</v>
      </c>
      <c r="E8" s="108" t="e">
        <f>D8/D11</f>
        <v>#DIV/0!</v>
      </c>
      <c r="F8" s="112" t="e">
        <v>#DIV/0!</v>
      </c>
      <c r="G8" s="56" t="s">
        <v>1324</v>
      </c>
      <c r="H8" s="60" t="s">
        <v>1325</v>
      </c>
    </row>
    <row r="9" spans="2:8">
      <c r="B9" s="111">
        <v>601</v>
      </c>
      <c r="C9" s="109" t="s">
        <v>190</v>
      </c>
      <c r="D9" s="37">
        <v>0</v>
      </c>
      <c r="E9" s="108" t="e">
        <f>D9/D11</f>
        <v>#DIV/0!</v>
      </c>
      <c r="F9" s="112" t="e">
        <f>$D$5*E9</f>
        <v>#DIV/0!</v>
      </c>
    </row>
    <row r="10" spans="2:8">
      <c r="B10" s="111">
        <v>602</v>
      </c>
      <c r="C10" s="109" t="s">
        <v>191</v>
      </c>
      <c r="D10" s="38">
        <v>0</v>
      </c>
      <c r="E10" s="108" t="e">
        <f>D10/D11</f>
        <v>#DIV/0!</v>
      </c>
      <c r="F10" s="112" t="e">
        <f>$D$5*E10</f>
        <v>#DIV/0!</v>
      </c>
    </row>
    <row r="11" spans="2:8" s="60" customFormat="1">
      <c r="C11" s="60" t="s">
        <v>590</v>
      </c>
      <c r="D11" s="113">
        <f>SUM(D8:D10)</f>
        <v>0</v>
      </c>
      <c r="E11" s="66"/>
      <c r="F11" s="113" t="e">
        <f>SUM(F8:F10)</f>
        <v>#DIV/0!</v>
      </c>
    </row>
    <row r="16" spans="2:8">
      <c r="C16" s="133" t="s">
        <v>1326</v>
      </c>
      <c r="D16" s="133"/>
      <c r="E16" s="133"/>
      <c r="F16" s="133"/>
    </row>
    <row r="17" spans="2:6">
      <c r="C17" s="114" t="s">
        <v>1327</v>
      </c>
      <c r="D17" s="114" t="s">
        <v>801</v>
      </c>
      <c r="E17" s="115" t="s">
        <v>1328</v>
      </c>
      <c r="F17" s="114" t="s">
        <v>1329</v>
      </c>
    </row>
    <row r="18" spans="2:6">
      <c r="C18" s="116" t="s">
        <v>1330</v>
      </c>
      <c r="D18" s="117" t="e">
        <f>+F8</f>
        <v>#DIV/0!</v>
      </c>
      <c r="E18" s="118">
        <v>0.24</v>
      </c>
      <c r="F18" s="117" t="e">
        <f>D18*E18</f>
        <v>#DIV/0!</v>
      </c>
    </row>
    <row r="19" spans="2:6">
      <c r="C19" s="116" t="s">
        <v>1331</v>
      </c>
      <c r="D19" s="117" t="e">
        <f>+D5-D18</f>
        <v>#DIV/0!</v>
      </c>
      <c r="E19" s="118">
        <v>0.25</v>
      </c>
      <c r="F19" s="117" t="e">
        <f>D19*E19</f>
        <v>#DIV/0!</v>
      </c>
    </row>
    <row r="20" spans="2:6">
      <c r="B20" s="109"/>
      <c r="C20" s="119" t="s">
        <v>590</v>
      </c>
      <c r="D20" s="120" t="e">
        <f>SUM(D18:D19)</f>
        <v>#DIV/0!</v>
      </c>
      <c r="E20" s="41"/>
      <c r="F20" s="120" t="e">
        <f>SUM(F18:F19)</f>
        <v>#DIV/0!</v>
      </c>
    </row>
    <row r="21" spans="2:6">
      <c r="B21" s="109"/>
      <c r="C21" s="109"/>
      <c r="D21" s="109"/>
      <c r="E21" s="56"/>
    </row>
    <row r="22" spans="2:6">
      <c r="B22" s="109"/>
      <c r="C22" s="109"/>
      <c r="D22" s="109"/>
      <c r="E22" s="56"/>
    </row>
    <row r="23" spans="2:6">
      <c r="D23" s="108"/>
      <c r="E23" s="56"/>
      <c r="F23" s="112"/>
    </row>
    <row r="24" spans="2:6">
      <c r="D24" s="108"/>
      <c r="E24" s="56"/>
    </row>
    <row r="25" spans="2:6">
      <c r="D25" s="108"/>
      <c r="E25" s="56"/>
    </row>
    <row r="26" spans="2:6">
      <c r="D26" s="108"/>
      <c r="E26" s="56"/>
    </row>
    <row r="27" spans="2:6">
      <c r="D27" s="108"/>
      <c r="E27" s="56"/>
    </row>
    <row r="28" spans="2:6">
      <c r="D28" s="108"/>
      <c r="E28" s="56"/>
    </row>
  </sheetData>
  <mergeCells count="1">
    <mergeCell ref="C16: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9</vt:i4>
      </vt:variant>
      <vt:variant>
        <vt:lpstr>Adlandırılmış Aralıklar</vt:lpstr>
      </vt:variant>
      <vt:variant>
        <vt:i4>1</vt:i4>
      </vt:variant>
    </vt:vector>
  </HeadingPairs>
  <TitlesOfParts>
    <vt:vector size="10" baseType="lpstr">
      <vt:lpstr>BİLANÇO</vt:lpstr>
      <vt:lpstr>GELİR TABLOSU</vt:lpstr>
      <vt:lpstr>CARİDÖNEM</vt:lpstr>
      <vt:lpstr>DETAY MİZAN</vt:lpstr>
      <vt:lpstr>780HESAP</vt:lpstr>
      <vt:lpstr>FGK</vt:lpstr>
      <vt:lpstr>KKEG</vt:lpstr>
      <vt:lpstr>GEÇMİŞ DÖNEM ZARARLARI</vt:lpstr>
      <vt:lpstr>KVK GEÇ 32-8</vt:lpstr>
      <vt:lpstr>'GELİR TABLOSU'!Yazdırma_Alanı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 DARICI</dc:creator>
  <dc:description>DENİZ DARICI</dc:description>
  <cp:lastModifiedBy>DENİZ DARICI</cp:lastModifiedBy>
  <cp:lastPrinted>2021-02-01T18:35:37Z</cp:lastPrinted>
  <dcterms:created xsi:type="dcterms:W3CDTF">2007-01-11T19:42:14Z</dcterms:created>
  <dcterms:modified xsi:type="dcterms:W3CDTF">2024-08-26T11:25:17Z</dcterms:modified>
</cp:coreProperties>
</file>