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21ac035cc79055/Desktop/VERGİ/2024 VERGİ/2024-III.DÖNEM GEÇİCİ VERGİ BANKA/TARA BORU A.Ş. 2024-III.DÖNEM GECİCİ VERGİ BANKA/"/>
    </mc:Choice>
  </mc:AlternateContent>
  <xr:revisionPtr revIDLastSave="28" documentId="13_ncr:1_{288F4C1B-49EE-4709-8E8A-86AF7F81D43A}" xr6:coauthVersionLast="47" xr6:coauthVersionMax="47" xr10:uidLastSave="{A41796CC-D8A4-4ABD-BF38-E90EF7F07204}"/>
  <bookViews>
    <workbookView xWindow="-120" yWindow="-120" windowWidth="29040" windowHeight="15720" xr2:uid="{7E0FFD58-AB9A-41D2-94A9-B6366D4BB469}"/>
  </bookViews>
  <sheets>
    <sheet name="BİLANÇO" sheetId="2" r:id="rId1"/>
    <sheet name="GELİR TAB" sheetId="3" r:id="rId2"/>
    <sheet name="DETAY MİZAN" sheetId="1" r:id="rId3"/>
    <sheet name="ANA HS MİZA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G52" i="3"/>
  <c r="G48" i="3"/>
  <c r="G40" i="3"/>
  <c r="G30" i="3"/>
  <c r="G25" i="3"/>
  <c r="G19" i="3"/>
  <c r="G14" i="3"/>
  <c r="G10" i="3"/>
  <c r="I168" i="2"/>
  <c r="I166" i="2"/>
  <c r="I164" i="2"/>
  <c r="I160" i="2"/>
  <c r="I154" i="2"/>
  <c r="I150" i="2"/>
  <c r="I149" i="2" s="1"/>
  <c r="I135" i="2"/>
  <c r="I134" i="2" s="1"/>
  <c r="I131" i="2"/>
  <c r="I123" i="2"/>
  <c r="I119" i="2"/>
  <c r="I116" i="2"/>
  <c r="I112" i="2"/>
  <c r="I106" i="2"/>
  <c r="I100" i="2"/>
  <c r="I74" i="2"/>
  <c r="I68" i="2"/>
  <c r="I59" i="2"/>
  <c r="I55" i="2"/>
  <c r="I50" i="2"/>
  <c r="I41" i="2"/>
  <c r="I38" i="2"/>
  <c r="I33" i="2"/>
  <c r="I27" i="2"/>
  <c r="I19" i="2"/>
  <c r="I15" i="2"/>
  <c r="I9" i="2"/>
  <c r="G18" i="3" l="1"/>
  <c r="G24" i="3" s="1"/>
  <c r="G29" i="3" s="1"/>
  <c r="G51" i="3" s="1"/>
  <c r="G59" i="3" s="1"/>
  <c r="G61" i="3" s="1"/>
  <c r="I99" i="2"/>
  <c r="I49" i="2"/>
  <c r="I8" i="2"/>
  <c r="I79" i="2" l="1"/>
  <c r="I1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volkanpc</author>
  </authors>
  <commentList>
    <comment ref="H68" authorId="0" shapeId="0" xr:uid="{3C54ECA4-6CD9-43FC-969C-0F00F96C3945}">
      <text>
        <r>
          <rPr>
            <b/>
            <sz val="9"/>
            <color indexed="81"/>
            <rFont val="Tahoma"/>
            <family val="2"/>
            <charset val="162"/>
          </rPr>
          <t>volkanpc: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<sst xmlns="http://schemas.openxmlformats.org/spreadsheetml/2006/main" count="5802" uniqueCount="2397">
  <si>
    <t>Ad</t>
  </si>
  <si>
    <t>Borç</t>
  </si>
  <si>
    <t>Alacak</t>
  </si>
  <si>
    <t>Bakiye</t>
  </si>
  <si>
    <t>Varlıklar</t>
  </si>
  <si>
    <t>100 - KASA HESABI</t>
  </si>
  <si>
    <t>100.0101 - TL KASASI</t>
  </si>
  <si>
    <t>100.0101.1001 - TL KASASI</t>
  </si>
  <si>
    <t>__________________</t>
  </si>
  <si>
    <t>Toplam 100.0101 - TL KASASI</t>
  </si>
  <si>
    <t>100.0201 - DÖVİZ KASASI</t>
  </si>
  <si>
    <t>Toplam 100.0201 - DÖVİZ KASASI</t>
  </si>
  <si>
    <t>Toplam 100 - KASA HESABI</t>
  </si>
  <si>
    <t>101 - 118</t>
  </si>
  <si>
    <t>101.0101 - ALINAN ÇEKLER</t>
  </si>
  <si>
    <t>101.0101.1000 - TL ÇEKLER</t>
  </si>
  <si>
    <t>Toplam 101.0101 - ALINAN ÇEKLER</t>
  </si>
  <si>
    <t>101.0103 - DÖVİZLİ ÇEKLER</t>
  </si>
  <si>
    <t>Toplam 101.0103 - DÖVİZLİ ÇEKLER</t>
  </si>
  <si>
    <t>101.0105 - TAHSİLE VERİLEN TL  ÇEKLER</t>
  </si>
  <si>
    <t>101.0105.1001 - AKBANK OSB ŞB.</t>
  </si>
  <si>
    <t>101.0105.2000 - HALKBANK ORGANİZE SANAYİ TİCARİ ŞUBE/BURSA</t>
  </si>
  <si>
    <t>101.0105.3001 - TEB BURSA ŞB.</t>
  </si>
  <si>
    <t>101.0105.4008 - YAPI KREDİ BANKASI NİLÜFER ŞUBESİ</t>
  </si>
  <si>
    <t>101.0105.5001 - İŞ BANKASI BURSA TİCARİ ŞB.</t>
  </si>
  <si>
    <t>101.0105.6004 - DENİZBANK MARMARA TİCARİ MERKEZ ŞB</t>
  </si>
  <si>
    <t>101.0105.6011 - GARANTİ BANKASI MARMARA TİCARİ ŞB</t>
  </si>
  <si>
    <t>101.0105.7002 - ZİRAAT BANKASI BEŞEVLER SANAYİ/BURSA GİRİŞİMCİ ŞB</t>
  </si>
  <si>
    <t>101.0105.8000 - VAKIFBANK-NİLÜFER ŞB</t>
  </si>
  <si>
    <t>101.0105.9015 - QNB FİNANSBANK ATABULVARI ŞUBESİ</t>
  </si>
  <si>
    <t>101.0105.9019 - ALBARAKATÜRK</t>
  </si>
  <si>
    <t>101.0105.9020 - BURGAN BANK</t>
  </si>
  <si>
    <t>Toplam 101.0105 - TAHSİLE VERİLEN TL  ÇEKLER</t>
  </si>
  <si>
    <t>101.0106 - TAHSİLE VERİLEN DÖVİZLİ ÇEKLER</t>
  </si>
  <si>
    <t>Toplam 101.0106 - TAHSİLE VERİLEN DÖVİZLİ ÇEKLER</t>
  </si>
  <si>
    <t>101.0107 - TEMİNATA VERİLEN TL ÇEKLER</t>
  </si>
  <si>
    <t>101.0107.5001 - İŞ BANKASI TAKSİTLİ KREDİ HS.VERİLEN ÇEKLER</t>
  </si>
  <si>
    <t>Toplam 101.0107 - TEMİNATA VERİLEN TL ÇEKLER</t>
  </si>
  <si>
    <t>101.0108 - TEMİNATA VERİLEN DÖVİZLİ ÇEKLER</t>
  </si>
  <si>
    <t>Toplam 101.0108 - TEMİNATA VERİLEN DÖVİZLİ ÇEKLER</t>
  </si>
  <si>
    <t>101.0109 - TAHSİLE VERİLEN TL MAĞAZA ÇEKLERİ</t>
  </si>
  <si>
    <t>Toplam 101.0109 - TAHSİLE VERİLEN TL MAĞAZA ÇEKLERİ</t>
  </si>
  <si>
    <t>101.0111 - TRANSFERDEKİ ÇEKLER</t>
  </si>
  <si>
    <t>101.0111.1001 - TRANSFERDEKİ ÇEKLER MERKEZ</t>
  </si>
  <si>
    <t>Toplam 101.0111 - TRANSFERDEKİ ÇEKLER</t>
  </si>
  <si>
    <t>101.0112 - KARŞILIKSIZ ÇEKLER</t>
  </si>
  <si>
    <t>Toplam 101.0112 - KARŞILIKSIZ ÇEKLER</t>
  </si>
  <si>
    <t>Toplam 101 - 118</t>
  </si>
  <si>
    <t>102 - BANKALAR</t>
  </si>
  <si>
    <t>102.0101 - GARANTİ TİCARİ MEVDUAT HS</t>
  </si>
  <si>
    <t>102.0101.6001 - GARANTİ BANKASI 6297389 NL HS.</t>
  </si>
  <si>
    <t>Toplam 102.0101 - GARANTİ TİCARİ MEVDUAT HS</t>
  </si>
  <si>
    <t>102.0102 - DENİZBANK TİCARİ MEVDUAT HS</t>
  </si>
  <si>
    <t>102.0102.6013 - DENİZBANK ŞİŞLİ ŞB VADELİ HS.</t>
  </si>
  <si>
    <t>102.0102.6015 - DENİZBANK 4150-2353334-65000 NL HS.</t>
  </si>
  <si>
    <t>102.0102.6016 - DENİZBANK MARMARA TİCARİ MERKEZ ŞB.HS.</t>
  </si>
  <si>
    <t>102.0102.6017 - DENİZBANK MARMARA TİC.MERK.ŞB.VADELİ HS.</t>
  </si>
  <si>
    <t>Toplam 102.0102 - DENİZBANK TİCARİ MEVDUAT HS</t>
  </si>
  <si>
    <t>102.0103 - TEB BURSA TİCARİ MEVDUAT HS</t>
  </si>
  <si>
    <t>102.0103.3001 - TEB BURSA TİCARİ MEVDUAT HS</t>
  </si>
  <si>
    <t>102.0103.3003 - TEB BURSA DEMİRTAŞ ORG.SAN.MEVDUAT HS.</t>
  </si>
  <si>
    <t>102.0103.3004 - TEB BURSA DEMİRTAŞ ORG.SAN.VADELİ MEVDUAT HS.</t>
  </si>
  <si>
    <t>Toplam 102.0103 - TEB BURSA TİCARİ MEVDUAT HS</t>
  </si>
  <si>
    <t>102.0104 - YAPI KREDİ BURSA ŞB.</t>
  </si>
  <si>
    <t>Toplam 102.0104 - YAPI KREDİ BURSA ŞB.</t>
  </si>
  <si>
    <t>102.0105 - İŞ BANKASI BURSA TİCARİ ŞB.</t>
  </si>
  <si>
    <t>102.0105.5001 - İŞ BANKASI 2198-4611 NL HS.</t>
  </si>
  <si>
    <t>102.0105.5002 - İŞ BANKASI BURSA TİCARİ ŞB.VADELİ MEVDUAT HS.</t>
  </si>
  <si>
    <t>102.0105.5004 - İŞ EMAS DBS HESABI</t>
  </si>
  <si>
    <t>102.0105.5005 - İŞ BANKASI BOYÇELİK DBS HESABI</t>
  </si>
  <si>
    <t>102.0105.5006 - İŞ BANKASI NOKSEL DBS HS.</t>
  </si>
  <si>
    <t>102.0105.5007 - İŞ BANKASI ÇEK TAHS.HS.</t>
  </si>
  <si>
    <t>Toplam 102.0105 - İŞ BANKASI BURSA TİCARİ ŞB.</t>
  </si>
  <si>
    <t>102.0106 - AKBANK FOMARA TİCARİ ŞB.</t>
  </si>
  <si>
    <t>102.0106.1001 - AKBANK-OSB ŞB-219-12940 NL HS.</t>
  </si>
  <si>
    <t>102.0106.1002 - AKBANK OSB ŞB. VADELİ MEVDUAT HS</t>
  </si>
  <si>
    <t>102.0106.1004 - AKBANK  219-12940 NL HS</t>
  </si>
  <si>
    <t>102.0106.1005 - AKBANK-OSB ŞB 45726 NL HS USD</t>
  </si>
  <si>
    <t>102.0106.1006 - AKBANK-OSB ŞB.003305 NL.EURO HS</t>
  </si>
  <si>
    <t>102.0106.1007 - AKBANK-BURSA TİCARİ ŞB.-0171212 NL.HS.</t>
  </si>
  <si>
    <t>102.0106.1008 - AKBANK-BURSA TİCARİ ŞB.VADELİ MEVDUAT HS.</t>
  </si>
  <si>
    <t>Toplam 102.0106 - AKBANK FOMARA TİCARİ ŞB.</t>
  </si>
  <si>
    <t>102.0107 - ZİRAAT BANKASI FEVZİ ÇAKMAK ŞB.</t>
  </si>
  <si>
    <t>102.0107.7003 - ZİRAAT BANKASI BEŞEVLER SANAYİ/BURSA GİRİŞİMCİ Ş</t>
  </si>
  <si>
    <t>102.0107.7004 - ZİRAAT BANKASI BEŞEVLER SANAYİ/BURSA GİRİŞİMCİ ŞB VADELİ HS</t>
  </si>
  <si>
    <t>102.0107.7006 - ZİRAAT BANKASI 1921-49902608-5116 NL.HS.</t>
  </si>
  <si>
    <t>Toplam 102.0107 - ZİRAAT BANKASI FEVZİ ÇAKMAK ŞB.</t>
  </si>
  <si>
    <t>102.0108 - KUVEYT TÜRK NİLÜFER ŞB</t>
  </si>
  <si>
    <t>102.0108.1001 - KUVEYT TÜRK 6136051-1 NL HS</t>
  </si>
  <si>
    <t>102.0108.1002 - KUVEYT TÜRK 6136051-2 NL HS</t>
  </si>
  <si>
    <t>Toplam 102.0108 - KUVEYT TÜRK NİLÜFER ŞB</t>
  </si>
  <si>
    <t>102.0109 - TEB HEYKEL ŞB 36561 NL HESAP</t>
  </si>
  <si>
    <t>Toplam 102.0109 - TEB HEYKEL ŞB 36561 NL HESAP</t>
  </si>
  <si>
    <t>102.0110 - FİNANSBANK BURSA ŞB 2899528 NL HESAP</t>
  </si>
  <si>
    <t>Toplam 102.0110 - FİNANSBANK BURSA ŞB 2899528 NL HESAP</t>
  </si>
  <si>
    <t>102.0111 - HALKBANK ORGANİZE SANAYİ TİCARİ ŞUBE/BURSA</t>
  </si>
  <si>
    <t>102.0111.1001 - HALKBANK ORGANİZE SANAYİ TİCARİ ŞUBE/BURSA</t>
  </si>
  <si>
    <t>102.0111.1011 - HALKBANK ORG.SAN.TİC.ŞB.TOSÇELİK DBS</t>
  </si>
  <si>
    <t>102.0111.1002 - HALKBANK ORGANİZE SANAYİ TİC.ŞB/BURSA VADELİ HS.</t>
  </si>
  <si>
    <t>102.0111.1004 - HALKBANK ORG.SAN. TİCARİ ŞB. 10260643  EMAS</t>
  </si>
  <si>
    <t>102.0111.1005 - HALKBANK ORG. SAN.TİC.ŞB. YÜCEL</t>
  </si>
  <si>
    <t>102.0111.1008 - HALKBANK OR.SAN.TİC.ŞB./BURSA 10260812 DBS HS. (RZK ÇELİK)</t>
  </si>
  <si>
    <t>102.0111.1010 - HALKBANK ORGNSAN.ŞB BOYÇELİK DBS HS. (1026494)</t>
  </si>
  <si>
    <t>102.0111.1012 - HALKBANK ORG.SAN.TİC.ŞB./KROMAN HS.</t>
  </si>
  <si>
    <t>102.0111.1014 - HALKBANK ORG.SAN.TİC.ŞB.10261100 METEOR PETROL</t>
  </si>
  <si>
    <t>102.0111.1015 - HALKBANK ORG.SAN.TİC.ŞB.10260544 NL.ÇINAR BORU</t>
  </si>
  <si>
    <t>102.0111.1021 - HALKBANK ORG.SAN.TİC.ŞB.15000077 NL.HS.</t>
  </si>
  <si>
    <t>Toplam 102.0111 - HALKBANK ORGANİZE SANAYİ TİCARİ ŞUBE/BURSA</t>
  </si>
  <si>
    <t>102.0112 - YAPI KREDİ GARAJLAR ŞB.</t>
  </si>
  <si>
    <t>Toplam 102.0112 - YAPI KREDİ GARAJLAR ŞB.</t>
  </si>
  <si>
    <t>102.0113 - GARANTİ BANKASI BURSA ŞB</t>
  </si>
  <si>
    <t>Toplam 102.0113 - GARANTİ BANKASI BURSA ŞB</t>
  </si>
  <si>
    <t>102.0114 - FİNANSBANK HEYKEL ŞB 28995284 NL HESAP</t>
  </si>
  <si>
    <t>Toplam 102.0114 - FİNANSBANK HEYKEL ŞB 28995284 NL HESAP</t>
  </si>
  <si>
    <t>102.0115 - YAPI KREDİ BURSA FOMARA ŞB.</t>
  </si>
  <si>
    <t>102.0115.4011 - YAPI KREDİ BANKASI NİLÜFER ŞUBESİ</t>
  </si>
  <si>
    <t>102.0115.4012 - YAPI KREDİ BANKASI NİLÜFER ŞB. VADELİ HS</t>
  </si>
  <si>
    <t>102.0115.4014 - YAPI KREDİ BANKASI NİLÜFER ŞB.33907218 NL.HS</t>
  </si>
  <si>
    <t>102.0115.4015 - YAPI KREDİ ÇEK HESABI</t>
  </si>
  <si>
    <t>Toplam 102.0115 - YAPI KREDİ BURSA FOMARA ŞB.</t>
  </si>
  <si>
    <t>102.0116 - FİNANSBANK FSM BULVARI ŞUBESİ</t>
  </si>
  <si>
    <t>102.0116.9019 - QNB FİNANSBANK BURSA ŞB.</t>
  </si>
  <si>
    <t>102.0116.9020 - QNB FİNANSBANK BURSA ŞUBESİ VADELİ HS</t>
  </si>
  <si>
    <t>Toplam 102.0116 - FİNANSBANK FSM BULVARI ŞUBESİ</t>
  </si>
  <si>
    <t>102.0117 - GARANTİ BANKASI MARMARA TİCARİ ŞB</t>
  </si>
  <si>
    <t>102.0117.1002 - GARANTİ BANKASI MARMARA TİCARİ ŞB.</t>
  </si>
  <si>
    <t>102.0117.1003 - GARANTİ BANKASI MARMARA TİCARİ ŞB VADELİ MEVDUAT HS.</t>
  </si>
  <si>
    <t>102.0117.1005 - GARANTİ B.MARTİCARİ ŞB/2992-89 EMAS  DBS HS</t>
  </si>
  <si>
    <t>102.0117.1007 - GARANTİ B. MARMARA TİC.ŞB/2997-89 DBS HS BOYÇELİK</t>
  </si>
  <si>
    <t>Toplam 102.0117 - GARANTİ BANKASI MARMARA TİCARİ ŞB</t>
  </si>
  <si>
    <t>102.0118 - AKBANK OSB ŞB.</t>
  </si>
  <si>
    <t>Toplam 102.0118 - AKBANK OSB ŞB.</t>
  </si>
  <si>
    <t>102.0119 - ING-BANK BURSA TİCARİ ŞB</t>
  </si>
  <si>
    <t>Toplam 102.0119 - ING-BANK BURSA TİCARİ ŞB</t>
  </si>
  <si>
    <t>102.0120 - VAKIFBANK-NİLÜFER ŞB</t>
  </si>
  <si>
    <t>102.0120.1001 - VAKIFBANK-NİLÜFER ŞB</t>
  </si>
  <si>
    <t>Toplam 102.0120 - VAKIFBANK-NİLÜFER ŞB</t>
  </si>
  <si>
    <t>102.0121 - TÜRKİYE FİNANS KATILIM BANKASI - DEMİRTAŞ ŞB</t>
  </si>
  <si>
    <t>102.0121.1002 - TÜRKİYE FİNANS KATILIM BANKASI - ULUDAĞ TİCARİ ŞB.</t>
  </si>
  <si>
    <t>Toplam 102.0121 - TÜRKİYE FİNANS KATILIM BANKASI - DEMİRTAŞ ŞB</t>
  </si>
  <si>
    <t>102.0122 - ANADOLUBANK NİLÜFER ŞB</t>
  </si>
  <si>
    <t>102.0122.1001 - ANADOLUBANK NİLÜFER ŞB</t>
  </si>
  <si>
    <t>Toplam 102.0122 - ANADOLUBANK NİLÜFER ŞB</t>
  </si>
  <si>
    <t>102.0123 - ING-BANK BURSA TİCARİ ŞB</t>
  </si>
  <si>
    <t>Toplam 102.0123 - ING-BANK BURSA TİCARİ ŞB</t>
  </si>
  <si>
    <t>102.0124 - FİBABANKA-BURSA ŞB</t>
  </si>
  <si>
    <t>102.0124.1001 - FİBABANKA-BURSA ŞB</t>
  </si>
  <si>
    <t>102.0124.1002 - FİBABANKA-BURSA ŞB VADELİ MEVDUAT HS</t>
  </si>
  <si>
    <t>102.0124.1003 - FİBABANKA BURSA ŞB/ 7356-19 ÇAYIROVA DBS HS</t>
  </si>
  <si>
    <t>102.0124.1004 - FİBABANKA BURSA ŞB/ 7355-49 YÜCEL DBS HS</t>
  </si>
  <si>
    <t>Toplam 102.0124 - FİBABANKA-BURSA ŞB</t>
  </si>
  <si>
    <t>102.0125 - ODEA BANKASI BURSA ŞB.7000 01</t>
  </si>
  <si>
    <t>102.0125.1001 - ODEA BANKASI</t>
  </si>
  <si>
    <t>Toplam 102.0125 - ODEA BANKASI BURSA ŞB.7000 01</t>
  </si>
  <si>
    <t>102.0126 - ALBARAKA TÜRK</t>
  </si>
  <si>
    <t>102.0126.1001 - ALBARAKA TÜRK ULUDAĞ ŞB.</t>
  </si>
  <si>
    <t>102.0126.1002 - ALBARAKA TÜRK ULUDAĞ ŞB.KATILIM HS</t>
  </si>
  <si>
    <t>Toplam 102.0126 - ALBARAKA TÜRK</t>
  </si>
  <si>
    <t>102.0127 - BURGAN BANK</t>
  </si>
  <si>
    <t>102.0127.1001 - BURGAN BANK</t>
  </si>
  <si>
    <t>102.0127.1002 - BURGAN BANK VADELİ MEVDUAT HS</t>
  </si>
  <si>
    <t>102.0127.1003 - BURGAN- BURSA ŞB. TOSÇELİK DBS HS</t>
  </si>
  <si>
    <t>Toplam 102.0127 - BURGAN BANK</t>
  </si>
  <si>
    <t>102.0128 - VAKIF KATILIM-YILDIRIM ŞB</t>
  </si>
  <si>
    <t>102.0128.1001 - VAKIF KATILIM YILDIRIM ŞB</t>
  </si>
  <si>
    <t>102.0128.1004 - VAKIF KATILIM BURSA TİCARİ ŞB.472564-2</t>
  </si>
  <si>
    <t>102.0128.1005 - VAKIF KATILIM DBS PROJE KREDİ KULLANIM HS</t>
  </si>
  <si>
    <t>Toplam 102.0128 - VAKIF KATILIM-YILDIRIM ŞB</t>
  </si>
  <si>
    <t>102.0129 - ZİRAAT KATILIM SULTAN SELİM LEVENT ŞB</t>
  </si>
  <si>
    <t>102.0129.1001 - ZİRAAT KATILIM SULTAN SELİM LEVENT ŞB.</t>
  </si>
  <si>
    <t>102.0129.1002 - ZİRAAT KATILIM ŞİŞLİ TİCARİ ŞB.</t>
  </si>
  <si>
    <t>Toplam 102.0129 - ZİRAAT KATILIM SULTAN SELİM LEVENT ŞB</t>
  </si>
  <si>
    <t>102.0130 - ALTERNATİFBANK</t>
  </si>
  <si>
    <t>102.0130.1001 - ALTERNATİFBANK BURSA TİCARİ ŞB-352 NL HS</t>
  </si>
  <si>
    <t>102.0130.1003 - ALTERNATİFBANK 9084-7894909-351 NL.HS</t>
  </si>
  <si>
    <t>102.0130.1004 - ALTERNATİFBANK 9084-7894909-355 NL.TOSÇELİK DBS HS.</t>
  </si>
  <si>
    <t>Toplam 102.0130 - ALTERNATİFBANK</t>
  </si>
  <si>
    <t>102.0131 - EMLAK KATILIM BANKASI</t>
  </si>
  <si>
    <t>102.0131.1001 - EMLAK KATILIM NİLÜFER ŞB</t>
  </si>
  <si>
    <t>Toplam 102.0131 - EMLAK KATILIM BANKASI</t>
  </si>
  <si>
    <t>102.0201 - DENİZBANK DÖVİZ MEVDUAT</t>
  </si>
  <si>
    <t>Toplam 102.0201 - DENİZBANK DÖVİZ MEVDUAT</t>
  </si>
  <si>
    <t>102.0202 - GARANTİ DÖVİZ MEVDUAT HS.</t>
  </si>
  <si>
    <t>Toplam 102.0202 - GARANTİ DÖVİZ MEVDUAT HS.</t>
  </si>
  <si>
    <t>102.0203 - AKBANK DÖVİZ MEVDUAT HS.</t>
  </si>
  <si>
    <t>Toplam 102.0203 - AKBANK DÖVİZ MEVDUAT HS.</t>
  </si>
  <si>
    <t>102.0204 - TEB DÖVİZ MEVDUAT  HS</t>
  </si>
  <si>
    <t>Toplam 102.0204 - TEB DÖVİZ MEVDUAT  HS</t>
  </si>
  <si>
    <t>Toplam 102 - BANKALAR</t>
  </si>
  <si>
    <t>103 - VERİLEN ÇEK VE ÖDEME EMİRLERİ (-)</t>
  </si>
  <si>
    <t>103.0101 - VERİLEN TL ÇEK ÖDEME EMİRLER</t>
  </si>
  <si>
    <t>Toplam 103.0101 - VERİLEN TL ÇEK ÖDEME EMİRLER</t>
  </si>
  <si>
    <t>103.0102 - VERİLEN $ ÇEK ÖDEME EMİRLER</t>
  </si>
  <si>
    <t>Toplam 103.0102 - VERİLEN $ ÇEK ÖDEME EMİRLER</t>
  </si>
  <si>
    <t>103.0103 - VERİLEN EURO ÇEK VE ÖDEME EMİRLERİ</t>
  </si>
  <si>
    <t>Toplam 103.0103 - VERİLEN EURO ÇEK VE ÖDEME EMİRLERİ</t>
  </si>
  <si>
    <t>Toplam 103 - VERİLEN ÇEK VE ÖDEME EMİRLERİ (-)</t>
  </si>
  <si>
    <t>108 - DİĞER HAZIR DEĞERLER</t>
  </si>
  <si>
    <t>108.0101 - DAMGA PULU</t>
  </si>
  <si>
    <t>Toplam 108.0101 - DAMGA PULU</t>
  </si>
  <si>
    <t>108.0102 - YOLDAKİ PARALAR</t>
  </si>
  <si>
    <t>Toplam 108.0102 - YOLDAKİ PARALAR</t>
  </si>
  <si>
    <t>108.0103 - KREDİ KARTI SLİPLERİ</t>
  </si>
  <si>
    <t>108.0103.6002 - İŞ BANKASI BURSA TİCARİ ŞB.</t>
  </si>
  <si>
    <t>108.0103.6003 - ZİRAAT BANKASI BEŞEVLER SAN.GİRİŞİMCİ  ŞB.</t>
  </si>
  <si>
    <t>108.0103.6004 - AKBANK OSB ŞB.</t>
  </si>
  <si>
    <t>108.0104.1020 - QNB FİNANSBANK BURSA ŞUBESİ</t>
  </si>
  <si>
    <t>108.0104.6017 - YAPI KREDİ BANKASI NİLÜFER ŞB</t>
  </si>
  <si>
    <t>Toplam 108.0103 - KREDİ KARTI SLİPLERİ</t>
  </si>
  <si>
    <t>108.0104 - VERİLEN DÖVİZ ÇEKLER ÖDEME EMİRLERİ ( -)</t>
  </si>
  <si>
    <t>Toplam 108.0104 - VERİLEN DÖVİZ ÇEKLER ÖDEME EMİRLERİ ( -)</t>
  </si>
  <si>
    <t>108.0105 - VİNOV HESAPLARI</t>
  </si>
  <si>
    <t>108.0105.0001 - VAKIFBANK BURSA TİCARİ ŞUBE VİNOV HES</t>
  </si>
  <si>
    <t>Toplam 108.0105 - VİNOV HESAPLARI</t>
  </si>
  <si>
    <t>Toplam 108 - DİĞER HAZIR DEĞERLER</t>
  </si>
  <si>
    <t>110 - HİSSE SENETLERİ</t>
  </si>
  <si>
    <t>Toplam 110 - HİSSE SENETLERİ</t>
  </si>
  <si>
    <t>111 - ÖZEL KESİM TAHVİL SENET VE BONOLARI</t>
  </si>
  <si>
    <t>Toplam 111 - ÖZEL KESİM TAHVİL SENET VE BONOLARI</t>
  </si>
  <si>
    <t>112 - KAMU KESİM TAHVİL SENET VE BONOLARI</t>
  </si>
  <si>
    <t>Toplam 112 - KAMU KESİM TAHVİL SENET VE BONOLARI</t>
  </si>
  <si>
    <t>118 - DİĞER MENKUL KIYMETLER</t>
  </si>
  <si>
    <t>118.0101 - DİĞER MENKUL KIYMETLER</t>
  </si>
  <si>
    <t>118.0101.1002 - İŞ BANKASI - PARA PİYASASI FONU</t>
  </si>
  <si>
    <t>118.0101.1003 - YKB - PARA PİYASASI FONU</t>
  </si>
  <si>
    <t>118.0101.1004 - ZİRAAT BANKASI BURSA TİC. ŞUBE</t>
  </si>
  <si>
    <t>118.0101.1007 - DENİZBANK - MARMARA TİCARİ MERKEZ ŞB</t>
  </si>
  <si>
    <t>118.0101.1009 - İŞ BANKASI - KISA V.BORC.ARAC.FONU</t>
  </si>
  <si>
    <t>118.0101.1010 - AKBANK - BIRINCI PARA PIYASASı SERBEST FON</t>
  </si>
  <si>
    <t>118.0101.1012 - GARANTİ - PARA PİYASASI FONU</t>
  </si>
  <si>
    <t>118.0101.1013 - TEB- PARA PİYASASI FONU</t>
  </si>
  <si>
    <t>Toplam 118.0101 - DİĞER MENKUL KIYMETLER</t>
  </si>
  <si>
    <t>118.0102 - B TİPİ YATIRIM FONU BELGELERİ</t>
  </si>
  <si>
    <t>Toplam 118.0102 - B TİPİ YATIRIM FONU BELGELERİ</t>
  </si>
  <si>
    <t>Toplam 118 - DİĞER MENKUL KIYMETLER</t>
  </si>
  <si>
    <t>119 - MENKUL DEĞER DÜŞÜKLÜĞÜ KARŞILIĞI ( - )</t>
  </si>
  <si>
    <t>Toplam 119 - MENKUL DEĞER DÜŞÜKLÜĞÜ KARŞILIĞI ( - )</t>
  </si>
  <si>
    <t>120 - ALICILAR</t>
  </si>
  <si>
    <t>120.0101 - YURTİÇİ ALICILAR</t>
  </si>
  <si>
    <t>120.0101.1001 - YURTİÇİ ALICILAR  (MÜŞTERİ)</t>
  </si>
  <si>
    <t>Toplam 120.0101 - YURTİÇİ ALICILAR</t>
  </si>
  <si>
    <t>120.0102 - İŞTİRAKLERE YAPILANA SATIŞLAR</t>
  </si>
  <si>
    <t>Toplam 120.0102 - İŞTİRAKLERE YAPILANA SATIŞLAR</t>
  </si>
  <si>
    <t>Toplam 120 - ALICILAR</t>
  </si>
  <si>
    <t>121 - ALACAK SENETLERİ</t>
  </si>
  <si>
    <t>121.0101 - PORTFÖYDEKİ ALACAK SENETLERİ TL</t>
  </si>
  <si>
    <t>121.0101.1000 - PORTFÖYDEKİ ALACAK SENETLERİ</t>
  </si>
  <si>
    <t>Toplam 121.0101 - PORTFÖYDEKİ ALACAK SENETLERİ TL</t>
  </si>
  <si>
    <t>121.0102 - PORTFÖYDEKİ DÖVİZLİ ALACAK SENETLERİ</t>
  </si>
  <si>
    <t>Toplam 121.0102 - PORTFÖYDEKİ DÖVİZLİ ALACAK SENETLERİ</t>
  </si>
  <si>
    <t>121.0103 - TAHSİLE VERLEN SENETLER</t>
  </si>
  <si>
    <t>Toplam 121.0103 - TAHSİLE VERLEN SENETLER</t>
  </si>
  <si>
    <t>121.0104 - TEMİNATA VERİLEN SENETLER</t>
  </si>
  <si>
    <t>Toplam 121.0104 - TEMİNATA VERİLEN SENETLER</t>
  </si>
  <si>
    <t>121.0105 - TRANSFERDEKİ SENETLER</t>
  </si>
  <si>
    <t>Toplam 121.0105 - TRANSFERDEKİ SENETLER</t>
  </si>
  <si>
    <t>121.0106 - PRETOSTOLU ALACAK SENETLERİ</t>
  </si>
  <si>
    <t>121.0106.1001 - PROTESTOLU ALACAK SENETLERİ</t>
  </si>
  <si>
    <t>Toplam 121.0106.1001 - PROTESTOLU ALACAK SENETLERİ</t>
  </si>
  <si>
    <t>Toplam 121.0106 - PRETOSTOLU ALACAK SENETLERİ</t>
  </si>
  <si>
    <t>121.0107 - ÇEKE BAĞLI ALACAKLAR  ( VADELİ ÇEKLER )</t>
  </si>
  <si>
    <t>121.0107.1001 - ÇEKE BAĞLI ALACAKLAR</t>
  </si>
  <si>
    <t>Toplam 121.0107 - ÇEKE BAĞLI ALACAKLAR  ( VADELİ ÇEKLER )</t>
  </si>
  <si>
    <t>Toplam 121 - ALACAK SENETLERİ</t>
  </si>
  <si>
    <t>122 - ALACAK SENETLERİ REESKONTU ( - )</t>
  </si>
  <si>
    <t>122.0101 - ALACAK SENETLERİ REESKONTU ( - )</t>
  </si>
  <si>
    <t>122.0101.1001 - ALACAK SENETLERİ REESKONTU ( - )</t>
  </si>
  <si>
    <t>Toplam 122.0101 - ALACAK SENETLERİ REESKONTU ( - )</t>
  </si>
  <si>
    <t>Toplam 122 - ALACAK SENETLERİ REESKONTU ( - )</t>
  </si>
  <si>
    <t>126 - VERİLEN DEPOZİTO VE TEMİNATLAR</t>
  </si>
  <si>
    <t>126.0101 - VERİLEN DEPOZİTO VE TEMİNATLAR</t>
  </si>
  <si>
    <t>Toplam 126.0101 - VERİLEN DEPOZİTO VE TEMİNATLAR</t>
  </si>
  <si>
    <t>Toplam 126 - VERİLEN DEPOZİTO VE TEMİNATLAR</t>
  </si>
  <si>
    <t>128 - ŞÜPHELİ TİCARİ ALACAKLAR</t>
  </si>
  <si>
    <t>128.0101 - ŞÜPHELİ TİCARİ ALACAKLAR</t>
  </si>
  <si>
    <t>128.0101.1001 - GÜNMA İNŞ.TAAH.İTH.İHR.TİC.LTD.ŞTİ.</t>
  </si>
  <si>
    <t>128.0101.1002 - HAMZA ERTUĞRUL</t>
  </si>
  <si>
    <t>128.0101.1003 - TANER ISI LTD.ŞTİ.</t>
  </si>
  <si>
    <t>128.0101.1004 - E/B ISITMA SOĞUTMA SİST.LTD.ŞTİ.</t>
  </si>
  <si>
    <t>128.0101.1005 - SU-HA DOĞALGAZ-YILMAZ ŞANLI</t>
  </si>
  <si>
    <t>128.0101.1007 - A-B OTOMASYON LTD.ŞTİ.</t>
  </si>
  <si>
    <t>128.0101.1008 - DAVUT MÜHENDİSLİK LTD.ŞTİ.</t>
  </si>
  <si>
    <t>128.0101.1009 - ÖZENTES MÜH.MÜT.İNŞ.TAAH.SAN.TİC.LTD.ŞTİ.</t>
  </si>
  <si>
    <t>128.0101.1010 - KUTLU-AY İNŞ.TES.ELK.GIDA SAN.TİC..LTD.ŞTİ.</t>
  </si>
  <si>
    <t>128.0101.1012 - KULUM OTO LTD.ŞTİ.</t>
  </si>
  <si>
    <t>128.0101.1013 - MUTİ KARDEŞLER LTD.ŞTİ.</t>
  </si>
  <si>
    <t>128.0101.1016 - EKİNTES MÜH.LTD.ŞTİ.</t>
  </si>
  <si>
    <t>128.0101.1018 - ALTİMA İNŞ.LTD.ŞTİ.</t>
  </si>
  <si>
    <t>128.0101.1022 - KOROVA YAPI SAN DIŞ TİC LTD ŞTİ</t>
  </si>
  <si>
    <t>128.0101.1025 - ÇINAZ METAL LTD.ŞTİ.</t>
  </si>
  <si>
    <t>128.0101.1027 - NH MAKİNA İM.ÇELİK KONS.SAN.TİC.LTD.ŞTİ.</t>
  </si>
  <si>
    <t>128.0101.1029 - ARSİMA EĞT.ARÇLTD.ŞTİ.</t>
  </si>
  <si>
    <t>128.0101.1030 - EKON MEK.MÜH.SAN.TİC.A.Ş.</t>
  </si>
  <si>
    <t>128.0101.1031 - BOĞAZİÇİ TURKUAZ İNŞ.MEK.MÜH.LTD.ŞTİ.</t>
  </si>
  <si>
    <t>128.0101.1032 - BEKİL MÜHENDİSLİK LTD.ŞTİ.</t>
  </si>
  <si>
    <t>128.0101.1033 - FEN-MET MAKİNA OTOM.SAN.TİC.LTD.ŞTİ.</t>
  </si>
  <si>
    <t>128.0101.1035 - MOTİF MEKANİK TES.İNŞ.SAN.TİC.LTD.ŞTİ.</t>
  </si>
  <si>
    <t>128.0101.1036 - KOCAMANLAR ISITMA SOĞ.SİST. VE SAN. VE TİC.LTD.ŞTİ.</t>
  </si>
  <si>
    <t>128.0101.1037 - HATAY DAYANIKLI TÜK.SAN.TİC.LTD.ŞTİ.</t>
  </si>
  <si>
    <t>128.0101.1038 - AHKAM PAZARLAMA SAN. TİC. LTD. ŞTİ.</t>
  </si>
  <si>
    <t>128.0101.1039 - GÜLTEKİN END.ÜRÜN.MAK.SAN.TİC.LTD.ŞTİ.</t>
  </si>
  <si>
    <t>128.0101.1040 - SEPİCİ PLASTİK İNŞ.SAN.VE TİC.A.Ş.</t>
  </si>
  <si>
    <t>128.0101.1041 - ROTSİS ROBOT OTOMASYON SİS.LTD.ŞTİ.</t>
  </si>
  <si>
    <t>128.0101.1042 - AKKAN MÜH. LTD.ŞTİ.</t>
  </si>
  <si>
    <t>128.0101.1043 - ARMAGRUP MÜH. SAN.TİC.LTD.ŞTİ</t>
  </si>
  <si>
    <t>128.0101.1044 - YÜKSEL LEBLEBİCİ-YÜKSEL YAPI</t>
  </si>
  <si>
    <t>128.0101.1045 - C.O.V.A.C ISI SİS SAN VE TİC LTD ŞTİ</t>
  </si>
  <si>
    <t>128.0101.1050 - POLSER SERAMİK İNŞAAT VE İNŞAAT MALZEMELERİ TİC A.Ş</t>
  </si>
  <si>
    <t>128.0101.1054 - DOSA MET.MAD.EŞYA SAN.TİC.LTD.ŞTİ.</t>
  </si>
  <si>
    <t>128.0101.1055 - İSBİRLER İNŞ.TAAH.LTD.ŞTİ.</t>
  </si>
  <si>
    <t>128.0101.1056 - YENİ DOĞUŞ HIRDAVAT LÜM.MET.İNŞ.ELEK.LTD.ŞTİ</t>
  </si>
  <si>
    <t>128.0101.1057 - HIZIR YÜCE</t>
  </si>
  <si>
    <t>128.0101.1058 - ASTARA MÜH TİC SAN LTD ŞTİ</t>
  </si>
  <si>
    <t>128.0101.1059 - FORANKA END SAN TİC LTD ŞTİ</t>
  </si>
  <si>
    <t>Toplam 128.0101 - ŞÜPHELİ TİCARİ ALACAKLAR</t>
  </si>
  <si>
    <t>Toplam 128 - ŞÜPHELİ TİCARİ ALACAKLAR</t>
  </si>
  <si>
    <t>129 - ŞÜPHELİ TİCARİ ALACAKLAR KARŞILIĞI ( - )</t>
  </si>
  <si>
    <t>129.0101 - ŞÜPHELİ TİCARİ ALACAKLAR KARŞILIĞI ( - )</t>
  </si>
  <si>
    <t>129.0101.1001 - GÜNMA İNŞ.TAAH.İTH.İHR.TİC.LTD.ŞTİ.</t>
  </si>
  <si>
    <t>129.0101.1002 - HAMZA ERTUĞRUL</t>
  </si>
  <si>
    <t>129.0101.1003 - TANER ISI LTD.ŞTİ.</t>
  </si>
  <si>
    <t>129.0101.1004 - E/B ISITMA SOĞUTMA SİST.LTD.ŞTİ.</t>
  </si>
  <si>
    <t>129.0101.1005 - SUHA DOĞALGAZ-YILMAZ ŞANLI</t>
  </si>
  <si>
    <t>129.0101.1007 - A-B OTOMASYON LTD.ŞTİ.</t>
  </si>
  <si>
    <t>129.0101.1008 - DAVUT MÜH.LTD.ŞTİ.</t>
  </si>
  <si>
    <t>129.0101.1009 - ÖZENTES MÜH.MÜT.İNŞ.TAAH.SAN.TİC.LTD.ŞTİ.</t>
  </si>
  <si>
    <t>129.0101.1010 - KUTLU-AY İNŞ.TES.ELK.SAN.TİC.LTD.ŞTİ.</t>
  </si>
  <si>
    <t>129.0101.1012 - KULUM OTO LTD.ŞTİ.</t>
  </si>
  <si>
    <t>129.0101.1013 - MUTİ KARDEŞLER LTD.ŞTİ.</t>
  </si>
  <si>
    <t>129.0101.1016 - EKİNTES MÜH.LTD.ŞTİ.</t>
  </si>
  <si>
    <t>129.0101.1018 - ALTİMA İNŞ.LTD.ŞTİ.</t>
  </si>
  <si>
    <t>129.0101.1022 - KOROVA YAPI SAN DIŞ TİC LTD ŞTİ</t>
  </si>
  <si>
    <t>129.0101.1025 - ÇINAZ METAL LTD.ŞTİ.</t>
  </si>
  <si>
    <t>129.0101.1027 - NH MAKİNA İM.ÇELİK KONS.SAN.TİC.LTD.ŞTİ.</t>
  </si>
  <si>
    <t>129.0101.1029 - ARSİMA EĞT.ARÇLTD.ŞTİ.</t>
  </si>
  <si>
    <t>129.0101.1030 - EKON MEK.MÜH.SAN.TİC.A.Ş</t>
  </si>
  <si>
    <t>129.0101.1031 - BOĞAZİÇİ TURKUAZ İNŞ.MEK.MÜH.LTD.ŞTİ.</t>
  </si>
  <si>
    <t>129.0101.1032 - BEKİL MÜHENDİSLİK LTD.ŞTİ.</t>
  </si>
  <si>
    <t>129.0101.1033 - FEN-MET MAKİNA OTOM.SAN.TİC.LTD.ŞTİ.</t>
  </si>
  <si>
    <t>129.0101.1035 - MOTİF MEKANİK TES.İNŞ.SAN.TİC.LTD.ŞTİ.</t>
  </si>
  <si>
    <t>129.0101.1036 - KOCAMANLAR ISITMA SOĞ.SİST. VE SAN. VE TİC.LTD.ŞTİ.</t>
  </si>
  <si>
    <t>129.0101.1037 - HATAY DAYANIKLI TÜK.SAN.TİC.LTD.ŞTİ.</t>
  </si>
  <si>
    <t>129.0101.1038 - AHKAM PAZARLAMA SAN. TİC. LTD. ŞTİ.</t>
  </si>
  <si>
    <t>129.0101.1040 - SEPİCİ PLASTİK İNŞ.SAN.VE TİC.A.Ş.</t>
  </si>
  <si>
    <t>129.0101.1041 - ROTSİS ROBOT OTOMASYON SİS.LTD.ŞTİ.</t>
  </si>
  <si>
    <t>129.0101.1042 - AKKAN MÜH. LTD.ŞTİ.</t>
  </si>
  <si>
    <t>129.0101.1043 - ARMAGRUP MÜH. SAN.TİC.LTD.ŞTİ</t>
  </si>
  <si>
    <t>129.0101.1044 - YÜKSEL LEBLEBİCİ-YÜKSEL YAPI</t>
  </si>
  <si>
    <t>129.0101.1045 - C.O.V.A.C ISI SİS SAN VE TİC LTD ŞTİ</t>
  </si>
  <si>
    <t>129.0101.1050 - POLSER SERAMİK İNŞAAT VE İNŞAAT MALZEMELERİ TİC A.Ş</t>
  </si>
  <si>
    <t>129.0101.1054 - DOSA MET.MAD.EŞYA SAN.TİC.LTD.ŞTİ.</t>
  </si>
  <si>
    <t>129.0101.1055 - İSBİRLER İNŞ.TAAH.LTD.ŞTİ.</t>
  </si>
  <si>
    <t>129.0101.1056 - YENİ DOĞUŞ HIRDAVAT LÜM.MET.İNŞ.ELEK.LTD.ŞTİ</t>
  </si>
  <si>
    <t>129.0101.1057 - HIZIR YÜCE</t>
  </si>
  <si>
    <t>129.0101.1058 - ASTARA MÜH TİC SAN LTD ŞTİ</t>
  </si>
  <si>
    <t>129.0101.1059 - FORANKA END SAN TİC LTD ŞTİ</t>
  </si>
  <si>
    <t>Toplam 129.0101 - ŞÜPHELİ TİCARİ ALACAKLAR KARŞILIĞI ( - )</t>
  </si>
  <si>
    <t>Toplam 129 - ŞÜPHELİ TİCARİ ALACAKLAR KARŞILIĞI ( - )</t>
  </si>
  <si>
    <t>131 - ORTAKLARDAN ALACAKLAR</t>
  </si>
  <si>
    <t>131.0101 - ORTAKLARDAN ALACAKLAR</t>
  </si>
  <si>
    <t>Toplam 131.0101 - ORTAKLARDAN ALACAKLAR</t>
  </si>
  <si>
    <t>Toplam 131 - ORTAKLARDAN ALACAKLAR</t>
  </si>
  <si>
    <t>132 - İŞTİRAKLERDEN ALACAKLAR</t>
  </si>
  <si>
    <t>132.0101 - İŞTİRAKLERDEN ALACAKLAR</t>
  </si>
  <si>
    <t>Toplam 132.0101 - İŞTİRAKLERDEN ALACAKLAR</t>
  </si>
  <si>
    <t>Toplam 132 - İŞTİRAKLERDEN ALACAKLAR</t>
  </si>
  <si>
    <t>133 - BAĞLI ORTAKLARDAN ALACAKLAR</t>
  </si>
  <si>
    <t>133.0101 - BAĞLI ORTAKLARDAN ALACAKLAR</t>
  </si>
  <si>
    <t>Toplam 133.0101 - BAĞLI ORTAKLARDAN ALACAKLAR</t>
  </si>
  <si>
    <t>Toplam 133 - BAĞLI ORTAKLARDAN ALACAKLAR</t>
  </si>
  <si>
    <t>135 - PERSONELDEN ALACAKLAR</t>
  </si>
  <si>
    <t>135.0101 - PERSONELDEN ALACAKLAR</t>
  </si>
  <si>
    <t>Toplam 135.0101 - PERSONELDEN ALACAKLAR</t>
  </si>
  <si>
    <t>Toplam 135 - PERSONELDEN ALACAKLAR</t>
  </si>
  <si>
    <t>136 - DİĞER ÇEŞİTLİ ALACAKLAR</t>
  </si>
  <si>
    <t>136.0101 - DİĞER ÇEŞİTLİ ALACAKLAR</t>
  </si>
  <si>
    <t>136.0101.2001 - DİĞER ÇEŞİTLİ ALACAKLAR (MAHİR KOCA)</t>
  </si>
  <si>
    <t>136.0101.1003 - RAY SİGORTA ALACAKLAR</t>
  </si>
  <si>
    <t>Toplam 136.0101 - DİĞER ÇEŞİTLİ ALACAKLAR</t>
  </si>
  <si>
    <t>136.0102 - VERGİ DAİRESİNDEN ALACAKLAR</t>
  </si>
  <si>
    <t>136.0102.1001 - VERGİ DAİRESİNDEN ALACAKLAR</t>
  </si>
  <si>
    <t>Toplam 136.0102 - VERGİ DAİRESİNDEN ALACAKLAR</t>
  </si>
  <si>
    <t>Toplam 136 - DİĞER ÇEŞİTLİ ALACAKLAR</t>
  </si>
  <si>
    <t>153 - TİCARİ MALLAR</t>
  </si>
  <si>
    <t>153.0101 - TİCARİ MALLAR</t>
  </si>
  <si>
    <t>153.0101.0010 - TM-010 ECA KROM</t>
  </si>
  <si>
    <t>153.0101.0011 - TM-011 ARYAK KROM</t>
  </si>
  <si>
    <t>153.0101.0012 - TM-012 KALE KROM</t>
  </si>
  <si>
    <t>153.0101.0013 - TM-013 DİĞER KROM</t>
  </si>
  <si>
    <t>153.0101.0020 - TM-020 ECA SARI</t>
  </si>
  <si>
    <t>153.0101.0030 - TM-030 SEREL VİT</t>
  </si>
  <si>
    <t>153.0101.0031 - TM-031 KALE VİT</t>
  </si>
  <si>
    <t>153.0101.0032 - TM-032 DİĞER VİT</t>
  </si>
  <si>
    <t>153.0101.0040 - TM-040 KALE SERAMİK</t>
  </si>
  <si>
    <t>153.0101.0050 - TM-050 KÜV.TEKN. KAB</t>
  </si>
  <si>
    <t>153.0101.0060 - TM-060 MUTFAK CHZ</t>
  </si>
  <si>
    <t>153.0101.0090 - TM-090 BANYO MOB.AKS</t>
  </si>
  <si>
    <t>153.0101.0100 - TM-100 RADYATÖRLER</t>
  </si>
  <si>
    <t>153.0101.0110 - TM-110 KOMBI</t>
  </si>
  <si>
    <t>153.0101.0111 - TM-111 DİĞER ISI</t>
  </si>
  <si>
    <t>153.0101.0120 - TM-120 YAPIŞTIRICI</t>
  </si>
  <si>
    <t>153.0101.0121 - TM-121 FUGA</t>
  </si>
  <si>
    <t>153.0101.0122 - TM-122 FAYSER</t>
  </si>
  <si>
    <t>153.0101.0130 - TM-130 İZOLASYON</t>
  </si>
  <si>
    <t>153.0101.0140 - TM-140 BOYA</t>
  </si>
  <si>
    <t>153.0101.0160 - TM-160 DEMİR BORU</t>
  </si>
  <si>
    <t>153.0101.0161 - ÇEKİM YAPILAN TİCARİ MALLAR</t>
  </si>
  <si>
    <t>153.0101.0163 - KESİM YAPILAN TİCARİ MALLAR</t>
  </si>
  <si>
    <t>153.0101.0178 - TM-178 SAÇ ÜRÜNLER</t>
  </si>
  <si>
    <t>153.0101.0180 - LAZER DONUSTURULMUS URUN</t>
  </si>
  <si>
    <t>153.0101.0190 - SAC DONUSTURULMUS URUN</t>
  </si>
  <si>
    <t>153.0101.0980 - TM-980 PALET VB</t>
  </si>
  <si>
    <t>153.0101.0990 - TM-990 DİĞER</t>
  </si>
  <si>
    <t>Toplam 153.0101 - TİCARİ MALLAR</t>
  </si>
  <si>
    <t>153.9999 - TİCARİ MALLAR ENF FARK HESABI</t>
  </si>
  <si>
    <t>153.9999.0001 - TİCARİ MALLAR ENF FARK HESABI</t>
  </si>
  <si>
    <t>Toplam 153.9999 - TİCARİ MALLAR ENF FARK HESABI</t>
  </si>
  <si>
    <t>Toplam 153 - TİCARİ MALLAR</t>
  </si>
  <si>
    <t>157 - DİĞER STOKLAR</t>
  </si>
  <si>
    <t>157.0101 - HURDA STOKLARI</t>
  </si>
  <si>
    <t>Toplam 157.0101 - HURDA STOKLARI</t>
  </si>
  <si>
    <t>157.0102 - PROMOSYON MALZEMESİ STOKLAR</t>
  </si>
  <si>
    <t>157.0102.0000 - PROMOSYON MALZEMESİ STOKLAR</t>
  </si>
  <si>
    <t>Toplam 157.0102 - PROMOSYON MALZEMESİ STOKLAR</t>
  </si>
  <si>
    <t>157.0103 - YOLDAKİ MALLAR</t>
  </si>
  <si>
    <t>Toplam 157.0103 - YOLDAKİ MALLAR</t>
  </si>
  <si>
    <t>157.9999 - DİĞER STOKLAR ENFLASYON FARK HESABI</t>
  </si>
  <si>
    <t>157.9999.0001 - PROMOSYON MALZEMESİ STOKLAR ENF.FARK HESABI</t>
  </si>
  <si>
    <t>Toplam 157.9999 - DİĞER STOKLAR ENFLASYON FARK HESABI</t>
  </si>
  <si>
    <t>Toplam 157 - DİĞER STOKLAR</t>
  </si>
  <si>
    <t>159 - VERİLEN SİPARİŞ AVANSLARI</t>
  </si>
  <si>
    <t>159.0101 - VERİLEN SİPARİŞ AVANSLARI</t>
  </si>
  <si>
    <t>159.0101.0000 - VERİLEN SİPARİŞ AVASLARI</t>
  </si>
  <si>
    <t>Toplam 159.0101 - VERİLEN SİPARİŞ AVANSLARI</t>
  </si>
  <si>
    <t>Toplam 159 - VERİLEN SİPARİŞ AVANSLARI</t>
  </si>
  <si>
    <t>180 - GELECEK AYLARA AİT GİDERLER</t>
  </si>
  <si>
    <t>180.0101 - PEŞİN ÖDENEN KİRALAR</t>
  </si>
  <si>
    <t>Toplam 180.0101 - PEŞİN ÖDENEN KİRALAR</t>
  </si>
  <si>
    <t>180.0102 - PEŞİN ÖDENEN SİGORTA GİDERLERİ</t>
  </si>
  <si>
    <t>180.0102.1001 - OCAK SİGORTA GİDERLERİ</t>
  </si>
  <si>
    <t>180.0102.1002 - ŞUBAT SİGORTA GİDERLERİ</t>
  </si>
  <si>
    <t>180.0102.1003 - MART SİGORTA GİDERLERİ</t>
  </si>
  <si>
    <t>180.0102.1004 - NİSAN SİGORTA GİDERLERİ</t>
  </si>
  <si>
    <t>180.0102.1005 - MAYIS SİGORTA GİDERLERİ</t>
  </si>
  <si>
    <t>180.0102.1006 - HAZİRAN SİGORTA GİDERLERİ</t>
  </si>
  <si>
    <t>180.0102.1007 - TEMMUZ SİGORTA GİDERLERİ</t>
  </si>
  <si>
    <t>180.0102.1008 - AĞUSTOS SİGORTA GİDERLERİ</t>
  </si>
  <si>
    <t>180.0102.1009 - EYLÜL SİGORTA GİDERLERİ</t>
  </si>
  <si>
    <t>180.0102.1010 - EKİM SİGORTA GİDERLERİ</t>
  </si>
  <si>
    <t>180.0102.1011 - KASIM SİGORTA GİDERLERİ</t>
  </si>
  <si>
    <t>180.0102.1012 - ARALIK SİGORTA GİDERLERİ</t>
  </si>
  <si>
    <t>Toplam 180.0102 - PEŞİN ÖDENEN SİGORTA GİDERLERİ</t>
  </si>
  <si>
    <t>180.0201 - PEŞİN ÖDENEN DİĞER GİDERLER</t>
  </si>
  <si>
    <t>180.0201.1002 - OCAK-MART PEŞİN ÖDENEN DİĞER GİDERLER</t>
  </si>
  <si>
    <t>180.0201.1003 - NİSAN-HAZİRAN PEŞİN ÖDENEN DİĞER GİDERLER</t>
  </si>
  <si>
    <t>180.0201.1004 - TEMMUZ-EYLÜL PEŞİN ÖDENEN DİĞER GİDERLER</t>
  </si>
  <si>
    <t>180.0201.1005 - EKİM-ARALIK PEŞİN ÖDENEN DİĞER GİDERLER</t>
  </si>
  <si>
    <t>Toplam 180.0201 - PEŞİN ÖDENEN DİĞER GİDERLER</t>
  </si>
  <si>
    <t>180.0103 - GELECEK AYLARA AİT FAİZ GİDERLER</t>
  </si>
  <si>
    <t>180.0103.1002 - ZİRAAT BANKASI TAKSİTLİ KREDİ FAİZ GİDERLERİ</t>
  </si>
  <si>
    <t>180.0103.1004 - TEB BANKASI TAKSİTLİ KREDİ FAİZ GİDERLERİ</t>
  </si>
  <si>
    <t>180.0103.1007 - YKB TAKSİTLİ KREDİ FAİZ GİDERLERİ</t>
  </si>
  <si>
    <t>180.0103.1008 - KUVEYT TÜRK KREDİ FAİZ GİDERLERİ</t>
  </si>
  <si>
    <t>180.0103.1010 - AKBANK 4033* NL TAK KRD FAİZ GİDERİ</t>
  </si>
  <si>
    <t>180.9999.0001 - GELECEK AYLARA AİT GİDERLER ENF FARK</t>
  </si>
  <si>
    <t>Toplam 180.0103 - GELECEK AYLARA AİT FAİZ GİDERLER</t>
  </si>
  <si>
    <t>Toplam 180 - GELECEK AYLARA AİT GİDERLER</t>
  </si>
  <si>
    <t>181 - GELİR TAHAKKUKLARI</t>
  </si>
  <si>
    <t>181.0101 - GELECEK AYLARA AİT REPO GELİRLERİ</t>
  </si>
  <si>
    <t>Toplam 181.0101 - GELECEK AYLARA AİT REPO GELİRLERİ</t>
  </si>
  <si>
    <t>181.0102 - GELECEK AYLARA AİT FAİZ GELİRLERİ</t>
  </si>
  <si>
    <t>181.0102.1001 - GELECEK AYLARA AİT FAİZ GELİRLERİ</t>
  </si>
  <si>
    <t>Toplam 181.0102 - GELECEK AYLARA AİT FAİZ GELİRLERİ</t>
  </si>
  <si>
    <t>181.0103 - GELECEK AYLARA AİT PRİM TAHAKUKLARI</t>
  </si>
  <si>
    <t>181.0103.1001 - GELECEK AYLARA AİT PRİM TAHAKUKLARI</t>
  </si>
  <si>
    <t>Toplam 181.0103 - GELECEK AYLARA AİT PRİM TAHAKUKLARI</t>
  </si>
  <si>
    <t>181.0104 - GELECEK AYLARA AİT B TİPİ FON GELİR TAHAKKUKLARI</t>
  </si>
  <si>
    <t>Toplam 181.0104 - GELECEK AYLARA AİT B TİPİ FON GELİR TAHAKKUKLARI</t>
  </si>
  <si>
    <t>181.0105 - GELECEK AYLARA AİT KİRALAR</t>
  </si>
  <si>
    <t>Toplam 181.0105 - GELECEK AYLARA AİT KİRALAR</t>
  </si>
  <si>
    <t>181.0106 - GELECEK AYLARA AİT DİĞER GELİRLER</t>
  </si>
  <si>
    <t>181.0106.1001 - GELECEK AYLARA AİT DİĞER GELİRLER</t>
  </si>
  <si>
    <t>Toplam 181.0106 - GELECEK AYLARA AİT DİĞER GELİRLER</t>
  </si>
  <si>
    <t>181.0107 - GELECEK AYLARA AİT FON GELİR TAHAKKUKLARI</t>
  </si>
  <si>
    <t>181.0107.1001 - GELECEK AYLARA AİT FON GELİR TAHAKKUKLARI</t>
  </si>
  <si>
    <t>Toplam 181.0107 - GELECEK AYLARA AİT FON GELİR TAHAKKUKLARI</t>
  </si>
  <si>
    <t>Toplam 181 - GELİR TAHAKKUKLARI</t>
  </si>
  <si>
    <t>190 - DEVREDEN KATMA DEĞER VERGİSİ</t>
  </si>
  <si>
    <t>190.0101 - DEVREDEN DİĞER KDV</t>
  </si>
  <si>
    <t>190.0101.0001 - DEVREDEN DİĞER KDV</t>
  </si>
  <si>
    <t>Toplam 190.0101 - DEVREDEN DİĞER KDV</t>
  </si>
  <si>
    <t>Toplam 190 - DEVREDEN KATMA DEĞER VERGİSİ</t>
  </si>
  <si>
    <t>191 - İNDİRİLECEK KATMA DEĞER VERGİSİ</t>
  </si>
  <si>
    <t>191.0101 - YURTİÇİ TEVKİFATSIZ ALIMLAR NEDENİYLE ÖDENEN  KDV</t>
  </si>
  <si>
    <t>191.0101.0101 - YURTİÇİ TEVKİFATSIZ ALIMLAR NEDENİYLE ÖDENEN  KDV %18 KDV</t>
  </si>
  <si>
    <t>191.0101.0103 - YURTİÇİ TEVKİFATSIZ ALIMLAR NEDENİYLE ÖDENEN  KDV %1 KDV</t>
  </si>
  <si>
    <t>191.0101.0110 - YURTİÇİ TEVKİFATSIZ ALIMLAR NEDENİYLE ÖDENEN  KDV %10 KDV</t>
  </si>
  <si>
    <t>191.0101.0120 - YURTİÇİ TEVKİFATSIZ ALIMLAR NEDENİYLE ÖDENEN  KDV %20 KDV</t>
  </si>
  <si>
    <t>Toplam 191.0101 - YURTİÇİ TEVKİFATSIZ ALIMLAR NEDENİYLE ÖDENEN  KDV</t>
  </si>
  <si>
    <t>191.0102 - SATIŞ İADELERİ  KDV HS</t>
  </si>
  <si>
    <t>191.0102.0001 - SATIŞ İADELERİ KDV HS</t>
  </si>
  <si>
    <t>191.0102.0003 - SATIŞ İADELERİ KDV HS 5/10</t>
  </si>
  <si>
    <t>Toplam 191.0102 - SATIŞ İADELERİ  KDV HS</t>
  </si>
  <si>
    <t>191.0103 - SORUMLU SFATIYLA BEYAN EDİLEN  KDV</t>
  </si>
  <si>
    <t>Toplam 191.0103 - SORUMLU SFATIYLA BEYAN EDİLEN  KDV</t>
  </si>
  <si>
    <t>191.0103.0022 - 2/10 SORUMLU SIFATIYLA BEYAN EDİLEN KDV  %20</t>
  </si>
  <si>
    <t>191.0103.0023 - 5/10 SORUMLU SIFATIYLA BEYAN EDİLEN KDV  %20</t>
  </si>
  <si>
    <t>191.0103.0024 - 9/10 SORUMLU SIFATIYLA BEYAN EDİLEN KDV  %20</t>
  </si>
  <si>
    <t>191.0104 - İTHALDE ÖDENEN KDV</t>
  </si>
  <si>
    <t>Toplam 191.0104 - İTHALDE ÖDENEN KDV</t>
  </si>
  <si>
    <t>Toplam 191 - İNDİRİLECEK KATMA DEĞER VERGİSİ</t>
  </si>
  <si>
    <t>192 - DİĞER KDV</t>
  </si>
  <si>
    <t>192.0101 - ERTELENEN KDV</t>
  </si>
  <si>
    <t>Toplam 192.0101 - ERTELENEN KDV</t>
  </si>
  <si>
    <t>192.0102 - TECİL EDİLECEK KDV</t>
  </si>
  <si>
    <t>Toplam 192.0102 - TECİL EDİLECEK KDV</t>
  </si>
  <si>
    <t>192.0103 - TERKİN EDİLECEK KDV</t>
  </si>
  <si>
    <t>Toplam 192.0103 - TERKİN EDİLECEK KDV</t>
  </si>
  <si>
    <t>192.0104 - MAHSUP VEYA İADE EDİLECEK KDV</t>
  </si>
  <si>
    <t>Toplam 192.0104 - MAHSUP VEYA İADE EDİLECEK KDV</t>
  </si>
  <si>
    <t>Toplam 192 - DİĞER KDV</t>
  </si>
  <si>
    <t>193 - PEŞİN ÖDENEN VERGİLER VE FONLAR</t>
  </si>
  <si>
    <t>193.0101 - KURUMLAR GEÇİCİ VERGİSİ</t>
  </si>
  <si>
    <t>193.0101.0000 - KURUMLAR GEÇİCİ VERGİSİ</t>
  </si>
  <si>
    <t>Toplam 193.0101 - KURUMLAR GEÇİCİ VERGİSİ</t>
  </si>
  <si>
    <t>193.0102 - TEVKİF YOLUYLA ÖDENEN VERGİLER</t>
  </si>
  <si>
    <t>193.0102.0004 - TEB VDL.HES.STOPAJ KESİNTİSİ</t>
  </si>
  <si>
    <t>193.0102.0011 - AKBANK STOPAJ HESABI</t>
  </si>
  <si>
    <t>193.0102.0002 - YKB VD.HS.STOPAJ KESİNTİSİ</t>
  </si>
  <si>
    <t>193.0102.0003 - GARANTİ BANKASI VDL HS.STOPAJ KESİNTİSİ</t>
  </si>
  <si>
    <t>193.0102.0005 - QNB VADELİ HS.STOPAJ KESİNTİSİ</t>
  </si>
  <si>
    <t>193.0102.0006 - ZİRAAT B.VAD.HS.STOPAJ HS.</t>
  </si>
  <si>
    <t>193.0102.0007 - İŞBANK VDLHESAP STOPAJ KESİNTİSİ</t>
  </si>
  <si>
    <t>193.0102.0008 - HALKBANK STOPAJ HESABI</t>
  </si>
  <si>
    <t>193.0102.0010 - FİBABANK STOPAJ KESİNTİSİ</t>
  </si>
  <si>
    <t>193.0102.0012 - DENİZBANK STOPAJ HESABI</t>
  </si>
  <si>
    <t>193.0102.0013 - BURGAN BANK STOPAJ HS</t>
  </si>
  <si>
    <t>Toplam 193.0102 - TEVKİF YOLUYLA ÖDENEN VERGİLER</t>
  </si>
  <si>
    <t>Toplam 193 - PEŞİN ÖDENEN VERGİLER VE FONLAR</t>
  </si>
  <si>
    <t>195 - İŞ AVANSLARI</t>
  </si>
  <si>
    <t>195.0101 - İŞ AVANLARI</t>
  </si>
  <si>
    <t>195.0101.1001 - İŞ AVANSLARI</t>
  </si>
  <si>
    <t>Toplam 195.0101 - İŞ AVANLARI</t>
  </si>
  <si>
    <t>195.0102 - DİĞER KİŞİ VE KULUŞLARA VERİLEN İŞ AVANSLARI</t>
  </si>
  <si>
    <t>195.0102.2002 - AV.ASLIHAN BİLGİN</t>
  </si>
  <si>
    <t>Toplam 195.0102 - DİĞER KİŞİ VE KULUŞLARA VERİLEN İŞ AVANSLARI</t>
  </si>
  <si>
    <t>Toplam 195 - İŞ AVANSLARI</t>
  </si>
  <si>
    <t>196 - PERSONEL AVANSLARI</t>
  </si>
  <si>
    <t>196.0101 - PERSONEL ÜCRET  AVANSLARI</t>
  </si>
  <si>
    <t>196.0101.1001 - PERSONEL ÜCRET  AVANSLARI</t>
  </si>
  <si>
    <t>Toplam 196.0101 - PERSONEL ÜCRET  AVANSLARI</t>
  </si>
  <si>
    <t>196.0102 - SEYAHAT AVANSLARI</t>
  </si>
  <si>
    <t>Toplam 196.0102 - SEYAHAT AVANSLARI</t>
  </si>
  <si>
    <t>Toplam 196 - PERSONEL AVANSLARI</t>
  </si>
  <si>
    <t>197 - SAYIM VE TESELLÜM NOKSANLARI</t>
  </si>
  <si>
    <t>197.0101 - KASA SAYIM NOKSANLARI</t>
  </si>
  <si>
    <t>Toplam 197.0101 - KASA SAYIM NOKSANLARI</t>
  </si>
  <si>
    <t>197.0102 - STOK SAYIM NOKSANLARI</t>
  </si>
  <si>
    <t>Toplam 197.0102 - STOK SAYIM NOKSANLARI</t>
  </si>
  <si>
    <t>197.0103 - DURAN VARLIK SAYIM NOKSANLARI</t>
  </si>
  <si>
    <t>Toplam 197.0103 - DURAN VARLIK SAYIM NOKSANLARI</t>
  </si>
  <si>
    <t>Toplam 197 - SAYIM VE TESELLÜM NOKSANLARI</t>
  </si>
  <si>
    <t>198 - DİĞER ÇEŞİTLİ DÖNEN VARLIKLAR</t>
  </si>
  <si>
    <t>198.0101 - DİĞER ÇEŞİTLİ DÖNEN VARLIKLAR</t>
  </si>
  <si>
    <t>198.0101.0001 - VERİLEN SİPARİŞ AVANSLARI</t>
  </si>
  <si>
    <t>Toplam 198.0101 - DİĞER ÇEŞİTLİ DÖNEN VARLIKLAR</t>
  </si>
  <si>
    <t>Toplam 198 - DİĞER ÇEŞİTLİ DÖNEN VARLIKLAR</t>
  </si>
  <si>
    <t>199 - DİĞER ÇEŞİTLİ DÖNEN VARLIKLAR KARŞILIĞI ( - )</t>
  </si>
  <si>
    <t>199.0101 - DİĞER ÇEŞİTLİ DÖNEN VARLIKLAR KARŞILIĞI ( - )</t>
  </si>
  <si>
    <t>Toplam 199.0101 - DİĞER ÇEŞİTLİ DÖNEN VARLIKLAR KARŞILIĞI ( - )</t>
  </si>
  <si>
    <t>Toplam 199 - DİĞER ÇEŞİTLİ DÖNEN VARLIKLAR KARŞILIĞI ( - )</t>
  </si>
  <si>
    <t>220 - ALICILAR</t>
  </si>
  <si>
    <t>220.0101 - YURTİÇİ ALICILAR</t>
  </si>
  <si>
    <t>Toplam 220.0101 - YURTİÇİ ALICILAR</t>
  </si>
  <si>
    <t>Toplam 220 - ALICILAR</t>
  </si>
  <si>
    <t>221 - ALACAK SENETLERİ</t>
  </si>
  <si>
    <t>221.0101 - PORTFÖYDEKİ ALACAK SENETLERİ TL</t>
  </si>
  <si>
    <t>Toplam 221.0101 - PORTFÖYDEKİ ALACAK SENETLERİ TL</t>
  </si>
  <si>
    <t>Toplam 221 - ALACAK SENETLERİ</t>
  </si>
  <si>
    <t>222 - ALACAK SENETLERİ REESKONTU ( - )</t>
  </si>
  <si>
    <t>222.0101 - PORTFÖYDEKİ ALACAK SENETLERİ REESKONTU (-)</t>
  </si>
  <si>
    <t>Toplam 222.0101 - PORTFÖYDEKİ ALACAK SENETLERİ REESKONTU (-)</t>
  </si>
  <si>
    <t>Toplam 222 - ALACAK SENETLERİ REESKONTU ( - )</t>
  </si>
  <si>
    <t>226 - VERİLEN DEPOZİTO VE TEMİNATLAR</t>
  </si>
  <si>
    <t>226.0101 - VERİLEN DEPOZİTO VE TEMİNATLAR</t>
  </si>
  <si>
    <t>226.0101.1001 - BUSKİ</t>
  </si>
  <si>
    <t>226.0101.1003 - ULUDAĞ ELEKTRİK DAĞITIM A.Ş.</t>
  </si>
  <si>
    <t>Toplam 226.0101 - VERİLEN DEPOZİTO VE TEMİNATLAR</t>
  </si>
  <si>
    <t>226.9999 - VERİLEN DEPOZİTO VE TEMİNATLAR ENFLASYON FARK HESABI</t>
  </si>
  <si>
    <t>Toplam 226.9999 - VERİLEN DEPOZİTO VE TEMİNATLAR ENFLASYON FARK HESABI</t>
  </si>
  <si>
    <t>Toplam 226 - VERİLEN DEPOZİTO VE TEMİNATLAR</t>
  </si>
  <si>
    <t>228 - ŞÜPHELİ TİCARİ ALACAKLAR</t>
  </si>
  <si>
    <t>Toplam 228 - ŞÜPHELİ TİCARİ ALACAKLAR</t>
  </si>
  <si>
    <t>229 - ŞÜPHELİ TİCARİ ALACAKLAR KARŞILIĞI ( - )</t>
  </si>
  <si>
    <t>Toplam 229 - ŞÜPHELİ TİCARİ ALACAKLAR KARŞILIĞI ( - )</t>
  </si>
  <si>
    <t>231 - ORTAKLARDAN ALACAKLAR</t>
  </si>
  <si>
    <t>Toplam 231 - ORTAKLARDAN ALACAKLAR</t>
  </si>
  <si>
    <t>232 - İŞTİRAKLERDEN ALACAKLAR</t>
  </si>
  <si>
    <t>Toplam 232 - İŞTİRAKLERDEN ALACAKLAR</t>
  </si>
  <si>
    <t>233 - BAĞLI ORTAKLIKLARDAN ALACAKLAR</t>
  </si>
  <si>
    <t>Toplam 233 - BAĞLI ORTAKLIKLARDAN ALACAKLAR</t>
  </si>
  <si>
    <t>235 - PERSONELDEN ALACAKLAR</t>
  </si>
  <si>
    <t>Toplam 235 - PERSONELDEN ALACAKLAR</t>
  </si>
  <si>
    <t>236 - DİĞER ÇEŞİTLİ ALACAKLAR</t>
  </si>
  <si>
    <t>Toplam 236 - DİĞER ÇEŞİTLİ ALACAKLAR</t>
  </si>
  <si>
    <t>237 - DİĞER ALACAK SENETLERİ REESKONTU</t>
  </si>
  <si>
    <t>Toplam 237 - DİĞER ALACAK SENETLERİ REESKONTU</t>
  </si>
  <si>
    <t>239 - DİĞER ALACAK SENETLERİ REESKONTU ( - )</t>
  </si>
  <si>
    <t>Toplam 239 - DİĞER ALACAK SENETLERİ REESKONTU ( - )</t>
  </si>
  <si>
    <t>240 - BAĞLI MENKUL KIYMETLER</t>
  </si>
  <si>
    <t>Toplam 240 - BAĞLI MENKUL KIYMETLER</t>
  </si>
  <si>
    <t>241 - BAĞLI MENKUL KIYMETLER DEĞER DÜŞÜKL.KARŞILIĞI(-)</t>
  </si>
  <si>
    <t>Toplam 241 - BAĞLI MENKUL KIYMETLER DEĞER DÜŞÜKL.KARŞILIĞI(-)</t>
  </si>
  <si>
    <t>242 - İŞTİRAKLER</t>
  </si>
  <si>
    <t>242.0101 - İŞTİRAKLER</t>
  </si>
  <si>
    <t>Toplam 242.0101 - İŞTİRAKLER</t>
  </si>
  <si>
    <t>242.0102 - İŞTİRAKLER  ENF.FARKI</t>
  </si>
  <si>
    <t>Toplam 242.0102 - İŞTİRAKLER  ENF.FARKI</t>
  </si>
  <si>
    <t>Toplam 242 - İŞTİRAKLER</t>
  </si>
  <si>
    <t>243 - İŞTİRAKLERE SERMAYE  TAAHHÜTLERİ  ( - )</t>
  </si>
  <si>
    <t>Toplam 243 - İŞTİRAKLERE SERMAYE  TAAHHÜTLERİ  ( - )</t>
  </si>
  <si>
    <t>244 - İŞTİRAKLER SERMAYE PAYLARI DEĞER DÜŞÜKL.KARŞILIĞI</t>
  </si>
  <si>
    <t>Toplam 244 - İŞTİRAKLER SERMAYE PAYLARI DEĞER DÜŞÜKL.KARŞILIĞI</t>
  </si>
  <si>
    <t>245 - BAĞLI ORTAKLIKLAR</t>
  </si>
  <si>
    <t>Toplam 245 - BAĞLI ORTAKLIKLAR</t>
  </si>
  <si>
    <t>246 - BAĞLI ORTAKLIKLARA SERMAYE TAAHHÜTLERİ ( - )</t>
  </si>
  <si>
    <t>Toplam 246 - BAĞLI ORTAKLIKLARA SERMAYE TAAHHÜTLERİ ( - )</t>
  </si>
  <si>
    <t>247 - BAĞLI ORTAKLIKL.SERMAYE PAYLARI DEĞER DÜŞ.KARŞ.(-)</t>
  </si>
  <si>
    <t>Toplam 247 - BAĞLI ORTAKLIKL.SERMAYE PAYLARI DEĞER DÜŞ.KARŞ.(-)</t>
  </si>
  <si>
    <t>248 - DİĞER MALİ DURAN VARLIKLAR</t>
  </si>
  <si>
    <t>Toplam 248 - DİĞER MALİ DURAN VARLIKLAR</t>
  </si>
  <si>
    <t>249 - DİĞER MALİ DURAN VARLIKLAR KARŞILIĞI</t>
  </si>
  <si>
    <t>Toplam 249 - DİĞER MALİ DURAN VARLIKLAR KARŞILIĞI</t>
  </si>
  <si>
    <t>250 - ARAZİ VE ARSALAR</t>
  </si>
  <si>
    <t>250.0101 - ARAZİ VE ARSALAR</t>
  </si>
  <si>
    <t>250.0101.1001 - ARAZİ VE ARSALAR</t>
  </si>
  <si>
    <t>Toplam 250.0101 - ARAZİ VE ARSALAR</t>
  </si>
  <si>
    <t>250.0102 - ARAZİ VE ARSALAR ENF DÜZ</t>
  </si>
  <si>
    <t>250.0102.1001 - ARAZİ VE ARSALAR ENF DÜZ</t>
  </si>
  <si>
    <t>Toplam 250.0102 - ARAZİ VE ARSALAR ENF DÜZ</t>
  </si>
  <si>
    <t>250.9999 - ARAZİ VE ARSALAR ENF FARKI HESABI</t>
  </si>
  <si>
    <t>250.9999.0001 - ARAZİ VE ARSALAR ENF FARKI HESABI</t>
  </si>
  <si>
    <t>Toplam 250.9999 - ARAZİ VE ARSALAR ENF FARKI HESABI</t>
  </si>
  <si>
    <t>Toplam 250 - ARAZİ VE ARSALAR</t>
  </si>
  <si>
    <t>251 - YER ALTI VE YERÜSTÜ DÜZENLERİ</t>
  </si>
  <si>
    <t>Toplam 251 - YER ALTI VE YERÜSTÜ DÜZENLERİ</t>
  </si>
  <si>
    <t>252 - BİNALAR</t>
  </si>
  <si>
    <t>252.0101 - BİNALAR</t>
  </si>
  <si>
    <t>Toplam 252.0101 - BİNALAR</t>
  </si>
  <si>
    <t>252.0102 - BİNALAR ENF.FARKI</t>
  </si>
  <si>
    <t>Toplam 252.0102 - BİNALAR ENF.FARKI</t>
  </si>
  <si>
    <t>Toplam 252 - BİNALAR</t>
  </si>
  <si>
    <t>253 - TESİS MAKİNA VE CİHAZLAR</t>
  </si>
  <si>
    <t>253.0101 - TESİS MAKİNA VE CİHAZLAR</t>
  </si>
  <si>
    <t>Toplam 253.0101 - TESİS MAKİNA VE CİHAZLAR</t>
  </si>
  <si>
    <t>Toplam 253 - TESİS MAKİNA VE CİHAZLAR</t>
  </si>
  <si>
    <t>254 - TAŞITLAR</t>
  </si>
  <si>
    <t>254.0101 - TAŞITLAR</t>
  </si>
  <si>
    <t>254.0101.0000 - TAŞITLAR</t>
  </si>
  <si>
    <t>254.0101.0001 - TAŞITLAR OTO LASTİK</t>
  </si>
  <si>
    <t>254.0101.0002 - TAKOGRAF</t>
  </si>
  <si>
    <t>254.0101.0003 - TAŞIT BRANDA</t>
  </si>
  <si>
    <t>Toplam 254.0101 - TAŞITLAR</t>
  </si>
  <si>
    <t>254.0102 - TAŞITLAR TEŞVİK KAPSAMINDA</t>
  </si>
  <si>
    <t>Toplam 254.0102 - TAŞITLAR TEŞVİK KAPSAMINDA</t>
  </si>
  <si>
    <t>254.0103 - TAŞITLAR ENFLASYON FARKI</t>
  </si>
  <si>
    <t>254.0103.0000 - TAŞITLAR ENFLASYON FARKI</t>
  </si>
  <si>
    <t>Toplam 254.0103 - TAŞITLAR ENFLASYON FARKI</t>
  </si>
  <si>
    <t>254.9999 - TAŞITLAR ENFLASYON FARKI</t>
  </si>
  <si>
    <t>254.9999.0001 - TAŞITLAR ENFLASYON FARKI</t>
  </si>
  <si>
    <t>Toplam 254.9999 - TAŞITLAR ENFLASYON FARKI</t>
  </si>
  <si>
    <t>Toplam 254 - TAŞITLAR</t>
  </si>
  <si>
    <t>255 - DEMİRBAŞLAR</t>
  </si>
  <si>
    <t>255.0101 - DEMİRBAŞLAR</t>
  </si>
  <si>
    <t>255.0101.1001 - DEMİRBAŞLAR</t>
  </si>
  <si>
    <t>Toplam 255.0101 - DEMİRBAŞLAR</t>
  </si>
  <si>
    <t>255.0102 - DEMİRBAŞLAR ENFLASYON FARKI</t>
  </si>
  <si>
    <t>255.0102.1001 - MERKEZ ENF.FARKI</t>
  </si>
  <si>
    <t>Toplam 255.0102 - DEMİRBAŞLAR ENFLASYON FARKI</t>
  </si>
  <si>
    <t>255.9999 - DEMİRBAŞLAR ENFLASYON FARKI</t>
  </si>
  <si>
    <t>255.9999.0001 - DEMİRBAŞLAR ENFLASYON FARKI</t>
  </si>
  <si>
    <t>Toplam 255.9999 - DEMİRBAŞLAR ENFLASYON FARKI</t>
  </si>
  <si>
    <t>Toplam 255 - DEMİRBAŞLAR</t>
  </si>
  <si>
    <t>256 - DİĞER MADDİ DURAN VARLIKLAR</t>
  </si>
  <si>
    <t>Toplam 256 - DİĞER MADDİ DURAN VARLIKLAR</t>
  </si>
  <si>
    <t>257 - BİRİKMİŞ AMORTSİMANLAR ( - )</t>
  </si>
  <si>
    <t>257.0101 - BİNALAR</t>
  </si>
  <si>
    <t>Toplam 257.0101 - BİNALAR</t>
  </si>
  <si>
    <t>257.0102 - TAŞITLAR</t>
  </si>
  <si>
    <t>257.0102.0000 - TAŞITLAR</t>
  </si>
  <si>
    <t>Toplam 257.0102 - TAŞITLAR</t>
  </si>
  <si>
    <t>257.0103 - DEMİRBAŞLAR</t>
  </si>
  <si>
    <t>257.0103.0000 - DEMİRBAŞLAR</t>
  </si>
  <si>
    <t>Toplam 257.0103 - DEMİRBAŞLAR</t>
  </si>
  <si>
    <t>257.0501 - BİNALAR ENF.FARKI</t>
  </si>
  <si>
    <t>Toplam 257.0501 - BİNALAR ENF.FARKI</t>
  </si>
  <si>
    <t>257.0502 - TAŞITLAR ENF.FARKI</t>
  </si>
  <si>
    <t>257.0502.0000 - TAŞITLAR ENF FARKI</t>
  </si>
  <si>
    <t>Toplam 257.0502 - TAŞITLAR ENF.FARKI</t>
  </si>
  <si>
    <t>257.0503 - DEMİRBAŞLAR ENF.FARKI</t>
  </si>
  <si>
    <t>257.0503.0000 - DEMİRBAŞLAR ENF.FARKI</t>
  </si>
  <si>
    <t>Toplam 257.0503 - DEMİRBAŞLAR ENF.FARKI</t>
  </si>
  <si>
    <t>257.9999 - BİRİKMİŞ AMORTİSMANLAR  ENF FARKI</t>
  </si>
  <si>
    <t>257.9999.0002 - TAŞITLAR ENF FARKI</t>
  </si>
  <si>
    <t>257.9999.0003 - DEMİRBAŞLAR ENF.FARKI</t>
  </si>
  <si>
    <t>Toplam 257.9999 - BİRİKMİŞ AMORTİSMANLAR  ENF FARKI</t>
  </si>
  <si>
    <t>Toplam 257 - BİRİKMİŞ AMORTSİMANLAR ( - )</t>
  </si>
  <si>
    <t>258 - YAPILMAKTA OLAN YATIRIMLAR</t>
  </si>
  <si>
    <t>258.0101 - YAPILMAKTA OLAN YATIRIMLAR</t>
  </si>
  <si>
    <t>258.0101.1003 - DEPO YER VE ZEMİN, KAPI VE ÇATI MALZEMELİ YENİLEME</t>
  </si>
  <si>
    <t>258.0101.1025 - TARA BORU A.Ş. TEŞHİR 2024</t>
  </si>
  <si>
    <t>258.0101.1023 - YAYLACIK DEPO 2024</t>
  </si>
  <si>
    <t>258.0101.1024 - YAYLACIK KAÇAK AKIM ROLESİ(İŞGÜVENLİĞİ)</t>
  </si>
  <si>
    <t>258.0101.1025- - ALAADDİNBEY DEPO 2024</t>
  </si>
  <si>
    <t>Toplam 258.0101 - YAPILMAKTA OLAN YATIRIMLAR</t>
  </si>
  <si>
    <t>258.0102 - YAPILMAKTA OLAN YAIRIMLAR ENF. FARKI</t>
  </si>
  <si>
    <t>258.9999.0001 - YAPILMAKTA OLAN YATIRIMLAR ENF FARKI</t>
  </si>
  <si>
    <t>Toplam 258.0102 - YAPILMAKTA OLAN YAIRIMLAR ENF. FARKI</t>
  </si>
  <si>
    <t>Toplam 258 - YAPILMAKTA OLAN YATIRIMLAR</t>
  </si>
  <si>
    <t>259 - VERİLEN AVANSLAR</t>
  </si>
  <si>
    <t>259.0101 - DURAN VARLIKLAR</t>
  </si>
  <si>
    <t>259.0101.1001 - TESLA OTOMOBİL</t>
  </si>
  <si>
    <t>Toplam 259.0101 - DURAN VARLIKLAR</t>
  </si>
  <si>
    <t>Toplam 259 - VERİLEN AVANSLAR</t>
  </si>
  <si>
    <t>260 - HAKLAR</t>
  </si>
  <si>
    <t>260.0101 - HAKLAR</t>
  </si>
  <si>
    <t>260.0101.1002 - BİLGİSAYAR PROGRAMLARI</t>
  </si>
  <si>
    <t>260.0101.1009 - DİĞER HAKLAR</t>
  </si>
  <si>
    <t>260.0101.1012 - CNC LAZERLİ BORU KESİM MAKİNASI</t>
  </si>
  <si>
    <t>260.0101.1013 - KESİNTİSİZ GÜÇ KAYNAĞI</t>
  </si>
  <si>
    <t>260.0101.1014 - İNVERTÖRLÜ VİDALI KOMPRESÖR</t>
  </si>
  <si>
    <t>Toplam 260.0101 - HAKLAR</t>
  </si>
  <si>
    <t>260.0102 - HAKLAR  ENF.FARKLARI</t>
  </si>
  <si>
    <t>260.0102.1002 - BİLGİSAYAR PROGRAMLARI ENF.FARKI</t>
  </si>
  <si>
    <t>260.0102.1003 - LEASİNG LAZER ENF FARKI</t>
  </si>
  <si>
    <t>Toplam 260.0102 - HAKLAR  ENF.FARKLARI</t>
  </si>
  <si>
    <t>260.9999 - HAKLAR ENFLASYON FARKI</t>
  </si>
  <si>
    <t>260.9999.0001 - HAKLAR ENFLASYON FARKI</t>
  </si>
  <si>
    <t>Toplam 260.9999 - HAKLAR ENFLASYON FARKI</t>
  </si>
  <si>
    <t>Toplam 260 - HAKLAR</t>
  </si>
  <si>
    <t>261 - ŞEREFİYE</t>
  </si>
  <si>
    <t>Toplam 261 - ŞEREFİYE</t>
  </si>
  <si>
    <t>262 - KURULUŞ VE ÖRGÜTLENME GİDERİ</t>
  </si>
  <si>
    <t>Toplam 262 - KURULUŞ VE ÖRGÜTLENME GİDERİ</t>
  </si>
  <si>
    <t>263 - ARAŞTIRMA GELİŞTRME GİDERLERİ</t>
  </si>
  <si>
    <t>Toplam 263 - ARAŞTIRMA GELİŞTRME GİDERLERİ</t>
  </si>
  <si>
    <t>264 - ÖZEL MALİYETLER</t>
  </si>
  <si>
    <t>264.0101 - ÖZEL MALİYETLER</t>
  </si>
  <si>
    <t>264.0101.1001 - MERKEZ</t>
  </si>
  <si>
    <t>264.0101.1002 - MUTFAK YAPIMI</t>
  </si>
  <si>
    <t>264.0101.1003 - OFİS YENİLEME</t>
  </si>
  <si>
    <t>264.0101.1004 - 160 KVA ÖLÇÜ PANOSU (KARKAS PANO 70 X 100 X 40)</t>
  </si>
  <si>
    <t>264.0101.1005 - ÇELİK KONSTRUKSİYON</t>
  </si>
  <si>
    <t>264.0101.1006 - DOĞALGAZ İÇ TESİSATI MALZEMELİ YAPIMI (YENİLEME)</t>
  </si>
  <si>
    <t>264.0101.1007 - DEPO YER VE ZEMİN, KAPI VE ÇATI MALZEMELİ YENİLEME</t>
  </si>
  <si>
    <t>264.0101.1010 - MAĞAZA TEŞHİR YENİLEME</t>
  </si>
  <si>
    <t>264.0101.1013 - TELEFON SANTRALİ YENİLEME</t>
  </si>
  <si>
    <t>264.0101.1014 - DEPO YENİLEME (ÇAN)</t>
  </si>
  <si>
    <t>264.0101.1015 - DEPO YENİLEME (YAYLACIK)</t>
  </si>
  <si>
    <t>264.0101.1016 - DEPO YENİLEME (YAYLACIK)2021</t>
  </si>
  <si>
    <t>264.0101.1017 - MAĞAZA TEŞİR VE YENİLEME 2021</t>
  </si>
  <si>
    <t>264.0101.1018 - OFİS YENİLEME (YAYLACIK) 2022</t>
  </si>
  <si>
    <t>264.0101.1019 - MAĞAZA TEŞİR VE YENİLEME 2022</t>
  </si>
  <si>
    <t>264.0101.1020 - DEPO YENİLEME (YAYLACIK)2022</t>
  </si>
  <si>
    <t>264.0101.1021 - DEPO (ALAADDİNBEY-YENİ DEPO)</t>
  </si>
  <si>
    <t>264.0101.1022 - YENİ DEPO YENİLEME (YAYLACIK)2022</t>
  </si>
  <si>
    <t>264.0101.1023 - ALAADDİNBEY MAĞAZA BİNA ÇATISI</t>
  </si>
  <si>
    <t>264.0101.1026 - ALADDİN BEY DEPO 2023</t>
  </si>
  <si>
    <t>264.0101.1027 - MAĞAZA VE TEŞHİR YENİLEME 2023</t>
  </si>
  <si>
    <t>264.0101.1028 - OFİS YENİLEME</t>
  </si>
  <si>
    <t>264.0101.1029 - DEPO YER VE ZEMİN, KAPI VE ÇATI MALZEMELİ</t>
  </si>
  <si>
    <t>264.0101.1030 - TARA BORU AŞ/ÇALI İŞYERİ MASRAF BEDELLERİ</t>
  </si>
  <si>
    <t>264.0101.1031 - TARA BORU AŞ/YAYLACIK LAZER</t>
  </si>
  <si>
    <t>264.0101.1032 - MAĞAZA ÇATI YAPIMI</t>
  </si>
  <si>
    <t>Toplam 264.0101 - ÖZEL MALİYETLER</t>
  </si>
  <si>
    <t>264.0501 - ÖZEL MALİYETLER ENF.FARKLARI</t>
  </si>
  <si>
    <t>264.0501.1001 - MERKEZ MAĞAZA ENF FARKI</t>
  </si>
  <si>
    <t>Toplam 264.0501 - ÖZEL MALİYETLER ENF.FARKLARI</t>
  </si>
  <si>
    <t>264.9999 - ÖZEL MALİYETLER ENF FARKI</t>
  </si>
  <si>
    <t>264.9999.0001 - ÖZEL MALİYETLER ENF FARKI</t>
  </si>
  <si>
    <t>Toplam 264.9999 - ÖZEL MALİYETLER ENF FARKI</t>
  </si>
  <si>
    <t>Toplam 264 - ÖZEL MALİYETLER</t>
  </si>
  <si>
    <t>266 - FİNANSAL KİRALAMA KONUSU KIYMETLER</t>
  </si>
  <si>
    <t>266.0101 - FİNANSAL KİRALAMA KONUSU KIYMETLER</t>
  </si>
  <si>
    <t>Toplam 266.0101 - FİNANSAL KİRALAMA KONUSU KIYMETLER</t>
  </si>
  <si>
    <t>Toplam 266 - FİNANSAL KİRALAMA KONUSU KIYMETLER</t>
  </si>
  <si>
    <t>267 - DİĞER MADDİ OLMAYAN DURAN VARLIKLAR</t>
  </si>
  <si>
    <t>267.0101 - DİĞER MADDİ OLMAYAN DURAN VARLIKLAR</t>
  </si>
  <si>
    <t>Toplam 267.0101 - DİĞER MADDİ OLMAYAN DURAN VARLIKLAR</t>
  </si>
  <si>
    <t>Toplam 267 - DİĞER MADDİ OLMAYAN DURAN VARLIKLAR</t>
  </si>
  <si>
    <t>268 - BİRİKMİŞ AMORTİSMANLAR</t>
  </si>
  <si>
    <t>268.0101 - ÖZEL MALİYETLER AMORTSİMANI</t>
  </si>
  <si>
    <t>268.0101.1001 - ÖZEL MALİYET BED.AM.</t>
  </si>
  <si>
    <t>Toplam 268.0101 - ÖZEL MALİYETLER AMORTSİMANI</t>
  </si>
  <si>
    <t>268.0201 - HAKLAR AMORTİSMANI</t>
  </si>
  <si>
    <t>268.0201.1001 - HAKLAR AMORTİSMAN</t>
  </si>
  <si>
    <t>Toplam 268.0201 - HAKLAR AMORTİSMANI</t>
  </si>
  <si>
    <t>268.0501 - AMORTİSMANLAR ENF.FARKI</t>
  </si>
  <si>
    <t>268.0501.1001 - ÖZEL MALİYETLER AMORTİSMANI ENF.FARKI</t>
  </si>
  <si>
    <t>268.0501.1002 - HAKLAR AMORTİSMANI ENF.FARKI</t>
  </si>
  <si>
    <t>Toplam 268.0501 - AMORTİSMANLAR ENF.FARKI</t>
  </si>
  <si>
    <t>268.9999 - BİRİKMİŞ AMORTİSMANLAR  ENF FARKI</t>
  </si>
  <si>
    <t>268.9999.0001 - ÖZEL MALİYETLER AMORTİSMANI ENF.FARKI</t>
  </si>
  <si>
    <t>268.9999.0002 - HAKLAR AMORTİSMANI ENF.FARKI</t>
  </si>
  <si>
    <t>Toplam 268.9999 - BİRİKMİŞ AMORTİSMANLAR  ENF FARKI</t>
  </si>
  <si>
    <t>Toplam 268 - BİRİKMİŞ AMORTİSMANLAR</t>
  </si>
  <si>
    <t>269 - VERİLEN AVANSLAR</t>
  </si>
  <si>
    <t>Toplam 269 - VERİLEN AVANSLAR</t>
  </si>
  <si>
    <t>271 - ARAMA GİDERLERİ</t>
  </si>
  <si>
    <t>Toplam 271 - ARAMA GİDERLERİ</t>
  </si>
  <si>
    <t>272 - HAZIRLIK VE GELİŞTİRME GİDERLERİ</t>
  </si>
  <si>
    <t>Toplam 272 - HAZIRLIK VE GELİŞTİRME GİDERLERİ</t>
  </si>
  <si>
    <t>277 - DİĞER ÖZEL TÜKENMEYE TABİ VARLIKLAR</t>
  </si>
  <si>
    <t>Toplam 277 - DİĞER ÖZEL TÜKENMEYE TABİ VARLIKLAR</t>
  </si>
  <si>
    <t>278 - BİRİKMİŞ TÜKENME PAYLARI ( - )</t>
  </si>
  <si>
    <t>Toplam 278 - BİRİKMİŞ TÜKENME PAYLARI ( - )</t>
  </si>
  <si>
    <t>279 - VERİLEN AVANSLAR</t>
  </si>
  <si>
    <t>Toplam 279 - VERİLEN AVANSLAR</t>
  </si>
  <si>
    <t>280 - GELECEK YILLARA AİT GİDERLER</t>
  </si>
  <si>
    <t>280.0101 - PEŞİN ÖDENEN KİRALAR</t>
  </si>
  <si>
    <t>Toplam 280.0101 - PEŞİN ÖDENEN KİRALAR</t>
  </si>
  <si>
    <t>280.0102 - PEŞİN ÖDENEN SİGORTA GİDERLERİ</t>
  </si>
  <si>
    <t>280.0102.1001 - OCAK SİGORTA GİDERLERİ</t>
  </si>
  <si>
    <t>280.0102.1002 - ŞUBAT SİGORTA GİDERLERİ</t>
  </si>
  <si>
    <t>280.0102.1003 - MART SİGORTA GİDERLERİ</t>
  </si>
  <si>
    <t>280.0102.1004 - NİSAN SİGORTA GİDERLERİ</t>
  </si>
  <si>
    <t>280.0102.1005 - MAYIS SİGORTA GİDERLERİ</t>
  </si>
  <si>
    <t>280.0102.1006 - HAZİRAN SİGORTA GİDERLERİ</t>
  </si>
  <si>
    <t>280.0102.1007 - TEMMUZ SİGORTA GİDERLERİ</t>
  </si>
  <si>
    <t>280.0102.1008 - AĞUSTOS SİGORTA GİDERLERİ</t>
  </si>
  <si>
    <t>280.0102.1009 - EYLÜL SİGORTA GİDERLERİ</t>
  </si>
  <si>
    <t>280.0102.1010 - EKİM SİGORTA GİDERLERİ</t>
  </si>
  <si>
    <t>280.0102.1011 - KASIM SİGORTA GİDERLERİ</t>
  </si>
  <si>
    <t>280.0102.1012 - ARALIK SİGORTA GİDERLERİ</t>
  </si>
  <si>
    <t>Toplam 280.0102 - PEŞİN ÖDENEN SİGORTA GİDERLERİ</t>
  </si>
  <si>
    <t>280.0103 - PEŞİN ÖDENEN DİĞER GİDERLER</t>
  </si>
  <si>
    <t>280.0103.1001 - PEŞİN ÖDENEN DİĞER GİDERLER</t>
  </si>
  <si>
    <t>280.0103.1002 - PEŞİN ÖDENEN GİDERLER  OCAK-ŞUBAT-MART</t>
  </si>
  <si>
    <t>Toplam 280.0103 - PEŞİN ÖDENEN DİĞER GİDERLER</t>
  </si>
  <si>
    <t>280.0104 - GELECEK YILLARA AİT FAİZ GİDERLERİ</t>
  </si>
  <si>
    <t>280.0104.1002 - ZİRAAT BANKASI TAKSİTLİ KREDİ FAİZ GİDERLERİ</t>
  </si>
  <si>
    <t>280.0104.1004 - TEB BANKASI TAKSİTLİ KREDİ FAİZ GİDERLERİ</t>
  </si>
  <si>
    <t>280.0104.1005 - YKB TAKSİTLİ KREDİ FAİZ GİDERLERİ</t>
  </si>
  <si>
    <t>280.0104.1006 - KUVEYT TÜRK KREDİ FAİZ GİDERLERİ</t>
  </si>
  <si>
    <t>280.0104.1007 - AKBANK 4033* NL TAK KRD FAİZ GİDE</t>
  </si>
  <si>
    <t>Toplam 280.0104 - GELECEK YILLARA AİT FAİZ GİDERLERİ</t>
  </si>
  <si>
    <t>280.9999 - GELECEK YILLARA AİT GİDERLER ENF FARKI</t>
  </si>
  <si>
    <t>280.9999.0001 - GELECEK YILLARA AİT GİDERLER ENF FARK</t>
  </si>
  <si>
    <t>Toplam 280.9999 - GELECEK YILLARA AİT GİDERLER ENF FARKI</t>
  </si>
  <si>
    <t>Toplam 280 - GELECEK YILLARA AİT GİDERLER</t>
  </si>
  <si>
    <t>281 - GELİR TAHAKKUKLARI</t>
  </si>
  <si>
    <t>281.0101 - GELECEK AYLARA AİT REPO GELİRLERİ</t>
  </si>
  <si>
    <t>Toplam 281.0101 - GELECEK AYLARA AİT REPO GELİRLERİ</t>
  </si>
  <si>
    <t>281.0102 - GELECEK AYLARA AİT FAİZ GELİRLERİ</t>
  </si>
  <si>
    <t>Toplam 281.0102 - GELECEK AYLARA AİT FAİZ GELİRLERİ</t>
  </si>
  <si>
    <t>281.0103 - GELECEK AYLARA AİT PRİM TAHAKUKLARI</t>
  </si>
  <si>
    <t>Toplam 281.0103 - GELECEK AYLARA AİT PRİM TAHAKUKLARI</t>
  </si>
  <si>
    <t>281.0104 - GELECEK AYLARA AİT B TİPİ FON GELİR TAHAKKUKLARI</t>
  </si>
  <si>
    <t>Toplam 281.0104 - GELECEK AYLARA AİT B TİPİ FON GELİR TAHAKKUKLARI</t>
  </si>
  <si>
    <t>281.0105 - GELECEK AYLARA AİT KİRALAR</t>
  </si>
  <si>
    <t>Toplam 281.0105 - GELECEK AYLARA AİT KİRALAR</t>
  </si>
  <si>
    <t>281.0106 - GELECEK AYLARA AİT DİĞER GELİRLER</t>
  </si>
  <si>
    <t>Toplam 281.0106 - GELECEK AYLARA AİT DİĞER GELİRLER</t>
  </si>
  <si>
    <t>Toplam 281 - GELİR TAHAKKUKLARI</t>
  </si>
  <si>
    <t>291 - GELECEK YILLARDA İNDİRİLECEK KDV</t>
  </si>
  <si>
    <t>Toplam 291 - GELECEK YILLARDA İNDİRİLECEK KDV</t>
  </si>
  <si>
    <t>292 - DİĞER KATMA DEĞER VERGİSİ</t>
  </si>
  <si>
    <t>292.0101 - ERTELENEN KDV</t>
  </si>
  <si>
    <t>Toplam 292.0101 - ERTELENEN KDV</t>
  </si>
  <si>
    <t>292.0102 - TERKİN EDİLECEK KDV</t>
  </si>
  <si>
    <t>Toplam 292.0102 - TERKİN EDİLECEK KDV</t>
  </si>
  <si>
    <t>292.0103 - İADESİ GEREKEN KDV</t>
  </si>
  <si>
    <t>Toplam 292.0103 - İADESİ GEREKEN KDV</t>
  </si>
  <si>
    <t>Toplam 292 - DİĞER KATMA DEĞER VERGİSİ</t>
  </si>
  <si>
    <t>293 - GELECEK YIL İHTİYACI STOKLAR</t>
  </si>
  <si>
    <t>Toplam 293 - GELECEK YIL İHTİYACI STOKLAR</t>
  </si>
  <si>
    <t>294 - ELDEN ÇIKARTILACAK STOKLAR VE MADDİ DUR.VARLIKLAR</t>
  </si>
  <si>
    <t>Toplam 294 - ELDEN ÇIKARTILACAK STOKLAR VE MADDİ DUR.VARLIKLAR</t>
  </si>
  <si>
    <t>295 - PEŞİN ÖDENEN VERGİ VE FONLAR</t>
  </si>
  <si>
    <t>Toplam 295 - PEŞİN ÖDENEN VERGİ VE FONLAR</t>
  </si>
  <si>
    <t>297 - DİĞER ÇEŞİTLİ DURAN VARLIKLAR</t>
  </si>
  <si>
    <t>Toplam 297 - DİĞER ÇEŞİTLİ DURAN VARLIKLAR</t>
  </si>
  <si>
    <t>298 - STOK DEĞER DÜŞÜKLÜĞÜ KARŞILIĞI ( - )</t>
  </si>
  <si>
    <t>Toplam 298 - STOK DEĞER DÜŞÜKLÜĞÜ KARŞILIĞI ( - )</t>
  </si>
  <si>
    <t>299 - BİRİKMİŞ AMORTİSMANLAR ( - )</t>
  </si>
  <si>
    <t>Toplam 299 - BİRİKMİŞ AMORTİSMANLAR ( - )</t>
  </si>
  <si>
    <t>Toplam Varlıklar</t>
  </si>
  <si>
    <t>Yabancı Kaynaklar</t>
  </si>
  <si>
    <t>300 - BANKA KREDİLERİ</t>
  </si>
  <si>
    <t>300.0101 - İŞLETME KREDİLERİ</t>
  </si>
  <si>
    <t>300.0101.1009 - İŞ BANKASI BURSA TİCARİ ŞB BCH HS.</t>
  </si>
  <si>
    <t>300.0101.1011 - İŞ BANKASI BURSA TİCARİ ŞB KMH HESABI</t>
  </si>
  <si>
    <t>300.0101.1013 - HALKBANK ORGANİZE SANAYİ TİCARİ ŞB NAKİT KREDİ HS.</t>
  </si>
  <si>
    <t>300.0101.1014 - HALKBANK ORGANİZE SANAYİ TİCARİ ŞB BCH HESABI</t>
  </si>
  <si>
    <t>300.0101.1025 - TEB BURSA ŞB HESABI NAKİT</t>
  </si>
  <si>
    <t>300.0101.1035 - VAKIFBANK-NİLÜFER ŞB NAKİT KREDİ HS</t>
  </si>
  <si>
    <t>300.0101.1054 - FİBABANKA-BURSA ŞB NAKİT KREDİ HS</t>
  </si>
  <si>
    <t>300.0101.1055 - FİBABANKA-BURSA ŞB BCH HS</t>
  </si>
  <si>
    <t>300.0101.1056 - FİBABANKA-BURSA ŞB KMH HS</t>
  </si>
  <si>
    <t>300.0101.1060 - YAPI KREDİ BANKASI NİLÜFER SUBESI NAKİT</t>
  </si>
  <si>
    <t>300.0101.1063 - QNB FİNANSBANK BURSA ŞUBESİ NAKİT</t>
  </si>
  <si>
    <t>300.0101.1068 - ODEA BANKASI BURSA ŞB.NAKİT KREDİ HS</t>
  </si>
  <si>
    <t>300.0101.1069 - ZİRAAT BANKASI 49902608 NL.KREDI HESABI</t>
  </si>
  <si>
    <t>300.0101.1071 - ANADOLUBANK NAKİT KREDİ HS</t>
  </si>
  <si>
    <t>300.0101.1072 - VAKIF KATILIM NAKİT KREDİ HS</t>
  </si>
  <si>
    <t>300.0101.1073 - ALBARAKATÜRK KREDİ HS.</t>
  </si>
  <si>
    <t>300.0101.1074 - ZİRAAT KATILIM ŞİŞLİ TİCARİ ŞB.</t>
  </si>
  <si>
    <t>300.0101.1075 - TEB DEMİRTAŞ ORG.SAN.ŞB.KMH HS.</t>
  </si>
  <si>
    <t>300.0101.1076 - ALTERNATİFBANK BURSA TİCARİ ŞB.</t>
  </si>
  <si>
    <t>300.0101.1078 - AKBANK OSB ŞB.</t>
  </si>
  <si>
    <t>Toplam 300.0101 - İŞLETME KREDİLERİ</t>
  </si>
  <si>
    <t>300.0102 - TAŞIT KREDİLERİ</t>
  </si>
  <si>
    <t>Toplam 300.0102 - TAŞIT KREDİLERİ</t>
  </si>
  <si>
    <t>300.0103 - ORTAK KART</t>
  </si>
  <si>
    <t>Toplam 300.0103 - ORTAK KART</t>
  </si>
  <si>
    <t>300.0104 - KREDİ KARTLARI</t>
  </si>
  <si>
    <t>Toplam 300.0104 - KREDİ KARTLARI</t>
  </si>
  <si>
    <t>300.0105 - ROTATİF KREDİLER</t>
  </si>
  <si>
    <t>300.0105.1001 - 610-L0001339 2.000.000 TL ROTATİF KREDI KULLNIMI HALKK</t>
  </si>
  <si>
    <t>300.0105.1002 - 610-L0001398 1.000.000 TL ROTATİF KREDI KULLNIMI HALKK</t>
  </si>
  <si>
    <t>300.0105.1003 - 610-L0001400 600.000 TL ROTATİF KREDI KULLNIMI HALKK</t>
  </si>
  <si>
    <t>300.0105.1004 - 610-L0001401 950.000 TL ROTATİF KREDI KULLNIMI HALKK</t>
  </si>
  <si>
    <t>300.0105.1005 - 610-L0001410 2.400.000 TL ROTATİF KREDI KULLNIMI HALKK</t>
  </si>
  <si>
    <t>Toplam 300.0105 - ROTATİF KREDİLER</t>
  </si>
  <si>
    <t>300.0106 - SPOT KREDİ</t>
  </si>
  <si>
    <t>300.0106.1001 - 244054700846 nl.5.000.000 TLSpot Kredi Kullanımı YAPIKREDİ BANKASI</t>
  </si>
  <si>
    <t>300.0106.1002 - 244953166925 NL.SPOT KREDİ  KULLANIMI- YKB</t>
  </si>
  <si>
    <t>Toplam 300.0106 - SPOT KREDİ</t>
  </si>
  <si>
    <t>Toplam 300 - BANKA KREDİLERİ</t>
  </si>
  <si>
    <t>301 - FİNANSAL KİRALAMA İŞLEMLERİNDEN  BORÇLAR</t>
  </si>
  <si>
    <t>301.0104 - FİNANSAL KİRALAM İŞLEMLERİNDEN BORÇLAR</t>
  </si>
  <si>
    <t>301.0104.1001 - YAPI KREDİ FİNANSAL KİRALAMA   A.O.</t>
  </si>
  <si>
    <t>301.0104.1002 - KUVEYT TÜRK KATILIM BANKASI A.Ş.</t>
  </si>
  <si>
    <t>301.0104.1003 - TÜRKİYE FİNANS KATILIM BANKASI A.Ş.</t>
  </si>
  <si>
    <t>Toplam 301.0104 - FİNANSAL KİRALAM İŞLEMLERİNDEN BORÇLAR</t>
  </si>
  <si>
    <t>Toplam 301 - FİNANSAL KİRALAMA İŞLEMLERİNDEN  BORÇLAR</t>
  </si>
  <si>
    <t>302 - ERTELENMİŞ FİNANSAL KİRALAMA BORÇ   MALİYETLERİ</t>
  </si>
  <si>
    <t>302.0101 - ERTELENMİŞ FİNANSAL KİRALAMA   BORÇ MALİYETLERİ</t>
  </si>
  <si>
    <t>302.0101.1001 - YAPI KREDİ FİNANSAL KİRALAM A.O.</t>
  </si>
  <si>
    <t>302.0101.1002 - KUVEYT TÜRK KATILIM BANKASI A.Ş.</t>
  </si>
  <si>
    <t>302.0101.1003 - TÜRKİYE FİNANS KATILIM BANKASI A.Ş.</t>
  </si>
  <si>
    <t>Toplam 302.0101 - ERTELENMİŞ FİNANSAL KİRALAMA   BORÇ MALİYETLERİ</t>
  </si>
  <si>
    <t>Toplam 302 - ERTELENMİŞ FİNANSAL KİRALAMA BORÇ   MALİYETLERİ</t>
  </si>
  <si>
    <t>303 - UZUN VADELİ KREDİ ANAPARA TAKSİT VE FAİZLERİ</t>
  </si>
  <si>
    <t>303.0101 - UZUN VADELİ KREDİ ANAPARA TAKSİT VE FAİZLERİ</t>
  </si>
  <si>
    <t>303.0101.1003 - TEB TAKSİTLİ KREDİ</t>
  </si>
  <si>
    <t>303.0101.1006 - ZİRAAT BANKASI  1921-0049902608-1115 NL.KREDİ</t>
  </si>
  <si>
    <t>303.0101.1007 - ZİRAAT BANKASI 1921-49902608-1118 NL. KREDİ</t>
  </si>
  <si>
    <t>303.0101.1008 - TEB 125586445 NL KREDİ HS.</t>
  </si>
  <si>
    <t>303.0101.1009 - 242009402971 nl. Yapı Kredi Bank.Kredi Hs</t>
  </si>
  <si>
    <t>303.0101.1010 - KUVEYTTÜRK KATILIM BANKASI TAŞIT KREDİSİ</t>
  </si>
  <si>
    <t>303.0101.1011 - AKBANK -4033 TL TAKSİTLİ TİCARİ  KRD(10.000.000)</t>
  </si>
  <si>
    <t>303.0101.1012 - YKB 245653690534 NL TAKS KREDİ 7.000.000 TL</t>
  </si>
  <si>
    <t>Toplam 303.0101 - UZUN VADELİ KREDİ ANAPARA TAKSİT VE FAİZLERİ</t>
  </si>
  <si>
    <t>Toplam 303 - UZUN VADELİ KREDİ ANAPARA TAKSİT VE FAİZLERİ</t>
  </si>
  <si>
    <t>304 - TAHVİL ANAPARA BORÇ TAKSİT VE FAİZLERİ</t>
  </si>
  <si>
    <t>Toplam 304 - TAHVİL ANAPARA BORÇ TAKSİT VE FAİZLERİ</t>
  </si>
  <si>
    <t>305 - ÇIKARILMIŞ BONOLAR VE SENETLER</t>
  </si>
  <si>
    <t>Toplam 305 - ÇIKARILMIŞ BONOLAR VE SENETLER</t>
  </si>
  <si>
    <t>306 - ÇIKARILMIŞ DİĞER MENKUL KIYMETLER</t>
  </si>
  <si>
    <t>Toplam 306 - ÇIKARILMIŞ DİĞER MENKUL KIYMETLER</t>
  </si>
  <si>
    <t>308 - MENKUL KIYMETLER İHRAÇ FARKI ( - )</t>
  </si>
  <si>
    <t>Toplam 308 - MENKUL KIYMETLER İHRAÇ FARKI ( - )</t>
  </si>
  <si>
    <t>309 - DİĞER MALİ BORÇLAR</t>
  </si>
  <si>
    <t>309.0100 - KREDİ KARTLARI</t>
  </si>
  <si>
    <t>309.0100.1001 - GARANTİ BANKASI MARMARA TİCARİ ŞUBESİ (KK)</t>
  </si>
  <si>
    <t>309.0100.1002 - AKBANK FOMARA TİCARİ ŞB.(KK)</t>
  </si>
  <si>
    <t>309.0100.1003 - İŞ BANKASI BURSA TİCARİ ŞB(K.K)</t>
  </si>
  <si>
    <t>309.0100.1004 - TEB BURSA TİCARİ ŞB (K.K)</t>
  </si>
  <si>
    <t>309.0100.1006 - AKBANK OSB ŞB (K.K)</t>
  </si>
  <si>
    <t>309.0100.1009 - YAPI KREDİ BANKASI NİLÜFER ŞB (K.K)</t>
  </si>
  <si>
    <t>309.0100.1010 - QNB FİNANSBANK BURSA ŞUBESİ (K.k)</t>
  </si>
  <si>
    <t>309.0100.1011 - ZİRAAT BANKASI BURSA GİRİŞİMCİ(K.K)</t>
  </si>
  <si>
    <t>Toplam 309.0100 - KREDİ KARTLARI</t>
  </si>
  <si>
    <t>Toplam 309 - DİĞER MALİ BORÇLAR</t>
  </si>
  <si>
    <t>320 - SATICILAR</t>
  </si>
  <si>
    <t>320.0101 - YURT İÇİ SATICILAR MERKEZ</t>
  </si>
  <si>
    <t>320.0101.0000 - YURT İÇİ SATICILAR SATICI)</t>
  </si>
  <si>
    <t>Toplam 320.0101 - YURT İÇİ SATICILAR MERKEZ</t>
  </si>
  <si>
    <t>320.0102 - KULLANMAYIN</t>
  </si>
  <si>
    <t>320.0102.0000 - KULLANMAYIN</t>
  </si>
  <si>
    <t>Toplam 320.0102.0000 - KULLANMAYIN</t>
  </si>
  <si>
    <t>320.0102.0001 - KULLANMAYIN</t>
  </si>
  <si>
    <t>Toplam 320.0102.0001 - KULLANMAYIN</t>
  </si>
  <si>
    <t>Toplam 320.0102 - KULLANMAYIN</t>
  </si>
  <si>
    <t>320.0103 - KULLANAMYIN</t>
  </si>
  <si>
    <t>320.0103.0000 - KULLANMAYIN</t>
  </si>
  <si>
    <t>Toplam 320.0103.0000 - KULLANMAYIN</t>
  </si>
  <si>
    <t>Toplam 320.0103 - KULLANAMYIN</t>
  </si>
  <si>
    <t>320.0104 - KULLANMAYIN</t>
  </si>
  <si>
    <t>320.0104.0000 - KULLANMAYIN</t>
  </si>
  <si>
    <t>Toplam 320.0104.0000 - KULLANMAYIN</t>
  </si>
  <si>
    <t>Toplam 320.0104 - KULLANMAYIN</t>
  </si>
  <si>
    <t>Toplam 320 - SATICILAR</t>
  </si>
  <si>
    <t>321 - BORÇ SENETLERİ</t>
  </si>
  <si>
    <t>321.0101 - YURTİÇİ SATICILARA SENETLİ BORÇLAR</t>
  </si>
  <si>
    <t>321.0101.1001 - YURTİÇİ SATICILARA SENETLİ BORÇLAR</t>
  </si>
  <si>
    <t>Toplam 321.0101 - YURTİÇİ SATICILARA SENETLİ BORÇLAR</t>
  </si>
  <si>
    <t>321.0102 - ORTAKLARA SENETLİ BORÇLAR</t>
  </si>
  <si>
    <t>Toplam 321.0102 - ORTAKLARA SENETLİ BORÇLAR</t>
  </si>
  <si>
    <t>321.0103 - İŞTİRAKLERE SENETLİ BORÇLAR</t>
  </si>
  <si>
    <t>Toplam 321.0103 - İŞTİRAKLERE SENETLİ BORÇLAR</t>
  </si>
  <si>
    <t>321.0104 - BORÇ SENETLERİ EURO</t>
  </si>
  <si>
    <t>Toplam 321.0104 - BORÇ SENETLERİ EURO</t>
  </si>
  <si>
    <t>321.0105 - BORÇ SENETLERİ $</t>
  </si>
  <si>
    <t>Toplam 321.0105 - BORÇ SENETLERİ $</t>
  </si>
  <si>
    <t>321.0106 - ÇEKE BAĞLI BORÇLAR ( VERİLEN VADELİ ÇEKLER )</t>
  </si>
  <si>
    <t>Toplam 321.0106 - ÇEKE BAĞLI BORÇLAR ( VERİLEN VADELİ ÇEKLER )</t>
  </si>
  <si>
    <t>Toplam 321 - BORÇ SENETLERİ</t>
  </si>
  <si>
    <t>322 - BORÇ SENETLERİ REESKONTU ( - )</t>
  </si>
  <si>
    <t>322.0101 - BORÇ SENETLERİ REESKONTU ( - )</t>
  </si>
  <si>
    <t>322.0101.1001 - BORÇ SENETLERİ REESKONTU ( - )</t>
  </si>
  <si>
    <t>Toplam 322.0101 - BORÇ SENETLERİ REESKONTU ( - )</t>
  </si>
  <si>
    <t>Toplam 322 - BORÇ SENETLERİ REESKONTU ( - )</t>
  </si>
  <si>
    <t>326 - ALINAN DEPOZİTO VE TEMİNATLAR</t>
  </si>
  <si>
    <t>326.0101 - ALINAN DEPOZİTOLAR</t>
  </si>
  <si>
    <t>Toplam 326.0101 - ALINAN DEPOZİTOLAR</t>
  </si>
  <si>
    <t>326.0102 - ALINAN TEMİNATLAR</t>
  </si>
  <si>
    <t>Toplam 326.0102 - ALINAN TEMİNATLAR</t>
  </si>
  <si>
    <t>Toplam 326 - ALINAN DEPOZİTO VE TEMİNATLAR</t>
  </si>
  <si>
    <t>329 - DİĞER TİCARİ BORÇLAR</t>
  </si>
  <si>
    <t>329.0101 - DİĞER KİŞİ VE KURULUŞLARA BORÇLAR MERKEZ</t>
  </si>
  <si>
    <t>329.0101.0001 - DİĞER SATICILAR</t>
  </si>
  <si>
    <t>Toplam 329.0101 - DİĞER KİŞİ VE KURULUŞLARA BORÇLAR MERKEZ</t>
  </si>
  <si>
    <t>329.0102 - KULLANAMYIN</t>
  </si>
  <si>
    <t>Toplam 329.0102 - KULLANAMYIN</t>
  </si>
  <si>
    <t>329.0103 - KULLANAMYIN</t>
  </si>
  <si>
    <t>Toplam 329.0103 - KULLANAMYIN</t>
  </si>
  <si>
    <t>329.0104 - KULLANAMAYIN,</t>
  </si>
  <si>
    <t>Toplam 329.0104 - KULLANAMAYIN,</t>
  </si>
  <si>
    <t>Toplam 329 - DİĞER TİCARİ BORÇLAR</t>
  </si>
  <si>
    <t>331 - ORTAKLARA BORÇLAR</t>
  </si>
  <si>
    <t>331.0101 - ORTAKLARA SENETSİZ BORÇLAR</t>
  </si>
  <si>
    <t>Toplam 331.0101 - ORTAKLARA SENETSİZ BORÇLAR</t>
  </si>
  <si>
    <t>331.0102 - ORTAKLARA SENETLİ BORÇLAR</t>
  </si>
  <si>
    <t>Toplam 331.0102 - ORTAKLARA SENETLİ BORÇLAR</t>
  </si>
  <si>
    <t>331.0103 - ÖDENECEK TEMETTÜLER</t>
  </si>
  <si>
    <t>Toplam 331.0103 - ÖDENECEK TEMETTÜLER</t>
  </si>
  <si>
    <t>Toplam 331 - ORTAKLARA BORÇLAR</t>
  </si>
  <si>
    <t>332 - İŞTİRAKLERE BORÇLAR</t>
  </si>
  <si>
    <t>332.0101 - İŞTİRAKLERE SENETLİ BORÇLAR</t>
  </si>
  <si>
    <t>Toplam 332.0101 - İŞTİRAKLERE SENETLİ BORÇLAR</t>
  </si>
  <si>
    <t>332.0102 - İŞTİRAKLERE SENETSİZ  BORÇLAR</t>
  </si>
  <si>
    <t>Toplam 332.0102 - İŞTİRAKLERE SENETSİZ  BORÇLAR</t>
  </si>
  <si>
    <t>Toplam 332 - İŞTİRAKLERE BORÇLAR</t>
  </si>
  <si>
    <t>333 - BAĞLI ORTAKLIKLARA BORÇLAR</t>
  </si>
  <si>
    <t>333.0101 - BAĞLI ORTAKLIKLARA BORÇLAR</t>
  </si>
  <si>
    <t>Toplam 333.0101 - BAĞLI ORTAKLIKLARA BORÇLAR</t>
  </si>
  <si>
    <t>Toplam 333 - BAĞLI ORTAKLIKLARA BORÇLAR</t>
  </si>
  <si>
    <t>335 - PERSONELE BORÇLAR</t>
  </si>
  <si>
    <t>335.0101 - ÜCRET HAKEDİŞLERİ</t>
  </si>
  <si>
    <t>335.0101.1001 - ÜCRET HAKEDİŞLERİ</t>
  </si>
  <si>
    <t>Toplam 335.0101 - ÜCRET HAKEDİŞLERİ</t>
  </si>
  <si>
    <t>335.0102 - PERSONEL ÖZEL GİDER İNDİRİMİ</t>
  </si>
  <si>
    <t>Toplam 335.0102 - PERSONEL ÖZEL GİDER İNDİRİMİ</t>
  </si>
  <si>
    <t>335.0103 - PERSONEL TASARRUF NEMA ÖDEMELERİ</t>
  </si>
  <si>
    <t>Toplam 335.0103 - PERSONEL TASARRUF NEMA ÖDEMELERİ</t>
  </si>
  <si>
    <t>335.0104 - PERSONOLE DİĞER BORÇLAR</t>
  </si>
  <si>
    <t>Toplam 335.0104 - PERSONOLE DİĞER BORÇLAR</t>
  </si>
  <si>
    <t>Toplam 335 - PERSONELE BORÇLAR</t>
  </si>
  <si>
    <t>336 - DİĞER ÇEŞİTLİ BORÇLAR</t>
  </si>
  <si>
    <t>336.0101 - ÖDENECEK  KİRALAR</t>
  </si>
  <si>
    <t>Toplam 336.0101 - ÖDENECEK  KİRALAR</t>
  </si>
  <si>
    <t>336.0102 - DİĞER ÇEŞİTLİ BORÇLAR</t>
  </si>
  <si>
    <t>336.0102.1002 - GEÇİCİ HS</t>
  </si>
  <si>
    <t>Toplam 336.0102 - DİĞER ÇEŞİTLİ BORÇLAR</t>
  </si>
  <si>
    <t>Toplam 336 - DİĞER ÇEŞİTLİ BORÇLAR</t>
  </si>
  <si>
    <t>337 - DİĞER BORÇ SENETLERİ REESKONTU ( - )</t>
  </si>
  <si>
    <t>Toplam 337 - DİĞER BORÇ SENETLERİ REESKONTU ( - )</t>
  </si>
  <si>
    <t>340 - ALINAN SİPARİŞ AVANSLARI</t>
  </si>
  <si>
    <t>340.0101 - ALINAN SİPARİŞ AVANSLARI MERKEZ</t>
  </si>
  <si>
    <t>340.0101.1001 - ALINAN SİPARİŞ AVANSLARI</t>
  </si>
  <si>
    <t>Toplam 340.0101 - ALINAN SİPARİŞ AVANSLARI MERKEZ</t>
  </si>
  <si>
    <t>340.0102 - ALINAN SİPARİŞ AVANSLARI BURSA</t>
  </si>
  <si>
    <t>Toplam 340.0102 - ALINAN SİPARİŞ AVANSLARI BURSA</t>
  </si>
  <si>
    <t>340.0103 - ALINAN SİPARİŞ AVANSLARI  İZMİR</t>
  </si>
  <si>
    <t>Toplam 340.0103 - ALINAN SİPARİŞ AVANSLARI  İZMİR</t>
  </si>
  <si>
    <t>340.0104 - ALINAN SİPARİŞ AVANSLARI ANTALYA</t>
  </si>
  <si>
    <t>Toplam 340.0104 - ALINAN SİPARİŞ AVANSLARI ANTALYA</t>
  </si>
  <si>
    <t>340.9999 - ALINAN SİPARİŞ AVANSLARI  ENFLASYON FARKI</t>
  </si>
  <si>
    <t>Toplam 340.9999 - ALINAN SİPARİŞ AVANSLARI  ENFLASYON FARKI</t>
  </si>
  <si>
    <t>Toplam 340 - ALINAN SİPARİŞ AVANSLARI</t>
  </si>
  <si>
    <t>349 - ALINAN  DİĞER AVANSLAR</t>
  </si>
  <si>
    <t>Toplam 349 - ALINAN  DİĞER AVANSLAR</t>
  </si>
  <si>
    <t>350 - YILLARA YAYGIN İNŞAAT VE ONARIM HAKEDİŞLERİ</t>
  </si>
  <si>
    <t>Toplam 350 - YILLARA YAYGIN İNŞAAT VE ONARIM HAKEDİŞLERİ</t>
  </si>
  <si>
    <t>360 - ÖDENECEK VERGİ VE FONLAR</t>
  </si>
  <si>
    <t>360.0101 - MÜKELLEF OLARAK ÖDENECEK VERGİ VE FONLAR</t>
  </si>
  <si>
    <t>360.0101.1001 - ÖDENECEK KURUMLAR VERGİSİ</t>
  </si>
  <si>
    <t>360.0101.1002 - ÖDENECEK GEÇİCİ VERGİ</t>
  </si>
  <si>
    <t>Toplam 360.0101 - MÜKELLEF OLARAK ÖDENECEK VERGİ VE FONLAR</t>
  </si>
  <si>
    <t>360.0201 - SORUMLU SIFATI İLE ÖDENECEK VERGİ VE FONLAR</t>
  </si>
  <si>
    <t>360.0201.1001 - ÜCRETLİLER GELİR VERGİSİ</t>
  </si>
  <si>
    <t>360.0201.2001 - ÜCRETLİLER DAMGA VERGİSİ</t>
  </si>
  <si>
    <t>360.0201.3001 - ÖDENECEK  SERBEST MESLEK GELİR VERGİSİ</t>
  </si>
  <si>
    <t>360.0201.4001 - ÖDENECEK KİRALAR GELİR VERGİSİ</t>
  </si>
  <si>
    <t>360.0201.5001 - ÖDENECEK KDV</t>
  </si>
  <si>
    <t>Toplam 360.0201 - SORUMLU SIFATI İLE ÖDENECEK VERGİ VE FONLAR</t>
  </si>
  <si>
    <t>Toplam 360 - ÖDENECEK VERGİ VE FONLAR</t>
  </si>
  <si>
    <t>361 - ÖDENECEK SOSYAL  GÜVENLİK KESİNTİLERİ</t>
  </si>
  <si>
    <t>361.0101 - ÖDENECEK SSK PRİMLERİ</t>
  </si>
  <si>
    <t>361.0101.1001 - ÖDENECEK SSK PRİMLERİ</t>
  </si>
  <si>
    <t>361.0101.1002 - ÖDENECEK BİREYSEL E.  PRİMİ</t>
  </si>
  <si>
    <t>Toplam 361.0101 - ÖDENECEK SSK PRİMLERİ</t>
  </si>
  <si>
    <t>361.0102 - ÖDENECEK SOSYAL GÜVENLİK DESTEKLEME PRİMİ</t>
  </si>
  <si>
    <t>Toplam 361.0102 - ÖDENECEK SOSYAL GÜVENLİK DESTEKLEME PRİMİ</t>
  </si>
  <si>
    <t>361.0103 - ÖDENECEK İŞSİZLİK SİGORTASI</t>
  </si>
  <si>
    <t>361.0103.1001 - ÖDENECEK İŞSİZLİK SİGORTASI</t>
  </si>
  <si>
    <t>Toplam 361.0103 - ÖDENECEK İŞSİZLİK SİGORTASI</t>
  </si>
  <si>
    <t>Toplam 361 - ÖDENECEK SOSYAL  GÜVENLİK KESİNTİLERİ</t>
  </si>
  <si>
    <t>368 - VADESİ GEÇM.ERTEL.VEYA TAKSİTL.VERGİ VE DİĞ.YÜKÜM.</t>
  </si>
  <si>
    <t>Toplam 368 - VADESİ GEÇM.ERTEL.VEYA TAKSİTL.VERGİ VE DİĞ.YÜKÜM.</t>
  </si>
  <si>
    <t>369 - ÖDENECEK DİĞER YÜKÜMLÜLÜKLER</t>
  </si>
  <si>
    <t>Toplam 369 - ÖDENECEK DİĞER YÜKÜMLÜLÜKLER</t>
  </si>
  <si>
    <t>370 - DÖNEM KARI VERGİ VE DİĞ.YASAL YÜKÜML.KARŞILIKL.(-)</t>
  </si>
  <si>
    <t>370.0101 - VERGİ KARŞILIKLARI</t>
  </si>
  <si>
    <t>370.0101.1001 - KURUMLAR VERGİSİ KARŞILIĞI</t>
  </si>
  <si>
    <t>Toplam 370.0101 - VERGİ KARŞILIKLARI</t>
  </si>
  <si>
    <t>Toplam 370 - DÖNEM KARI VERGİ VE DİĞ.YASAL YÜKÜML.KARŞILIKL.(-)</t>
  </si>
  <si>
    <t>371 - DÖNEM KARI VERGİ VE DİĞ.YASAL YÜKÜML.KARŞILIKLARI</t>
  </si>
  <si>
    <t>371.0101 - VERGİ KARŞILIKLARI</t>
  </si>
  <si>
    <t>371.0101.1001 - GEÇİCİ VERGİ</t>
  </si>
  <si>
    <t>Toplam 371.0101 - VERGİ KARŞILIKLARI</t>
  </si>
  <si>
    <t>Toplam 371 - DÖNEM KARI VERGİ VE DİĞ.YASAL YÜKÜML.KARŞILIKLARI</t>
  </si>
  <si>
    <t>372 - KIDEM TAZMİNATI KARŞILIKLARI</t>
  </si>
  <si>
    <t>Toplam 372 - KIDEM TAZMİNATI KARŞILIKLARI</t>
  </si>
  <si>
    <t>373 - MALİYET GİDERLERİ KARŞILIĞI</t>
  </si>
  <si>
    <t>373.0101 - AMORTİSMAN GİDERLERİ</t>
  </si>
  <si>
    <t>373.0101.1001 - 1.DÖNEM AMORTİSMAN GİDERLERİ</t>
  </si>
  <si>
    <t>373.0101.1002 - 2.DÖNEM AMORTİSMAN GİDERLERİ</t>
  </si>
  <si>
    <t>Toplam 373.0101 - AMORTİSMAN GİDERLERİ</t>
  </si>
  <si>
    <t>Toplam 373 - MALİYET GİDERLERİ KARŞILIĞI</t>
  </si>
  <si>
    <t>379 - DİĞER BORÇ VE GİDER KARŞILIKLARI</t>
  </si>
  <si>
    <t>Toplam 379 - DİĞER BORÇ VE GİDER KARŞILIKLARI</t>
  </si>
  <si>
    <t>380 - GELECEK AYLARA AİT GELİRLER</t>
  </si>
  <si>
    <t>380.0101 - GELECEK AYLARA AİT GELİRLER</t>
  </si>
  <si>
    <t>Toplam 380.0101 - GELECEK AYLARA AİT GELİRLER</t>
  </si>
  <si>
    <t>380.0102 - PRİM TAHAKUKLARI</t>
  </si>
  <si>
    <t>Toplam 380.0102 - PRİM TAHAKUKLARI</t>
  </si>
  <si>
    <t>380.0103 - REPO TAHAKKUKLARI</t>
  </si>
  <si>
    <t>Toplam 380.0103 - REPO TAHAKKUKLARI</t>
  </si>
  <si>
    <t>380.0104 - GELECEK AYLARA AİT SATIŞ GELİRLERİ</t>
  </si>
  <si>
    <t>Toplam 380.0104 - GELECEK AYLARA AİT SATIŞ GELİRLERİ</t>
  </si>
  <si>
    <t>380.0110 - ENFLASYON FARKLARI</t>
  </si>
  <si>
    <t>Toplam 380.0110 - ENFLASYON FARKLARI</t>
  </si>
  <si>
    <t>380.9999 - GELECEK AYLARA AİT GELİRLER ENF  FARKLARI</t>
  </si>
  <si>
    <t>Toplam 380.9999 - GELECEK AYLARA AİT GELİRLER ENF  FARKLARI</t>
  </si>
  <si>
    <t>Toplam 380 - GELECEK AYLARA AİT GELİRLER</t>
  </si>
  <si>
    <t>381 - GİDER TAHAKKUKLARI</t>
  </si>
  <si>
    <t>381.0101 - ÖDENECEK ÜCRETLER</t>
  </si>
  <si>
    <t>Toplam 381.0101 - ÖDENECEK ÜCRETLER</t>
  </si>
  <si>
    <t>381.0102 - ÖDENECEK KRAMİYELER</t>
  </si>
  <si>
    <t>Toplam 381.0102 - ÖDENECEK KRAMİYELER</t>
  </si>
  <si>
    <t>381.0103 - ÖDENECEK GİDERLER</t>
  </si>
  <si>
    <t>Toplam 381.0103 - ÖDENECEK GİDERLER</t>
  </si>
  <si>
    <t>381.0104 - ÖDENECEK FAİZLER</t>
  </si>
  <si>
    <t>Toplam 381.0104 - ÖDENECEK FAİZLER</t>
  </si>
  <si>
    <t>381.0105 - ÖDENECEK TELEFON GİD.</t>
  </si>
  <si>
    <t>Toplam 381.0105 - ÖDENECEK TELEFON GİD.</t>
  </si>
  <si>
    <t>381.0106 - ÖDENECEK SU GİDERLERİ</t>
  </si>
  <si>
    <t>Toplam 381.0106 - ÖDENECEK SU GİDERLERİ</t>
  </si>
  <si>
    <t>381.0107 - ÖDENECEK ELEKTRİK GİDERLERİ</t>
  </si>
  <si>
    <t>Toplam 381.0107 - ÖDENECEK ELEKTRİK GİDERLERİ</t>
  </si>
  <si>
    <t>381.0108 - ÖDENECEK LPG VE DOĞALGAZ GİD</t>
  </si>
  <si>
    <t>Toplam 381.0108 - ÖDENECEK LPG VE DOĞALGAZ GİD</t>
  </si>
  <si>
    <t>Toplam 381 - GİDER TAHAKKUKLARI</t>
  </si>
  <si>
    <t>391 - HESAPLANAN KATMA DEĞER VERGİSİ</t>
  </si>
  <si>
    <t>391.0101 - HESAPLANAN KDV</t>
  </si>
  <si>
    <t>391.0101.0001 - KDV %1</t>
  </si>
  <si>
    <t>391.0101.0008 - KDV % 8</t>
  </si>
  <si>
    <t>391.0101.0010 - KDV % 10</t>
  </si>
  <si>
    <t>391.0101.0018 - KDV % 18</t>
  </si>
  <si>
    <t>391.0101.0020 - KDV % 20</t>
  </si>
  <si>
    <t>391.0101.1006 - 5/10 HESAPLANAN %20</t>
  </si>
  <si>
    <t>Toplam 391.0101 - HESAPLANAN KDV</t>
  </si>
  <si>
    <t>391.0202 - ALIŞ İADELERİ KDV</t>
  </si>
  <si>
    <t>391.0202.0001 - ALIŞ İADELERİ KDV</t>
  </si>
  <si>
    <t>391.0202.0002 - 2/10 ALIŞ İADELERİ KDV</t>
  </si>
  <si>
    <t>391.0202.0004 - 5/10 ALIŞ İADELERİ KDV</t>
  </si>
  <si>
    <t>Toplam 391.0202 - ALIŞ İADELERİ KDV</t>
  </si>
  <si>
    <t>391.0303 - VAZGEÇİLEN İŞLEM KDV</t>
  </si>
  <si>
    <t>Toplam 391.0303 - VAZGEÇİLEN İŞLEM KDV</t>
  </si>
  <si>
    <t>391.0404 - İNDİRİMİ MÜMKÜN OLMAYAN KDV</t>
  </si>
  <si>
    <t>Toplam 391.0404 - İNDİRİMİ MÜMKÜN OLMAYAN KDV</t>
  </si>
  <si>
    <t>391.0505 - FAZLA VE YERSİZ HESAPLANAN KDV</t>
  </si>
  <si>
    <t>Toplam 391.0505 - FAZLA VE YERSİZ HESAPLANAN KDV</t>
  </si>
  <si>
    <t>391.0606 - TEVKİFAT KAPSAMIMDA  Kİ HESAPL KDV</t>
  </si>
  <si>
    <t>391.0606.1022 - 2/10 SORUMLU SIFATI İLE HESAPLANAN  KDV   %20</t>
  </si>
  <si>
    <t>391.0606.1023 - 5/10 SORUMLU SIFATI İLE HESAPLANAN  KDV   %20</t>
  </si>
  <si>
    <t>391.0606.1024 - 9/10 SORUMLU SIFATI İLE HESAPLANAN  KDV   %20</t>
  </si>
  <si>
    <t>Toplam 391.0606 - TEVKİFAT KAPSAMIMDA  Kİ HESAPL KDV</t>
  </si>
  <si>
    <t>Toplam 391 - HESAPLANAN KATMA DEĞER VERGİSİ</t>
  </si>
  <si>
    <t>392 - DİĞER KATMA DEĞER VERGİSİ</t>
  </si>
  <si>
    <t>392.0101 - ERTELENEN KDV</t>
  </si>
  <si>
    <t>Toplam 392.0101 - ERTELENEN KDV</t>
  </si>
  <si>
    <t>392.0102 - TECİL EDİLECEK KDV</t>
  </si>
  <si>
    <t>Toplam 392.0102 - TECİL EDİLECEK KDV</t>
  </si>
  <si>
    <t>392.0103 - TERKİN EDİLECEK KDV</t>
  </si>
  <si>
    <t>Toplam 392.0103 - TERKİN EDİLECEK KDV</t>
  </si>
  <si>
    <t>Toplam 392 - DİĞER KATMA DEĞER VERGİSİ</t>
  </si>
  <si>
    <t>393 - MERKEZ VE ŞUBELER CARİ HESABI</t>
  </si>
  <si>
    <t>393.0101 - MERKEZ CARİ HESABI</t>
  </si>
  <si>
    <t>Toplam 393.0101 - MERKEZ CARİ HESABI</t>
  </si>
  <si>
    <t>393.0102 - ŞUBELER CARİ HESABI</t>
  </si>
  <si>
    <t>Toplam 393.0102 - ŞUBELER CARİ HESABI</t>
  </si>
  <si>
    <t>Toplam 393 - MERKEZ VE ŞUBELER CARİ HESABI</t>
  </si>
  <si>
    <t>397 - SAYIM VE TESELLÜM FAZLALIKLARI</t>
  </si>
  <si>
    <t>397.0101 - KASA SAYIM FAZLALIKLARI</t>
  </si>
  <si>
    <t>Toplam 397.0101 - KASA SAYIM FAZLALIKLARI</t>
  </si>
  <si>
    <t>397.0102 - STOK SAYIM FAZLALIKLARI</t>
  </si>
  <si>
    <t>Toplam 397.0102 - STOK SAYIM FAZLALIKLARI</t>
  </si>
  <si>
    <t>Toplam 397 - SAYIM VE TESELLÜM FAZLALIKLARI</t>
  </si>
  <si>
    <t>399 - DİĞER ÇEŞİTLİ YABANCI KAYNAKLAR</t>
  </si>
  <si>
    <t>Toplam 399 - DİĞER ÇEŞİTLİ YABANCI KAYNAKLAR</t>
  </si>
  <si>
    <t>400 - UZUN VADELİ KREDİLER</t>
  </si>
  <si>
    <t>400.0101 - İŞLETME KREDİLERİ</t>
  </si>
  <si>
    <t>400.0101.1002 - ZİRAAT BANKASI TAKSİTLİ DESTEK KREDİSİ</t>
  </si>
  <si>
    <t>400.0101.1004 - TEB BANKASI TAKSİTLİ KREDİ</t>
  </si>
  <si>
    <t>400.0101.1006 - YAPI KREDİ BANKASI NAKİT KREDİ HS.</t>
  </si>
  <si>
    <t>400.0101.1011 - 180</t>
  </si>
  <si>
    <t>400.0101.1008 - TEB 125586445 NL KREDİ HS.</t>
  </si>
  <si>
    <t>400.0101.1012 - YKB 245653690534 NL TAKS KREDİ 7.000.000 TL</t>
  </si>
  <si>
    <t>Toplam 400.0101 - İŞLETME KREDİLERİ</t>
  </si>
  <si>
    <t>400.0102 - TAŞIT KREDİLERİ</t>
  </si>
  <si>
    <t>400.0102.1001 - KUVEYT TÜRK KATILIM BANKASI KREDİ HS.</t>
  </si>
  <si>
    <t>Toplam 400.0102 - TAŞIT KREDİLERİ</t>
  </si>
  <si>
    <t>Toplam 400 - UZUN VADELİ KREDİLER</t>
  </si>
  <si>
    <t>401 - FİNANSAL KİRALAMA İŞLEMLERİNDEN BORÇLAR (UZ VAD)</t>
  </si>
  <si>
    <t>401.0101 - FİNANSAL KİRALAMA İŞLEMLERİNDEN BORÇLAR (UZ VAD)</t>
  </si>
  <si>
    <t>401.0101.1001 - YAPI KREDİ FİNANSAL KİRALAM  A.O</t>
  </si>
  <si>
    <t>401.0101.1002 - KUVEYT TÜRK KATILIM BANKASI A.Ş.</t>
  </si>
  <si>
    <t>401.0101.1003 - TÜRKİYE FİNANS KATILIM BANKASI A.Ş.</t>
  </si>
  <si>
    <t>Toplam 401.0101 - FİNANSAL KİRALAMA İŞLEMLERİNDEN BORÇLAR (UZ VAD)</t>
  </si>
  <si>
    <t>Toplam 401 - FİNANSAL KİRALAMA İŞLEMLERİNDEN BORÇLAR (UZ VAD)</t>
  </si>
  <si>
    <t>402 - ERTELENMİŞ FİNANSAL KİRALAMA BORÇ MALİYETLERİ</t>
  </si>
  <si>
    <t>402.0101 - ERTELENMİŞ FİNANSAL KİRALMA   MALİYETLERİ</t>
  </si>
  <si>
    <t>402.0101.1001 - YAPI KREDİ FİNANSAL KİRALAM  A.O</t>
  </si>
  <si>
    <t>402.0101.1002 - KUVEYT TÜRK KATILIM BANKASI A.Ş.</t>
  </si>
  <si>
    <t>402.0101.1003 - TÜRKİYE FİNANS KATILIM BANKASI A.Ş.</t>
  </si>
  <si>
    <t>Toplam 402.0101 - ERTELENMİŞ FİNANSAL KİRALMA   MALİYETLERİ</t>
  </si>
  <si>
    <t>Toplam 402 - ERTELENMİŞ FİNANSAL KİRALAMA BORÇ MALİYETLERİ</t>
  </si>
  <si>
    <t>405 - ÇIKARILMIŞ TAHVİLLER</t>
  </si>
  <si>
    <t>Toplam 405 - ÇIKARILMIŞ TAHVİLLER</t>
  </si>
  <si>
    <t>407 - ÇIKARILMIŞ DİĞER MENKUL KIYMETLER</t>
  </si>
  <si>
    <t>Toplam 407 - ÇIKARILMIŞ DİĞER MENKUL KIYMETLER</t>
  </si>
  <si>
    <t>408 - MENKUL KIYMETLER İHRAÇ FARKI ( -)</t>
  </si>
  <si>
    <t>Toplam 408 - MENKUL KIYMETLER İHRAÇ FARKI ( -)</t>
  </si>
  <si>
    <t>409 - DİĞER MALİ BORÇLAR</t>
  </si>
  <si>
    <t>Toplam 409 - DİĞER MALİ BORÇLAR</t>
  </si>
  <si>
    <t>420 - SATICILAR</t>
  </si>
  <si>
    <t>Toplam 420 - SATICILAR</t>
  </si>
  <si>
    <t>421 - BORÇ SENETLERİ</t>
  </si>
  <si>
    <t>Toplam 421 - BORÇ SENETLERİ</t>
  </si>
  <si>
    <t>422 - BORÇ SENETLERİ REESKONTU ( - )</t>
  </si>
  <si>
    <t>Toplam 422 - BORÇ SENETLERİ REESKONTU ( - )</t>
  </si>
  <si>
    <t>429 - DİĞER TİCARİ BORÇLAR</t>
  </si>
  <si>
    <t>Toplam 429 - DİĞER TİCARİ BORÇLAR</t>
  </si>
  <si>
    <t>431 - ORTAKLARA BORÇLAR</t>
  </si>
  <si>
    <t>Toplam 431 - ORTAKLARA BORÇLAR</t>
  </si>
  <si>
    <t>433 - BAĞLI ORTAKLARA BORÇLAR</t>
  </si>
  <si>
    <t>Toplam 433 - BAĞLI ORTAKLARA BORÇLAR</t>
  </si>
  <si>
    <t>436 - DİĞER ÇEŞİTLİ BORÇLAR</t>
  </si>
  <si>
    <t>Toplam 436 - DİĞER ÇEŞİTLİ BORÇLAR</t>
  </si>
  <si>
    <t>438 - KAMUYA ERTELENMİŞ TAKSİTLENDİRİLMİŞ BORÇLAR</t>
  </si>
  <si>
    <t>Toplam 438 - KAMUYA ERTELENMİŞ TAKSİTLENDİRİLMİŞ BORÇLAR</t>
  </si>
  <si>
    <t>440 - ALINAN SİPARİŞ AVANSLARI</t>
  </si>
  <si>
    <t>Toplam 440 - ALINAN SİPARİŞ AVANSLARI</t>
  </si>
  <si>
    <t>449 - ALINAN DİĞER AVANSLAR</t>
  </si>
  <si>
    <t>Toplam 449 - ALINAN DİĞER AVANSLAR</t>
  </si>
  <si>
    <t>472 - KIDEM TAZMİNATI KARŞILIĞI</t>
  </si>
  <si>
    <t>472.0101 - KIDEM TAZMİNATI KARŞILIĞI</t>
  </si>
  <si>
    <t>Toplam 472.0101 - KIDEM TAZMİNATI KARŞILIĞI</t>
  </si>
  <si>
    <t>Toplam 472 - KIDEM TAZMİNATI KARŞILIĞI</t>
  </si>
  <si>
    <t>479 - DİĞER BORÇ VE GİDER KARŞILIKLARI</t>
  </si>
  <si>
    <t>Toplam 479 - DİĞER BORÇ VE GİDER KARŞILIKLARI</t>
  </si>
  <si>
    <t>480 - GELECEK YILLARA AİT GELİRLER</t>
  </si>
  <si>
    <t>480.0101 - KİRA GELİRLERİ</t>
  </si>
  <si>
    <t>Toplam 480.0101 - KİRA GELİRLERİ</t>
  </si>
  <si>
    <t>480.0102 - FAİZ GELİRLERİ</t>
  </si>
  <si>
    <t>Toplam 480.0102 - FAİZ GELİRLERİ</t>
  </si>
  <si>
    <t>480.0109 - DİĞER GELİRLER</t>
  </si>
  <si>
    <t>Toplam 480.0109 - DİĞER GELİRLER</t>
  </si>
  <si>
    <t>Toplam 480 - GELECEK YILLARA AİT GELİRLER</t>
  </si>
  <si>
    <t>481 - GELECEK YILLARA AİT GİDER TAHAKKUKLARI</t>
  </si>
  <si>
    <t>Toplam 481 - GELECEK YILLARA AİT GİDER TAHAKKUKLARI</t>
  </si>
  <si>
    <t>491 - GELECEK YILLARA ERTELENEN VEYA TERKİN ED KDV</t>
  </si>
  <si>
    <t>Toplam 491 - GELECEK YILLARA ERTELENEN VEYA TERKİN ED KDV</t>
  </si>
  <si>
    <t>493 - TESİSE KATILMA PAYLARI</t>
  </si>
  <si>
    <t>Toplam 493 - TESİSE KATILMA PAYLARI</t>
  </si>
  <si>
    <t>Toplam Yabancı Kaynaklar</t>
  </si>
  <si>
    <t>Öz Kaynaklar</t>
  </si>
  <si>
    <t>500 - SERMAYE</t>
  </si>
  <si>
    <t>500.0101 - SERMAYE</t>
  </si>
  <si>
    <t>500.0101.1001 - SERMAYE HESABI</t>
  </si>
  <si>
    <t>Toplam 500.0101 - SERMAYE</t>
  </si>
  <si>
    <t>500.0102 - SERMAYE ENF.FARKI</t>
  </si>
  <si>
    <t>Toplam 500.0102 - SERMAYE ENF.FARKI</t>
  </si>
  <si>
    <t>Toplam 500 - SERMAYE</t>
  </si>
  <si>
    <t>501 - ÖDENMEMİŞ SERMAYE ( - )</t>
  </si>
  <si>
    <t>501.0101 - ÖDENMEMİŞ SERMAYE ( - )</t>
  </si>
  <si>
    <t>Toplam 501.0101 - ÖDENMEMİŞ SERMAYE ( - )</t>
  </si>
  <si>
    <t>Toplam 501 - ÖDENMEMİŞ SERMAYE ( - )</t>
  </si>
  <si>
    <t>502 - SERMAYE DÜZELTMESİ OLUMLU FARKLARI</t>
  </si>
  <si>
    <t>502.0101 - SERMAYE DÜZELTMESİ OLUMLU FARKLARI</t>
  </si>
  <si>
    <t>502.0101.0000 - SERMAYE DÜZELTMESİ OLUMLU FARKLARI</t>
  </si>
  <si>
    <t>Toplam 502.0101 - SERMAYE DÜZELTMESİ OLUMLU FARKLARI</t>
  </si>
  <si>
    <t>Toplam 502 - SERMAYE DÜZELTMESİ OLUMLU FARKLARI</t>
  </si>
  <si>
    <t>503 - SERMAYE DÜZELTMESİ OLUMSUZ FARKLARI ( -)</t>
  </si>
  <si>
    <t>503.0101 - SERMAYE DÜZELTMESİ OLUMSUZ FARKLARI ( -)</t>
  </si>
  <si>
    <t>Toplam 503.0101 - SERMAYE DÜZELTMESİ OLUMSUZ FARKLARI ( -)</t>
  </si>
  <si>
    <t>Toplam 503 - SERMAYE DÜZELTMESİ OLUMSUZ FARKLARI ( -)</t>
  </si>
  <si>
    <t>520 - HİSSE SENEDİ İHRAÇ PRİMLERİ</t>
  </si>
  <si>
    <t>Toplam 520 - HİSSE SENEDİ İHRAÇ PRİMLERİ</t>
  </si>
  <si>
    <t>521 - HİSSE SENEDİ İPTAL KARLARI</t>
  </si>
  <si>
    <t>Toplam 521 - HİSSE SENEDİ İPTAL KARLARI</t>
  </si>
  <si>
    <t>522 - M.D.V.YENİDEN DEĞERLEME DEĞER ARTIŞ FONU</t>
  </si>
  <si>
    <t>522.0101 - M.D.V.YENİDEN DEĞERLEME DEĞER ARTIŞ FONU</t>
  </si>
  <si>
    <t>Toplam 522.0101 - M.D.V.YENİDEN DEĞERLEME DEĞER ARTIŞ FONU</t>
  </si>
  <si>
    <t>Toplam 522 - M.D.V.YENİDEN DEĞERLEME DEĞER ARTIŞ FONU</t>
  </si>
  <si>
    <t>523 - İŞTİRAKLER YENİDEN DEĞERL.DEĞER ARTIŞLARI</t>
  </si>
  <si>
    <t>Toplam 523 - İŞTİRAKLER YENİDEN DEĞERL.DEĞER ARTIŞLARI</t>
  </si>
  <si>
    <t>529 - DİĞER SERMAYE YEDEKLERİ</t>
  </si>
  <si>
    <t>Toplam 529 - DİĞER SERMAYE YEDEKLERİ</t>
  </si>
  <si>
    <t>540 - YASAL YEDEKLER</t>
  </si>
  <si>
    <t>540.0101 - YASAL YEDEKLER</t>
  </si>
  <si>
    <t>540.0101.1000 - I.TERTİP YASAL YEDEKLER</t>
  </si>
  <si>
    <t>540.0101.1001 - II.TERTİP YASAL YEDEKLER</t>
  </si>
  <si>
    <t>Toplam 540.0101 - YASAL YEDEKLER</t>
  </si>
  <si>
    <t>540.0102 - YASAL YEDEKLER ENF.FARKI</t>
  </si>
  <si>
    <t>Toplam 540.0102 - YASAL YEDEKLER ENF.FARKI</t>
  </si>
  <si>
    <t>540.9999 - YASAL YEDEKLER ENF FARKI</t>
  </si>
  <si>
    <t>540.9999.0001 - I TERTİP YEDEK AKÇE ENF FARKI</t>
  </si>
  <si>
    <t>540.9999.0002 - II TERTİP YEDEK AKÇE ENF  FARKI</t>
  </si>
  <si>
    <t>Toplam 540.9999 - YASAL YEDEKLER ENF FARKI</t>
  </si>
  <si>
    <t>Toplam 540 - YASAL YEDEKLER</t>
  </si>
  <si>
    <t>541 - STATÜ YEDEKLERİ</t>
  </si>
  <si>
    <t>Toplam 541 - STATÜ YEDEKLERİ</t>
  </si>
  <si>
    <t>542 - OLAĞANÜSTÜ YEDEKLER</t>
  </si>
  <si>
    <t>542.0101 - OLAĞANÜSTÜ YEDEKLER</t>
  </si>
  <si>
    <t>542.0101.0000 - OLAĞANÜSTÜ YEDEKLER</t>
  </si>
  <si>
    <t>Toplam 542.0101 - OLAĞANÜSTÜ YEDEKLER</t>
  </si>
  <si>
    <t>542.0102 - OLAĞANÜSTÜ YEDEKLER ENF.FARKI</t>
  </si>
  <si>
    <t>Toplam 542.0102 - OLAĞANÜSTÜ YEDEKLER ENF.FARKI</t>
  </si>
  <si>
    <t>542.9999 - OLAĞANÜSTÜ YEDEKLER ENF FARKI</t>
  </si>
  <si>
    <t>542.9999.0001 - OLAĞAN ÜSTÜ YEDEKLER ENF FARKI</t>
  </si>
  <si>
    <t>Toplam 542.9999 - OLAĞANÜSTÜ YEDEKLER ENF FARKI</t>
  </si>
  <si>
    <t>Toplam 542 - OLAĞANÜSTÜ YEDEKLER</t>
  </si>
  <si>
    <t>548 - DİĞER KAR YEDEKLERİ</t>
  </si>
  <si>
    <t>Toplam 548 - DİĞER KAR YEDEKLERİ</t>
  </si>
  <si>
    <t>549 - ÖZEL FONLAR</t>
  </si>
  <si>
    <t>Toplam 549 - ÖZEL FONLAR</t>
  </si>
  <si>
    <t>549.0000 - GAYRİMENKUL SATIŞ KAZANCI</t>
  </si>
  <si>
    <t>549.0000.0001 - BURSA KARACABEY MURATLI MAH 0/56 PARSELL ARSA</t>
  </si>
  <si>
    <t>549.9999.0001 - ÖZEL FONLAR ENF FARKI</t>
  </si>
  <si>
    <t>Toplam 549.0000 - GAYRİMENKUL SATIŞ KAZANCI</t>
  </si>
  <si>
    <t>570 - GEÇMİŞ YIL KARLARI</t>
  </si>
  <si>
    <t>570.0101 - GEÇMİŞ YIL KARLARI</t>
  </si>
  <si>
    <t>Toplam 570.0101 - GEÇMİŞ YIL KARLARI</t>
  </si>
  <si>
    <t>570.9999 - ENFLASYON DÜZELTMESİ KARLARI</t>
  </si>
  <si>
    <t>570.9999.0001 - 2023YILI ENFLASYON DÜZELTMESİ KARI</t>
  </si>
  <si>
    <t>Toplam 570.9999 - ENFLASYON DÜZELTMESİ KARLARI</t>
  </si>
  <si>
    <t>Toplam 570 - GEÇMİŞ YIL KARLARI</t>
  </si>
  <si>
    <t>580 - GEÇMİŞ YIL ZARARLARI</t>
  </si>
  <si>
    <t>580.0101 - GEÇMİŞ YIL ZARARLARI</t>
  </si>
  <si>
    <t>Toplam 580.0101 - GEÇMİŞ YIL ZARARLARI</t>
  </si>
  <si>
    <t>Toplam 580 - GEÇMİŞ YIL ZARARLARI</t>
  </si>
  <si>
    <t>590 - DÖNEM NET KARI</t>
  </si>
  <si>
    <t>590.0101 - DÖNEM NET KARI</t>
  </si>
  <si>
    <t>Toplam 590.0101 - DÖNEM NET KARI</t>
  </si>
  <si>
    <t>Toplam 590 - DÖNEM NET KARI</t>
  </si>
  <si>
    <t>591 - DÖNEM NET ZARARI</t>
  </si>
  <si>
    <t>591.0101 - DÖNEM NET ZARARI</t>
  </si>
  <si>
    <t>Toplam 591.0101 - DÖNEM NET ZARARI</t>
  </si>
  <si>
    <t>Toplam 591 - DÖNEM NET ZARARI</t>
  </si>
  <si>
    <t>Toplam Öz Kaynaklar</t>
  </si>
  <si>
    <t>Satışlar</t>
  </si>
  <si>
    <t>600 - YURT İÇİ SATIŞ HASILATI</t>
  </si>
  <si>
    <t>600.0101 - YURT İÇİ SATIŞLARI</t>
  </si>
  <si>
    <t>600.0101.1010 - SATIŞ-010 ECA KROM</t>
  </si>
  <si>
    <t>600.0101.1011 - SATIŞ-011 ARYAK KROM</t>
  </si>
  <si>
    <t>600.0101.1012 - SATIŞ-012 KALE KROM</t>
  </si>
  <si>
    <t>600.0101.1013 - SATIŞ-013 DİĞER KROM</t>
  </si>
  <si>
    <t>600.0101.1020 - SATIŞ-020 ECA SARI</t>
  </si>
  <si>
    <t>600.0101.1030 - SATIŞ-030 SEREL VİT</t>
  </si>
  <si>
    <t>600.0101.1031 - SATIŞ-031 KALE VİT</t>
  </si>
  <si>
    <t>600.0101.1032 - SATIŞ-032 DİĞER VİT</t>
  </si>
  <si>
    <t>600.0101.1040 - SATIŞ-040 KALE SERAMİK</t>
  </si>
  <si>
    <t>600.0101.1050 - SATIŞ-050 KÜV.TEKN. KAB</t>
  </si>
  <si>
    <t>600.0101.1060 - SATIŞ-060 MUTFAK CHZ</t>
  </si>
  <si>
    <t>600.0101.1090 - SATIŞ-090 BANYO MOB.AKS</t>
  </si>
  <si>
    <t>600.0101.1100 - SATIŞ-100 RADYATÖRLER</t>
  </si>
  <si>
    <t>600.0101.1110 - SATIŞ-110 KOMBI</t>
  </si>
  <si>
    <t>600.0101.1111 - SATIŞ-111 DİĞER ISI</t>
  </si>
  <si>
    <t>600.0101.1120 - SATIŞ-120 YAPIŞTIRICI</t>
  </si>
  <si>
    <t>600.0101.1121 - SATIŞ-121 FUGA</t>
  </si>
  <si>
    <t>600.0101.1122 - SATIŞ-122 FAYSER</t>
  </si>
  <si>
    <t>600.0101.1130 - SATIŞ-130 İZOLASYON</t>
  </si>
  <si>
    <t>600.0101.1140 - SATIŞ-140 BOYA</t>
  </si>
  <si>
    <t>600.0101.1160 - SATIŞ-160 DEMİR BORU</t>
  </si>
  <si>
    <t>600.0101.1161 - ÇEKİM YAPILAN TİCARİ MALLAR</t>
  </si>
  <si>
    <t>600.0101.1163 - KESİM YAPILAN TİCARİ MALLAR</t>
  </si>
  <si>
    <t>600.0101.1178 - SATIŞ-178 SAÇ ÜRÜNLER</t>
  </si>
  <si>
    <t>600.0101.1190 - SATIŞ- SAC DONUSTURULMUS URUN</t>
  </si>
  <si>
    <t>600.0101.1980 - SATIŞ-980 PALET VB</t>
  </si>
  <si>
    <t>600.0101.1990 - SATIŞ-990 DİĞER</t>
  </si>
  <si>
    <t>Toplam 600.0101 - YURT İÇİ SATIŞLARI</t>
  </si>
  <si>
    <t>600.0102 - YURTİÇİ NAKLİYE GELİRLERİ</t>
  </si>
  <si>
    <t>600.0102.0000 - NAKLİYE GELİRLERİ</t>
  </si>
  <si>
    <t>Toplam 600.0102 - YURTİÇİ NAKLİYE GELİRLERİ</t>
  </si>
  <si>
    <t>600.0103 - HİZMET SATIŞ GELİRLERİ</t>
  </si>
  <si>
    <t>600.0103.0101 - LAZER KESİM  HİZMET GELİRLERİ</t>
  </si>
  <si>
    <t>600.0103.0110 - SAC  HİZMET GELİRLERİ</t>
  </si>
  <si>
    <t>Toplam 600.0103 - HİZMET SATIŞ GELİRLERİ</t>
  </si>
  <si>
    <t>Toplam 600 - YURT İÇİ SATIŞ HASILATI</t>
  </si>
  <si>
    <t>601 - YURT DIŞI SATIŞLAR</t>
  </si>
  <si>
    <t>601.0101 - İHRAÇ KAYITLI SATIŞLAR</t>
  </si>
  <si>
    <t>Toplam 601.0101 - İHRAÇ KAYITLI SATIŞLAR</t>
  </si>
  <si>
    <t>601.0102 - İHRACAT</t>
  </si>
  <si>
    <t>Toplam 601.0102 - İHRACAT</t>
  </si>
  <si>
    <t>Toplam 601 - YURT DIŞI SATIŞLAR</t>
  </si>
  <si>
    <t>602 - DİĞER GELİRLER</t>
  </si>
  <si>
    <t>602.0101 - ALINAN CİRO PRİMİ VE İSKONTOLAR</t>
  </si>
  <si>
    <t>602.0101.1001 - ALINAN CİRO PRİMİ VE İSKONTOLAR</t>
  </si>
  <si>
    <t>Toplam 602.0101 - ALINAN CİRO PRİMİ VE İSKONTOLAR</t>
  </si>
  <si>
    <t>602.0102 - FİYAT FARKLARI</t>
  </si>
  <si>
    <t>602.0102.2001 - FİYATFARKLARI BURSA</t>
  </si>
  <si>
    <t>Toplam 602.0102 - FİYAT FARKLARI</t>
  </si>
  <si>
    <t>602.0103 - MÜNAHSIRLIK PRİMİ</t>
  </si>
  <si>
    <t>Toplam 602.0103 - MÜNAHSIRLIK PRİMİ</t>
  </si>
  <si>
    <t>602.0104 - VADE FARKI GELİRLERİ</t>
  </si>
  <si>
    <t>602.0104.1001 - VADE FARKI GELİRLERİ</t>
  </si>
  <si>
    <t>Toplam 602.0104 - VADE FARKI GELİRLERİ</t>
  </si>
  <si>
    <t>602.0105 - DİĞER GELİRLER</t>
  </si>
  <si>
    <t>602.0105.1001 - DİĞER GELİRLER</t>
  </si>
  <si>
    <t>Toplam 602.0105 - DİĞER GELİRLER</t>
  </si>
  <si>
    <t>Toplam 602 - DİĞER GELİRLER</t>
  </si>
  <si>
    <t>610 - SATIŞTAN  İADELER ( -)</t>
  </si>
  <si>
    <t>610.0101 - MAL  SATIŞLARINDAN İADELER</t>
  </si>
  <si>
    <t>610.0101.1010 - İADE-010 ECA KROM</t>
  </si>
  <si>
    <t>610.0101.1011 - İADE-011 ARYAK KROM</t>
  </si>
  <si>
    <t>610.0101.1012 - İADE-012 KALE KROM</t>
  </si>
  <si>
    <t>610.0101.1020 - İADE-020 ECA SARI</t>
  </si>
  <si>
    <t>610.0101.1030 - İADE-030 SEREL VİT</t>
  </si>
  <si>
    <t>610.0101.1031 - İADE-031 KALE VİT</t>
  </si>
  <si>
    <t>610.0101.1040 - İADE-040 KALE SERAMİK</t>
  </si>
  <si>
    <t>610.0101.1100 - İADE-100 RADYATÖRLER</t>
  </si>
  <si>
    <t>610.0101.1110 - İADE-110 KOMBI</t>
  </si>
  <si>
    <t>610.0101.1111 - İADE-111 DİĞER ISI</t>
  </si>
  <si>
    <t>610.0101.1120 - İADE-120 YAPIŞTIRICI</t>
  </si>
  <si>
    <t>610.0101.1121 - İADE-121 FUGA</t>
  </si>
  <si>
    <t>610.0101.1130 - İADE-130 İZOLASYON</t>
  </si>
  <si>
    <t>610.0101.1160 - İADE-160 DEMİR BORU</t>
  </si>
  <si>
    <t>610.0101.1178 - İADE-178 SAÇ ÜRÜNLER</t>
  </si>
  <si>
    <t>610.0101.1980 - İADE-980 PALET VB</t>
  </si>
  <si>
    <t>610.0101.1990 - İADE-990 DİĞER</t>
  </si>
  <si>
    <t>Toplam 610.0101 - MAL  SATIŞLARINDAN İADELER</t>
  </si>
  <si>
    <t>Toplam 610 - SATIŞTAN  İADELER ( -)</t>
  </si>
  <si>
    <t>611 - SATIŞ İSKONTOLARI ( - )</t>
  </si>
  <si>
    <t>611.0101 - SATIŞ İSKONTOLARI</t>
  </si>
  <si>
    <t>611.0101.0000 - SATIŞ İSKONTOLARI</t>
  </si>
  <si>
    <t>Toplam 611.0101 - SATIŞ İSKONTOLARI</t>
  </si>
  <si>
    <t>611.0102 - CİRO PRİMLERİ</t>
  </si>
  <si>
    <t>Toplam 611.0102 - CİRO PRİMLERİ</t>
  </si>
  <si>
    <t>Toplam 611 - SATIŞ İSKONTOLARI ( - )</t>
  </si>
  <si>
    <t>612 - DİĞER İNDİRİMLER ( - )</t>
  </si>
  <si>
    <t>Toplam 612 - DİĞER İNDİRİMLER ( - )</t>
  </si>
  <si>
    <t>Toplam Satışlar</t>
  </si>
  <si>
    <t>Satışların Maliyetleri</t>
  </si>
  <si>
    <t>620 - SATILAN MAMÜLLER MALİYETİ  ( - )</t>
  </si>
  <si>
    <t>Toplam 620 - SATILAN MAMÜLLER MALİYETİ  ( - )</t>
  </si>
  <si>
    <t>621 - SATILAN TİCARİ MALLAR  MALİYETİ  ( - )</t>
  </si>
  <si>
    <t>621.0101 - SATILAN TİCARİ MALLAR MALİYETİ</t>
  </si>
  <si>
    <t>621.0101.1010 - TİC.MAL.MLYT-010 ECA KROM</t>
  </si>
  <si>
    <t>621.0101.1011 - TİC.MAL.MLYT-011 ARYAK KROM</t>
  </si>
  <si>
    <t>621.0101.1012 - TİC.MAL.MLYT-012 KALE KROM</t>
  </si>
  <si>
    <t>621.0101.1013 - TİC.MAL.MLYT-013 DİĞER KROM</t>
  </si>
  <si>
    <t>621.0101.1020 - TİC.MAL.MLYT-020 ECA SARI</t>
  </si>
  <si>
    <t>621.0101.1030 - TİC.MAL.MLYT-030 SEREL VİT</t>
  </si>
  <si>
    <t>621.0101.1031 - TİC.MAL.MLYT-031 KALE VİT</t>
  </si>
  <si>
    <t>621.0101.1032 - TİC.MAL.MLYT-032 DİĞER VİT</t>
  </si>
  <si>
    <t>621.0101.1040 - TİC.MAL.MLYT-040 KALE SERAMİK</t>
  </si>
  <si>
    <t>621.0101.1050 - TİC.MAL.MLYT-050 KÜV.TEKN. KAB</t>
  </si>
  <si>
    <t>621.0101.1060 - TİC.MAL.MLYT-060 MUTFAK CHZ</t>
  </si>
  <si>
    <t>621.0101.1090 - TİC.MAL.MLYT-090 BANYO MOB.AKS</t>
  </si>
  <si>
    <t>621.0101.1100 - TİC.MAL.MLYT-100 RADYATÖRLER</t>
  </si>
  <si>
    <t>621.0101.1110 - TİC.MAL.MLYT-110 KOMBI</t>
  </si>
  <si>
    <t>621.0101.1111 - TİC.MAL.MLYT-111 DİĞER ISI</t>
  </si>
  <si>
    <t>621.0101.1120 - TİC.MAL.MLYT-120 YAPIŞTIRICI</t>
  </si>
  <si>
    <t>621.0101.1121 - TİC.MAL.MLYT-121 FUGA</t>
  </si>
  <si>
    <t>621.0101.1122 - TİC.MAL.MLYT-122 FAYSER</t>
  </si>
  <si>
    <t>621.0101.1130 - TİC.MAL.MLYT-130 İZOLASYON</t>
  </si>
  <si>
    <t>621.0101.1140 - TİC.MAL.MLYT-140 BOYA</t>
  </si>
  <si>
    <t>621.0101.1160 - TİC.MAL.MLYT-160 DEMİR BORU</t>
  </si>
  <si>
    <t>621.0101.1161 - ÇEKİM YAPILAN TİCARİ MALLAR</t>
  </si>
  <si>
    <t>621.0101.1163 - KESİM YAPILAN TİCARİ MALLAR</t>
  </si>
  <si>
    <t>621.0101.1178 - TİC.MAL.MLYT-178 SAÇ ÜRÜNLER</t>
  </si>
  <si>
    <t>621.0101.1180 - MLYT-LAZER DONUSTURULMUS URUN</t>
  </si>
  <si>
    <t>621.0101.1190 - MLYT-SAC DONUSTURULMUS URUN</t>
  </si>
  <si>
    <t>621.0101.1980 - TİC.MAL.MLYT-980 PALET VB</t>
  </si>
  <si>
    <t>621.0101.1990 - TİC.MAL.MLYT-990 DİĞER</t>
  </si>
  <si>
    <t>Toplam 621.0101 - SATILAN TİCARİ MALLAR MALİYETİ</t>
  </si>
  <si>
    <t>621.0102 - ENFLASYON DUZELTMESI FARKLARI</t>
  </si>
  <si>
    <t>621.0102.9999 - ENFLASYON DUZELTMESI FARKLARI</t>
  </si>
  <si>
    <t>Toplam 621.0102 - ENFLASYON DUZELTMESI FARKLARI</t>
  </si>
  <si>
    <t>Toplam 621 - SATILAN TİCARİ MALLAR  MALİYETİ  ( - )</t>
  </si>
  <si>
    <t>622 - SATILAN HİZMET MALİYETİ ( - )</t>
  </si>
  <si>
    <t>622.0101 - SATILAN HİZMET MALİYETİ</t>
  </si>
  <si>
    <t>Toplam 622.0101 - SATILAN HİZMET MALİYETİ</t>
  </si>
  <si>
    <t>Toplam 622 - SATILAN HİZMET MALİYETİ ( - )</t>
  </si>
  <si>
    <t>623 - DİĞER SATIŞLARIN MALİYETİ  ( - )</t>
  </si>
  <si>
    <t>Toplam 623 - DİĞER SATIŞLARIN MALİYETİ  ( - )</t>
  </si>
  <si>
    <t>630 - ARAŞTIRMA GELİŞTİRME GİDERLERİ ( - )</t>
  </si>
  <si>
    <t>Toplam 630 - ARAŞTIRMA GELİŞTİRME GİDERLERİ ( - )</t>
  </si>
  <si>
    <t>631 - PAZARLAMA SATIŞ DAĞITIM GİDERLERİ ( - )</t>
  </si>
  <si>
    <t>631.0101 - PAZARLAMA SATIŞ DAĞITIM GİDERLERİ ( - )</t>
  </si>
  <si>
    <t>Toplam 631.0101 - PAZARLAMA SATIŞ DAĞITIM GİDERLERİ ( - )</t>
  </si>
  <si>
    <t>Toplam 631 - PAZARLAMA SATIŞ DAĞITIM GİDERLERİ ( - )</t>
  </si>
  <si>
    <t>632 - GENEL YÖNETİM GİDERLERİ ( - )</t>
  </si>
  <si>
    <t>632.0101 - GENEL YÖNETİM GİDERLERİ ( - )</t>
  </si>
  <si>
    <t>Toplam 632.0101 - GENEL YÖNETİM GİDERLERİ ( - )</t>
  </si>
  <si>
    <t>Toplam 632 - GENEL YÖNETİM GİDERLERİ ( - )</t>
  </si>
  <si>
    <t>Toplam Satışların Maliyetleri</t>
  </si>
  <si>
    <t>Faaliyet Giderleri</t>
  </si>
  <si>
    <t>700 - MALİYET MUHASABESİ BAĞLANTI HESABI</t>
  </si>
  <si>
    <t>Toplam 700 - MALİYET MUHASABESİ BAĞLANTI HESABI</t>
  </si>
  <si>
    <t>701 - MALİYET MUHASABESİ YANSITMA HESABI</t>
  </si>
  <si>
    <t>Toplam 701 - MALİYET MUHASABESİ YANSITMA HESABI</t>
  </si>
  <si>
    <t>710 - DİREKT İLK MADDE VE  MALZEME GİDERLERİ</t>
  </si>
  <si>
    <t>Toplam 710 - DİREKT İLK MADDE VE  MALZEME GİDERLERİ</t>
  </si>
  <si>
    <t>711 - DİREKT İLK MADDEVE MALZEME YANSITMA HESABI</t>
  </si>
  <si>
    <t>Toplam 711 - DİREKT İLK MADDEVE MALZEME YANSITMA HESABI</t>
  </si>
  <si>
    <t>712 - DİREKT İLK MADDA VE MALZEME FİYAT FARKI</t>
  </si>
  <si>
    <t>Toplam 712 - DİREKT İLK MADDA VE MALZEME FİYAT FARKI</t>
  </si>
  <si>
    <t>713 - DİREKT İLK MADDE VE MALZEME MİKTAR FARKI</t>
  </si>
  <si>
    <t>Toplam 713 - DİREKT İLK MADDE VE MALZEME MİKTAR FARKI</t>
  </si>
  <si>
    <t>720 - DİREKT İŞÇİLİK GİDERLERİ</t>
  </si>
  <si>
    <t>Toplam 720 - DİREKT İŞÇİLİK GİDERLERİ</t>
  </si>
  <si>
    <t>721 - DİREKT İŞÇİLİK GİDERLERİ YANSITMA HESABI</t>
  </si>
  <si>
    <t>Toplam 721 - DİREKT İŞÇİLİK GİDERLERİ YANSITMA HESABI</t>
  </si>
  <si>
    <t>722 - DİREKT İŞÇİLİK ÜCRET FARKLARI</t>
  </si>
  <si>
    <t>Toplam 722 - DİREKT İŞÇİLİK ÜCRET FARKLARI</t>
  </si>
  <si>
    <t>723 - DİREKT İŞÇİLİK SÜRE ( ZAMAN ) FARKLARI</t>
  </si>
  <si>
    <t>Toplam 723 - DİREKT İŞÇİLİK SÜRE ( ZAMAN ) FARKLARI</t>
  </si>
  <si>
    <t>730 - GENEL ÜRETİM GİDERLERİ</t>
  </si>
  <si>
    <t>Toplam 730 - GENEL ÜRETİM GİDERLERİ</t>
  </si>
  <si>
    <t>731 - GENEL ÜRETİM GİDERLERİ YANSITMA HESABI</t>
  </si>
  <si>
    <t>Toplam 731 - GENEL ÜRETİM GİDERLERİ YANSITMA HESABI</t>
  </si>
  <si>
    <t>732 - GENEL ÜRETİM GİDERLERİ  BÜTÇE FARKLARI</t>
  </si>
  <si>
    <t>Toplam 732 - GENEL ÜRETİM GİDERLERİ  BÜTÇE FARKLARI</t>
  </si>
  <si>
    <t>733 - GENEL ÜRETİM GİDERLERİ VERİMLİLİK FARKLARI</t>
  </si>
  <si>
    <t>Toplam 733 - GENEL ÜRETİM GİDERLERİ VERİMLİLİK FARKLARI</t>
  </si>
  <si>
    <t>734 - GENEL ÜRETİM GİDERLERİ KAPASİTE FARKLARI</t>
  </si>
  <si>
    <t>Toplam 734 - GENEL ÜRETİM GİDERLERİ KAPASİTE FARKLARI</t>
  </si>
  <si>
    <t>740 - HİZMET ÜRETİM MALİYETİ</t>
  </si>
  <si>
    <t>740.0000 - İLK MADDE MALZEME GİDERLERİ</t>
  </si>
  <si>
    <t>Toplam 740.0000 - İLK MADDE MALZEME GİDERLERİ</t>
  </si>
  <si>
    <t>740.1001 - DİREKT İŞÇİ VE ÜCRET GİDERLERİ</t>
  </si>
  <si>
    <t>Toplam 740.1001 - DİREKT İŞÇİ VE ÜCRET GİDERLERİ</t>
  </si>
  <si>
    <t>740.1002 - SOSYAL YARDIMLAR</t>
  </si>
  <si>
    <t>740.1002.1002 - YİYECEK YARDIMI</t>
  </si>
  <si>
    <t>Toplam 740.1002 - SOSYAL YARDIMLAR</t>
  </si>
  <si>
    <t>740.1003 - TAZMİNATLAR</t>
  </si>
  <si>
    <t>Toplam 740.1003 - TAZMİNATLAR</t>
  </si>
  <si>
    <t>740.1004 - İŞVEREN PAYLARI</t>
  </si>
  <si>
    <t>Toplam 740.1004 - İŞVEREN PAYLARI</t>
  </si>
  <si>
    <t>740.2001 - YÖNETİM DENETİM KURULU VE MEMUR ÜCRETLERİ</t>
  </si>
  <si>
    <t>740.2001.1003 - NORMAL ÇALIŞMA ÜCRETLERİ</t>
  </si>
  <si>
    <t>740.2001.1004 - FAZLA MESAİ ÜCRETLERİ</t>
  </si>
  <si>
    <t>740.2001.1005 - PRİM VE İKRAMİYELER</t>
  </si>
  <si>
    <t>740.2001.1007 - İZİN ÜCRETİ</t>
  </si>
  <si>
    <t>Toplam 740.2001 - YÖNETİM DENETİM KURULU VE MEMUR ÜCRETLERİ</t>
  </si>
  <si>
    <t>740.2002 - SOSYAL YARDIMLAR</t>
  </si>
  <si>
    <t>740.2002.1002 - YİYECEK YARDIMI</t>
  </si>
  <si>
    <t>740.2002.1006 - SAĞLIK YARDIMI</t>
  </si>
  <si>
    <t>740.2002.1007 - GİYECEK YARDIMI</t>
  </si>
  <si>
    <t>740.2002.1009 - BES İŞV.KATKI PAYI</t>
  </si>
  <si>
    <t>Toplam 740.2002 - SOSYAL YARDIMLAR</t>
  </si>
  <si>
    <t>740.2003 - TAZMİNATLAR</t>
  </si>
  <si>
    <t>740.2003.1001 - KIDEM TAZMİNATLARI</t>
  </si>
  <si>
    <t>740.2003.1002 - İHBAR TAZMİNATLARI</t>
  </si>
  <si>
    <t>Toplam 740.2003 - TAZMİNATLAR</t>
  </si>
  <si>
    <t>740.2004 - İŞVEREN PAYLARI</t>
  </si>
  <si>
    <t>740.2004.1001 - SSK PRİMİ İŞVEREN PAYI</t>
  </si>
  <si>
    <t>740.2004.1002 - İŞSİZLİK SİGORTASI İŞVEREN PAYI</t>
  </si>
  <si>
    <t>Toplam 740.2004 - İŞVEREN PAYLARI</t>
  </si>
  <si>
    <t>740.3001 - ENERJİ YAKIT SU GİDERLERİ</t>
  </si>
  <si>
    <t>740.3001.1001 - ELEKTRİK GİDERLERİ</t>
  </si>
  <si>
    <t>740.3001.1003 - LPG-AZOT-OKSİJEN VE DOĞAL GAZ GİDERLERİ</t>
  </si>
  <si>
    <t>740.3001.1005 - TAŞIT ARAÇLARI AKARYAKIT VE İŞLETME GİDERLERİ</t>
  </si>
  <si>
    <t>Toplam 740.3001 - ENERJİ YAKIT SU GİDERLERİ</t>
  </si>
  <si>
    <t>740.3002 - BAKIM ONARIM GİDERLERİ</t>
  </si>
  <si>
    <t>740.3002.1001 - TAŞIT ARAÇLARI BAKIM ONARIM GİDERLERİ</t>
  </si>
  <si>
    <t>Toplam 740.3002 - BAKIM ONARIM GİDERLERİ</t>
  </si>
  <si>
    <t>740.3003 - HABERLEŞME GİDERLERİ</t>
  </si>
  <si>
    <t>Toplam 740.3003 - HABERLEŞME GİDERLERİ</t>
  </si>
  <si>
    <t>740.3004 - NAKLİYE VE YÜKLEME BOŞALTMA GİDERLERİ</t>
  </si>
  <si>
    <t>Toplam 740.3004 - NAKLİYE VE YÜKLEME BOŞALTMA GİDERLERİ</t>
  </si>
  <si>
    <t>740.3005 - MÜŞAVİRLİK GİDERLERİ</t>
  </si>
  <si>
    <t>740.3005.1001 - BİLGİ İŞLEM HİZMET GİDERLERİ</t>
  </si>
  <si>
    <t>Toplam 740.3005 - MÜŞAVİRLİK GİDERLERİ</t>
  </si>
  <si>
    <t>740.3006 - TAŞERON HİZMETLERİ</t>
  </si>
  <si>
    <t>740.3006.1002 - DİĞER TAŞERONLUK HİZMET GİDERLERİ</t>
  </si>
  <si>
    <t>Toplam 740.3006 - TAŞERON HİZMETLERİ</t>
  </si>
  <si>
    <t>740.3021 - DİĞER DIŞARIDAN SAĞLANAN FAYDA VE HİZMETLER</t>
  </si>
  <si>
    <t>Toplam 740.3021 - DİĞER DIŞARIDAN SAĞLANAN FAYDA VE HİZMETLER</t>
  </si>
  <si>
    <t>740.4001 - BÜRO GİDERLERİ</t>
  </si>
  <si>
    <t>740.4001.1002 - BİLGİ İŞLEM MALZEME GİDERLERİ</t>
  </si>
  <si>
    <t>Toplam 740.4001 - BÜRO GİDERLERİ</t>
  </si>
  <si>
    <t>740.4002 - SEYAHAT GİDERLERİ</t>
  </si>
  <si>
    <t>Toplam 740.4002 - SEYAHAT GİDERLERİ</t>
  </si>
  <si>
    <t>740.4003 - SİGORTA GİDERLERİ</t>
  </si>
  <si>
    <t>740.4003.1003 - DURAN VARLIK SİGORTA GİDERLERİ</t>
  </si>
  <si>
    <t>740.4003.1005 - TAŞIT ARAÇLARI SİGORTA GİDERLERİ</t>
  </si>
  <si>
    <t>Toplam 740.4003 - SİGORTA GİDERLERİ</t>
  </si>
  <si>
    <t>740.4004 - KİRA GİDERLERİ</t>
  </si>
  <si>
    <t>740.4004.1001 - GAYRİMENKUL KİRA GİDERLERİ</t>
  </si>
  <si>
    <t>740.4004.1003 - TAŞIT KİRA GİDERLERİ</t>
  </si>
  <si>
    <t>Toplam 740.4004 - KİRA GİDERLERİ</t>
  </si>
  <si>
    <t>740.4005 - DAVA İCRA NOTER GİDERLERİ</t>
  </si>
  <si>
    <t>Toplam 740.4005 - DAVA İCRA NOTER GİDERLERİ</t>
  </si>
  <si>
    <t>740.4006 - TEMSİL VE AĞIRLAMA GİDERLERİ</t>
  </si>
  <si>
    <t>740.4006.1001 - TEMSİL VE AĞIRLAMA GİDERLERİ</t>
  </si>
  <si>
    <t>Toplam 740.4006 - TEMSİL VE AĞIRLAMA GİDERLERİ</t>
  </si>
  <si>
    <t>740.4007 - TANITIM VE PAZARLAMA GİDERLERİ</t>
  </si>
  <si>
    <t>Toplam 740.4007 - TANITIM VE PAZARLAMA GİDERLERİ</t>
  </si>
  <si>
    <t>740.4008 - İŞTİRAK PAYI VE AİDAT GİDERLERİ</t>
  </si>
  <si>
    <t>Toplam 740.4008 - İŞTİRAK PAYI VE AİDAT GİDERLERİ</t>
  </si>
  <si>
    <t>740.4009 - DİĞER ÇEŞİTLİ GİDERLER</t>
  </si>
  <si>
    <t>740.4009.1002 - MÜTEFERRİK GİDERLER</t>
  </si>
  <si>
    <t>740.4009.1008 - BİNEK ARAÇ GİDERLERİ KKEG</t>
  </si>
  <si>
    <t>Toplam 740.4009 - DİĞER ÇEŞİTLİ GİDERLER</t>
  </si>
  <si>
    <t>740.5001 - VERGİ RESİM VE HARÇLAR</t>
  </si>
  <si>
    <t>Toplam 740.5001 - VERGİ RESİM VE HARÇLAR</t>
  </si>
  <si>
    <t>740.6001 - MADDİ DURAN VARLIK AMORTİSMAN VE TÜKENME PAYLARI</t>
  </si>
  <si>
    <t>740.6001.1002 - TAŞITLAR AMORTİSMANI</t>
  </si>
  <si>
    <t>740.6001.1003 - DEMİRBAŞLAR AMORTİSMANI</t>
  </si>
  <si>
    <t>Toplam 740.6001 - MADDİ DURAN VARLIK AMORTİSMAN VE TÜKENME PAYLARI</t>
  </si>
  <si>
    <t>740.6002 - MADDİ OLMAYAN DURAN VARLIK İTFA PAYLARI</t>
  </si>
  <si>
    <t>740.6002.1001 - HAKLAR İTFA PAYLARI</t>
  </si>
  <si>
    <t>740.6002.1002 - ÖZEL MALİYETLER İTFA PAYLARI</t>
  </si>
  <si>
    <t>Toplam 740.6002 - MADDİ OLMAYAN DURAN VARLIK İTFA PAYLARI</t>
  </si>
  <si>
    <t>Toplam 740 - HİZMET ÜRETİM MALİYETİ</t>
  </si>
  <si>
    <t>741 - HİZMET ÜRETİM MALİYETİ YANSITMA HESABI</t>
  </si>
  <si>
    <t>741.0101 - HİZMET ÜRETİM MALİYETİ YANSITMA HESABI</t>
  </si>
  <si>
    <t>Toplam 741.0101 - HİZMET ÜRETİM MALİYETİ YANSITMA HESABI</t>
  </si>
  <si>
    <t>Toplam 741 - HİZMET ÜRETİM MALİYETİ YANSITMA HESABI</t>
  </si>
  <si>
    <t>742 - HİZMET ÜRETİM MALİYETİ FARK HESAPLARI</t>
  </si>
  <si>
    <t>Toplam 742 - HİZMET ÜRETİM MALİYETİ FARK HESAPLARI</t>
  </si>
  <si>
    <t>750 - ARAŞTIRMA GELİŞTİRME GİDERLERİ</t>
  </si>
  <si>
    <t>Toplam 750 - ARAŞTIRMA GELİŞTİRME GİDERLERİ</t>
  </si>
  <si>
    <t>751 - ARAŞTIRMA GELİŞTİRME GİDERLERİ YANSITMA HESABI</t>
  </si>
  <si>
    <t>Toplam 751 - ARAŞTIRMA GELİŞTİRME GİDERLERİ YANSITMA HESABI</t>
  </si>
  <si>
    <t>752 - ARAŞTIRMA VE GELİŞTİRME GİDER  FARKLARI</t>
  </si>
  <si>
    <t>Toplam 752 - ARAŞTIRMA VE GELİŞTİRME GİDER  FARKLARI</t>
  </si>
  <si>
    <t>760 - PAZARLAMA SATIŞ DAĞITIM GİDERLERİ</t>
  </si>
  <si>
    <t>760.0101 - İLK MADDE VE MALZEME GİDERLERİ</t>
  </si>
  <si>
    <t>Toplam 760.0101 - İLK MADDE VE MALZEME GİDERLERİ</t>
  </si>
  <si>
    <t>760.2001 - YÖNETİM DENETİM KURULU VE MEMUR ÜCRETLERİ</t>
  </si>
  <si>
    <t>760.2001.1003 - NORMAL ÇALIŞMA ÜCRETLERİ</t>
  </si>
  <si>
    <t>760.2001.1004 - FAZLA MESAİ ÜCRETLERİ</t>
  </si>
  <si>
    <t>760.2001.1005 - PRİM VE İKRAMİYELER</t>
  </si>
  <si>
    <t>760.2001.1007 - İZİN ÜCRETİ</t>
  </si>
  <si>
    <t>Toplam 760.2001 - YÖNETİM DENETİM KURULU VE MEMUR ÜCRETLERİ</t>
  </si>
  <si>
    <t>760.2002 - SOSYAL YARDIMLAR</t>
  </si>
  <si>
    <t>760.2002.1002 - YİYECEK YARDIMI</t>
  </si>
  <si>
    <t>760.2002.1006 - SAĞLIK YARDIMI</t>
  </si>
  <si>
    <t>760.2002.1007 - GİYECEK YARDIMI</t>
  </si>
  <si>
    <t>760.2002.1009 - BES İŞV.KATKI PAYI</t>
  </si>
  <si>
    <t>Toplam 760.2002 - SOSYAL YARDIMLAR</t>
  </si>
  <si>
    <t>760.2003 - TAZMİNATLAR</t>
  </si>
  <si>
    <t>760.2003.1001 - KIDEM TAZMİNATLARI</t>
  </si>
  <si>
    <t>760.2003.1002 - İHBAR TAZMİNATLARI</t>
  </si>
  <si>
    <t>Toplam 760.2003 - TAZMİNATLAR</t>
  </si>
  <si>
    <t>760.2004 - İŞVEREN PAYLARI</t>
  </si>
  <si>
    <t>760.2004.1001 - SSK PRİMİ İŞVEREN PAYI</t>
  </si>
  <si>
    <t>760.2004.1002 - İŞSİZLİK SİGORTASI İŞVEREN PAYI</t>
  </si>
  <si>
    <t>Toplam 760.2004 - İŞVEREN PAYLARI</t>
  </si>
  <si>
    <t>760.3001 - ENERJİ YAKIT SU GİDERELERİ</t>
  </si>
  <si>
    <t>760.3001.1001 - ELEKTRİK GİDERLERİ</t>
  </si>
  <si>
    <t>760.3001.1002 - SU GİDERLERİ</t>
  </si>
  <si>
    <t>760.3001.1003 - LPG VE DOĞAL GAZ GİDERLERİ</t>
  </si>
  <si>
    <t>760.3001.1005 - TAŞIT ARAÇLARI AKARYAKIT VE İŞLETME GİDERLERİ</t>
  </si>
  <si>
    <t>Toplam 760.3001 - ENERJİ YAKIT SU GİDERELERİ</t>
  </si>
  <si>
    <t>760.3002 - BAKIM ONARIM GİDERLERİ</t>
  </si>
  <si>
    <t>760.3002.1001 - TAŞIT ARAÇLARI BAKIM ONARIM GİDERLERİ</t>
  </si>
  <si>
    <t>760.3002.1004 - BÜRO.MAK.DÖŞEME DEMİRBAŞ BAK.ON.GİD.</t>
  </si>
  <si>
    <t>Toplam 760.3002 - BAKIM ONARIM GİDERLERİ</t>
  </si>
  <si>
    <t>760.3003 - HABERLEŞME GİDERLERİ</t>
  </si>
  <si>
    <t>760.3003.1002 - TELEFON GİDERLERİ</t>
  </si>
  <si>
    <t>760.3003.1003 - CEP TELEFONU GİDERLERİ</t>
  </si>
  <si>
    <t>760.3003.1005 - KARGO GİDERLERİ</t>
  </si>
  <si>
    <t>760.3003.1006 - DATALİNE GİDERLERİ</t>
  </si>
  <si>
    <t>Toplam 760.3003 - HABERLEŞME GİDERLERİ</t>
  </si>
  <si>
    <t>760.3004 - NAKLİYE VE YÜKLEME BOŞALTMA   GİDERLERİ</t>
  </si>
  <si>
    <t>760.3004.1001 - NAKLİYE GİDERLERİ</t>
  </si>
  <si>
    <t>760.3004.1003 - İADE</t>
  </si>
  <si>
    <t>Toplam 760.3004 - NAKLİYE VE YÜKLEME BOŞALTMA   GİDERLERİ</t>
  </si>
  <si>
    <t>760.3005 - MÜŞAVİRLİK GİDERLERİ</t>
  </si>
  <si>
    <t>760.3005.1001 - BİLGİ İŞLEM HİZMET GİDERLERİ</t>
  </si>
  <si>
    <t>Toplam 760.3005 - MÜŞAVİRLİK GİDERLERİ</t>
  </si>
  <si>
    <t>760.3006 - TAŞERON HİZMETLERİ</t>
  </si>
  <si>
    <t>760.3006.1001 - TEMİZLİK HİZMET GİDERLERİ</t>
  </si>
  <si>
    <t>760.3006.1002 - DİĞER TAŞORONLUK HİZMET GİDERLERİ</t>
  </si>
  <si>
    <t>Toplam 760.3006 - TAŞERON HİZMETLERİ</t>
  </si>
  <si>
    <t>760.3021 - DİĞER DIŞARIDAN SALANAN FAYDA VE HİZMETLER</t>
  </si>
  <si>
    <t>Toplam 760.3021 - DİĞER DIŞARIDAN SALANAN FAYDA VE HİZMETLER</t>
  </si>
  <si>
    <t>760.4001 - BÜRO GİDERLERİ</t>
  </si>
  <si>
    <t>760.4001.1001 - KIRTASİYE GİDERLERİ</t>
  </si>
  <si>
    <t>760.4001.1002 - BİLGİ İŞLEM MALZEME GİDERLERİ</t>
  </si>
  <si>
    <t>760.4001.1006 - TÜKETİM VE TEMİZLİK MALZEMESİ GİDERLERİ</t>
  </si>
  <si>
    <t>Toplam 760.4001 - BÜRO GİDERLERİ</t>
  </si>
  <si>
    <t>760.4002 - SEYAHAT GİDERLERİ</t>
  </si>
  <si>
    <t>760.4002.1002 - YURT İÇİ SEYAHAT GİDERLERİ</t>
  </si>
  <si>
    <t>760.4002.1003 - YURT DIŞI SEYAHAT GİDERLERİ</t>
  </si>
  <si>
    <t>Toplam 760.4002 - SEYAHAT GİDERLERİ</t>
  </si>
  <si>
    <t>760.4003 - SİGORTA GİDERLERİ</t>
  </si>
  <si>
    <t>760.4003.1002 - STOK SİGORTA GİDERLERİ</t>
  </si>
  <si>
    <t>760.4003.1003 - DURAN VARLIK SİGORTA GİDERLERİ</t>
  </si>
  <si>
    <t>760.4003.1004 - NAKLİYE SİGORTA GİDERLERİ</t>
  </si>
  <si>
    <t>760.4003.1005 - TAŞIT ARAÇLARI SİGORTA GİDERLERİ</t>
  </si>
  <si>
    <t>760.4003.1021 - DİĞER SİGORTA GİDERLERİ</t>
  </si>
  <si>
    <t>Toplam 760.4003 - SİGORTA GİDERLERİ</t>
  </si>
  <si>
    <t>760.4004 - KİRA GİDERLERİ</t>
  </si>
  <si>
    <t>760.4004.1001 - GAYRİMENKUL KİRA GİDERLERİ</t>
  </si>
  <si>
    <t>760.4004.1003 - TAŞIT KİRA GİDERLERİ</t>
  </si>
  <si>
    <t>Toplam 760.4004 - KİRA GİDERLERİ</t>
  </si>
  <si>
    <t>760.4005 - DAVA İCRA NOTER GİDERLERİ</t>
  </si>
  <si>
    <t>760.4005.1001 - DAVA VE İCRA GİDERLERİ</t>
  </si>
  <si>
    <t>760.4005.1002 - NOTER GİDERLERİ</t>
  </si>
  <si>
    <t>Toplam 760.4005 - DAVA İCRA NOTER GİDERLERİ</t>
  </si>
  <si>
    <t>760.4006 - TEMSİL VE AĞIRLAMA GİDERLERİ</t>
  </si>
  <si>
    <t>760.4006.1001 - TEMSİL VE AĞIRLAMA GİDERLERİ</t>
  </si>
  <si>
    <t>Toplam 760.4006 - TEMSİL VE AĞIRLAMA GİDERLERİ</t>
  </si>
  <si>
    <t>760.4007 - TANITIM VE PAZARLAMA GİDERLERİ</t>
  </si>
  <si>
    <t>760.4007.1002 - PROMOSYONLAR</t>
  </si>
  <si>
    <t>760.4007.1004 - SATIŞ PRİM VE KOMİSYONLARI</t>
  </si>
  <si>
    <t>760.4007.1007 - DİĞER PAZ GİDERLERİ</t>
  </si>
  <si>
    <t>Toplam 760.4007 - TANITIM VE PAZARLAMA GİDERLERİ</t>
  </si>
  <si>
    <t>760.4008 - İŞTİRAK PAYI VE AİDAT GİDERLERİ</t>
  </si>
  <si>
    <t>760.4008.1002 - ODA AİDATLARI</t>
  </si>
  <si>
    <t>Toplam 760.4008 - İŞTİRAK PAYI VE AİDAT GİDERLERİ</t>
  </si>
  <si>
    <t>760.4009 - DİĞER ÇEŞİTLİ GİDERLER</t>
  </si>
  <si>
    <t>760.4009.1002 - MÜTEFERRİK GİDERLER</t>
  </si>
  <si>
    <t>760.4009.1003 - GİDER YAZILAN KÜÇÜK DEMİRBAŞLAR</t>
  </si>
  <si>
    <t>760.4009.1004 - KANUNEN KABUL EDİLMEYEN GİDERLER</t>
  </si>
  <si>
    <t>760.4009.1005 - BİNEK TAŞIT KANUNEN KABUL EDİLMEYEN GİDERLER</t>
  </si>
  <si>
    <t>760.4009.1006 - ÖZEL İLETİŞİM VERGİSİ KKEG</t>
  </si>
  <si>
    <t>760.4009.1007 - BİNEK ARAÇ AM.GİD.KANUNEN KAB ED GİD</t>
  </si>
  <si>
    <t>Toplam 760.4009 - DİĞER ÇEŞİTLİ GİDERLER</t>
  </si>
  <si>
    <t>760.4010 - PERSONEL GİDERLERİ</t>
  </si>
  <si>
    <t>Toplam 760.4010 - PERSONEL GİDERLERİ</t>
  </si>
  <si>
    <t>760.5001 - VERGİ RESİM VE HARÇLAR</t>
  </si>
  <si>
    <t>760.5001.1003 - TAŞIT VERGİLERİ</t>
  </si>
  <si>
    <t>Toplam 760.5001 - VERGİ RESİM VE HARÇLAR</t>
  </si>
  <si>
    <t>760.6001 - MADDİ DURAN VARLIK AMORTİSMAN VE TÜKENME PAYLARI</t>
  </si>
  <si>
    <t>760.6001.1002 - TAŞITLAR AMORTİSMANI</t>
  </si>
  <si>
    <t>760.6001.1003 - DEMİRBAŞLAR AMORTİSMANI</t>
  </si>
  <si>
    <t>Toplam 760.6001 - MADDİ DURAN VARLIK AMORTİSMAN VE TÜKENME PAYLARI</t>
  </si>
  <si>
    <t>760.6002 - MADDİ OLMAYAN DURAN VARLIK İTFA PAYLARI</t>
  </si>
  <si>
    <t>760.6002.1001 - HAKLAR İTFA PAYLARI</t>
  </si>
  <si>
    <t>760.6002.1002 - ÖZEL MALİYETLER İTFA PAYLARI</t>
  </si>
  <si>
    <t>Toplam 760.6002 - MADDİ OLMAYAN DURAN VARLIK İTFA PAYLARI</t>
  </si>
  <si>
    <t>Toplam 760 - PAZARLAMA SATIŞ DAĞITIM GİDERLERİ</t>
  </si>
  <si>
    <t>761 - PAZARLAMA SATIŞ VE DAĞITIM GİD.YANSITMA HESABI</t>
  </si>
  <si>
    <t>761.0101 - PAZARLAMA SATIŞ DAĞ.GİD.YANSITMA HESABI</t>
  </si>
  <si>
    <t>Toplam 761.0101 - PAZARLAMA SATIŞ DAĞ.GİD.YANSITMA HESABI</t>
  </si>
  <si>
    <t>Toplam 761 - PAZARLAMA SATIŞ VE DAĞITIM GİD.YANSITMA HESABI</t>
  </si>
  <si>
    <t>770 - GENEL YÖNETİM GİDERLERİ</t>
  </si>
  <si>
    <t>770.0101 - İLK MADDE VE MALZEME GİDERLERİ</t>
  </si>
  <si>
    <t>Toplam 770.0101 - İLK MADDE VE MALZEME GİDERLERİ</t>
  </si>
  <si>
    <t>770.2001 - YÖNETİM DENETİM KURULU VE MEMUR ÜCRETLERİ</t>
  </si>
  <si>
    <t>770.2001.1001 - HUZUR HAKLARI</t>
  </si>
  <si>
    <t>770.2001.1003 - NORMAL ÇALIŞMA ÜCRETLERİ</t>
  </si>
  <si>
    <t>770.2001.1005 - PRİM VE İKRAMİYELER</t>
  </si>
  <si>
    <t>770.2001.1007 - İZİN ÜCRETİ</t>
  </si>
  <si>
    <t>Toplam 770.2001 - YÖNETİM DENETİM KURULU VE MEMUR ÜCRETLERİ</t>
  </si>
  <si>
    <t>770.2002 - SOSYAL YARDIMLAR</t>
  </si>
  <si>
    <t>770.2002.1002 - YİYECEK YARDIMI</t>
  </si>
  <si>
    <t>770.2002.1006 - SAĞLIK YARDIMI</t>
  </si>
  <si>
    <t>770.2002.1007 - GİYECEK YARDIMI</t>
  </si>
  <si>
    <t>770.2002.1009 - BES İŞV.KATKI PAYI</t>
  </si>
  <si>
    <t>Toplam 770.2002 - SOSYAL YARDIMLAR</t>
  </si>
  <si>
    <t>770.2003 - TAZMİNATLAR</t>
  </si>
  <si>
    <t>770.2003.1001 - KIDEM TAZMİNATLARI</t>
  </si>
  <si>
    <t>770.2003.1002 - İHBAR TAZMİNATLARI</t>
  </si>
  <si>
    <t>Toplam 770.2003 - TAZMİNATLAR</t>
  </si>
  <si>
    <t>770.2004 - İŞVEREN PAYLARI</t>
  </si>
  <si>
    <t>770.2004.1001 - SSK PRİMİ İŞVEREN PAYI</t>
  </si>
  <si>
    <t>770.2004.1002 - İŞSİZLİK SİGORTASI İŞVEREN PAYI</t>
  </si>
  <si>
    <t>Toplam 770.2004 - İŞVEREN PAYLARI</t>
  </si>
  <si>
    <t>770.3001 - ENERJİ YAKIT SU GİDERELERİ</t>
  </si>
  <si>
    <t>770.3001.1001 - ELEKTRİK GİDERLERİ</t>
  </si>
  <si>
    <t>770.3001.1002 - SU GİDERLERİ</t>
  </si>
  <si>
    <t>770.3001.1003 - LPG VE DOĞAL GAZ GİDERLERİ</t>
  </si>
  <si>
    <t>770.3001.1005 - TAŞIT ARAÇLARI AKARYAKIT VE İŞLETME GİDERLERİ</t>
  </si>
  <si>
    <t>Toplam 770.3001 - ENERJİ YAKIT SU GİDERELERİ</t>
  </si>
  <si>
    <t>770.3002 - BAKIM ONARIM GİDERLERİ</t>
  </si>
  <si>
    <t>770.3002.1001 - TAŞIT ARAÇLARI BAKIM ONARIM GİDERLERİ</t>
  </si>
  <si>
    <t>Toplam 770.3002 - BAKIM ONARIM GİDERLERİ</t>
  </si>
  <si>
    <t>770.3003 - HABERLEŞME GİDERLERİ</t>
  </si>
  <si>
    <t>770.3003.1002 - TELEFON GİDERLERİ</t>
  </si>
  <si>
    <t>770.3003.1003 - CEP TELEFONU GİDERLERİ</t>
  </si>
  <si>
    <t>770.3003.1006 - DATALİNE GİDERLERİ</t>
  </si>
  <si>
    <t>Toplam 770.3003 - HABERLEŞME GİDERLERİ</t>
  </si>
  <si>
    <t>770.3004 - NAKLİYE VE YÜKLEME BOŞALTMA   GİDERLERİ</t>
  </si>
  <si>
    <t>Toplam 770.3004 - NAKLİYE VE YÜKLEME BOŞALTMA   GİDERLERİ</t>
  </si>
  <si>
    <t>770.3005 - MÜŞAVİRLİK GİDERLERİ</t>
  </si>
  <si>
    <t>770.3005.1001 - BİLGİ İŞLEM HİZMET GİDERLERİ</t>
  </si>
  <si>
    <t>770.3005.1002 - MALİ MÜŞAVİRLİK GİDERLERİ</t>
  </si>
  <si>
    <t>770.3005.1003 - HUKUK MÜŞAVİRLİK GİDERLERİ</t>
  </si>
  <si>
    <t>770.3005.1005 - TEKNİK MÜŞAVİRLİK GİDERLERİ</t>
  </si>
  <si>
    <t>Toplam 770.3005 - MÜŞAVİRLİK GİDERLERİ</t>
  </si>
  <si>
    <t>770.3006 - TAŞERON HİZMETLERİ</t>
  </si>
  <si>
    <t>Toplam 770.3006 - TAŞERON HİZMETLERİ</t>
  </si>
  <si>
    <t>770.3021 - DİĞER DIŞARIDAN SALANAN FAYDA VE HİZMETLER</t>
  </si>
  <si>
    <t>Toplam 770.3021 - DİĞER DIŞARIDAN SALANAN FAYDA VE HİZMETLER</t>
  </si>
  <si>
    <t>770.4001 - BÜRO GİDERLERİ</t>
  </si>
  <si>
    <t>770.4001.1001 - KIRTASİYE GİDERLERİ</t>
  </si>
  <si>
    <t>770.4001.1002 - BİLGİ İŞLEM MALZEME GİDERLERİ</t>
  </si>
  <si>
    <t>770.4001.1006 - TÜKETİM VE TEMİZLİK MALZEMESİ GİDERLERİ</t>
  </si>
  <si>
    <t>Toplam 770.4001 - BÜRO GİDERLERİ</t>
  </si>
  <si>
    <t>770.4002 - SEYAHAT GİDERLERİ</t>
  </si>
  <si>
    <t>770.4002.1002 - YURT İÇİ SEYAHAT GİDERLERİ</t>
  </si>
  <si>
    <t>Toplam 770.4002 - SEYAHAT GİDERLERİ</t>
  </si>
  <si>
    <t>770.4003 - SİGORTA GİDERLERİ</t>
  </si>
  <si>
    <t>770.4003.1002 - STOK SİGORTA GİDERLERİ</t>
  </si>
  <si>
    <t>770.4003.1005 - TAŞIT ARAÇLARI SİGORTA GİDERLERİ</t>
  </si>
  <si>
    <t>Toplam 770.4003 - SİGORTA GİDERLERİ</t>
  </si>
  <si>
    <t>770.4004 - KİRA GİDERLERİ</t>
  </si>
  <si>
    <t>770.4004.1001 - GAYRİMENKUL KİRA GİDERLERİ</t>
  </si>
  <si>
    <t>770.4004.1003 - TAŞIT KİRA GİDERLERİ</t>
  </si>
  <si>
    <t>Toplam 770.4004 - KİRA GİDERLERİ</t>
  </si>
  <si>
    <t>770.4005 - DAVA İCRA NOTER GİDERLERİ</t>
  </si>
  <si>
    <t>770.4005.1001 - DAVA VE İCRA GİDERLERİ</t>
  </si>
  <si>
    <t>Toplam 770.4005 - DAVA İCRA NOTER GİDERLERİ</t>
  </si>
  <si>
    <t>770.4006 - TEMSİL VE AĞIRLAMA GİDERLERİ</t>
  </si>
  <si>
    <t>770.4006.1001 - TEMSİL VE AĞIRLAMA GİDERLERİ</t>
  </si>
  <si>
    <t>770.4006.1002 - ÇAY KAHVE MEŞRUBAT GİDERLERİ</t>
  </si>
  <si>
    <t>Toplam 770.4006 - TEMSİL VE AĞIRLAMA GİDERLERİ</t>
  </si>
  <si>
    <t>770.4007 - TANITIM VE PAZARLAMA GİDERLERİ</t>
  </si>
  <si>
    <t>Toplam 770.4007 - TANITIM VE PAZARLAMA GİDERLERİ</t>
  </si>
  <si>
    <t>770.4008 - İŞTİRAK PAYI VE AİDAT GİDERLERİ</t>
  </si>
  <si>
    <t>770.4008.1002 - ODA AİDATLARI</t>
  </si>
  <si>
    <t>770.4008.1003 - TESCİL GİDERLERİ</t>
  </si>
  <si>
    <t>Toplam 770.4008 - İŞTİRAK PAYI VE AİDAT GİDERLERİ</t>
  </si>
  <si>
    <t>770.4009 - DİĞER ÇEŞİTLİ GİDERLER</t>
  </si>
  <si>
    <t>770.4009.1002 - MÜTEFERRİK GİDERLER</t>
  </si>
  <si>
    <t>770.4009.1003 - GİDER YAZILAN KÜÇÜK DEMİRBAŞLAR</t>
  </si>
  <si>
    <t>770.4009.1004 - KANUNEN KABUL EDİLMEYEN GİDERLER</t>
  </si>
  <si>
    <t>770.4009.1005 - BİNEK TAŞIT KANUNEN KABUL EDİLMEYEN GİDERLER</t>
  </si>
  <si>
    <t>770.4009.1006 - ÖZEL İLETİŞİM VERGİSİ KKEG</t>
  </si>
  <si>
    <t>770.4009.1007 - BİNEK ARAÇ AM.GİD KANUNEN KAB ED GİD</t>
  </si>
  <si>
    <t>Toplam 770.4009 - DİĞER ÇEŞİTLİ GİDERLER</t>
  </si>
  <si>
    <t>770.5001 - VERGİ RESİM VE HARÇLAR</t>
  </si>
  <si>
    <t>770.5001.1001 - EMLAK VERGİLERİ</t>
  </si>
  <si>
    <t>770.5001.1002 - DAMGA VERGİSİ</t>
  </si>
  <si>
    <t>770.5001.1003 - TAŞIT VERGİLERİ</t>
  </si>
  <si>
    <t>770.5001.1004 - ÇEVRE TEMİZLİK VERGİLERİ</t>
  </si>
  <si>
    <t>Toplam 770.5001 - VERGİ RESİM VE HARÇLAR</t>
  </si>
  <si>
    <t>770.6001 - MADDİ DURAN VARLIK AMORTİSMAN VE TÜKENME PAYLARI</t>
  </si>
  <si>
    <t>770.6001.1002 - TAŞITLAR AMORTİSMANI</t>
  </si>
  <si>
    <t>770.6001.1003 - DEMİRBAŞLAR AMORTİSMANI</t>
  </si>
  <si>
    <t>Toplam 770.6001 - MADDİ DURAN VARLIK AMORTİSMAN VE TÜKENME PAYLARI</t>
  </si>
  <si>
    <t>770.6002 - MADDİ OLMAYAN DURAN VARLIK İTFA PAYLARI</t>
  </si>
  <si>
    <t>770.6002.1001 - HAKLAR İTFA PAYLARI</t>
  </si>
  <si>
    <t>770.6002.1002 - ÖZEL MALİYETLER İTFA PAYLARI</t>
  </si>
  <si>
    <t>Toplam 770.6002 - MADDİ OLMAYAN DURAN VARLIK İTFA PAYLARI</t>
  </si>
  <si>
    <t>Toplam 770 - GENEL YÖNETİM GİDERLERİ</t>
  </si>
  <si>
    <t>771 - GENEL YÖNETİM GİDERLERİ YANSITMA HESABI</t>
  </si>
  <si>
    <t>771.0101 - GENEL YÖNETİM GİDERLERİ YANSITMA HESABI</t>
  </si>
  <si>
    <t>Toplam 771.0101 - GENEL YÖNETİM GİDERLERİ YANSITMA HESABI</t>
  </si>
  <si>
    <t>Toplam 771 - GENEL YÖNETİM GİDERLERİ YANSITMA HESABI</t>
  </si>
  <si>
    <t>Toplam Faaliyet Giderleri</t>
  </si>
  <si>
    <t>Finansal Giderler</t>
  </si>
  <si>
    <t>640 - İŞTİRAKLERDEN TEMETTÜ GELİRLERİ</t>
  </si>
  <si>
    <t>640.0101 - HAN TURİZM A.Ş.</t>
  </si>
  <si>
    <t>Toplam 640.0101 - HAN TURİZM A.Ş.</t>
  </si>
  <si>
    <t>640.0102 - TARA İNŞAAT A.Ş.</t>
  </si>
  <si>
    <t>Toplam 640.0102 - TARA İNŞAAT A.Ş.</t>
  </si>
  <si>
    <t>Toplam 640 - İŞTİRAKLERDEN TEMETTÜ GELİRLERİ</t>
  </si>
  <si>
    <t>641 - BAĞLI ORTAKLIKLARDAN TEMETTÜ GELİRLERİ</t>
  </si>
  <si>
    <t>Toplam 641 - BAĞLI ORTAKLIKLARDAN TEMETTÜ GELİRLERİ</t>
  </si>
  <si>
    <t>642 - FAİZ GELİRLERİ</t>
  </si>
  <si>
    <t>642.0102 - MEVDUAT FAİZLERİ</t>
  </si>
  <si>
    <t>642.0102.1004 - AKBANK OSB TİCARİ ŞUBESİ</t>
  </si>
  <si>
    <t>642.0102.1005 - ZİRAAT BANKASI BEŞEVLER SAN.BURSA GİRİŞİMCİ ŞUBESİ</t>
  </si>
  <si>
    <t>642.0102.1009 - İŞ BANKASI BURSA TİCARİ ŞUBESİ</t>
  </si>
  <si>
    <t>642.0102.1012 - GARANTİ BANKASI MARMARA TİCARİ ŞB</t>
  </si>
  <si>
    <t>642.0102.1013 - HALKBANK ORGANİZE SANAYİ TİCARİ ŞUBE/BURSA</t>
  </si>
  <si>
    <t>642.0102.1016 - YAPI KREDİ NİLÜFER ŞUBESİ</t>
  </si>
  <si>
    <t>642.0102.1020 - FİBABANK BURSA ŞB</t>
  </si>
  <si>
    <t>642.0102.1021 - QNB FİNANSBANK BURSA ŞUBESİ</t>
  </si>
  <si>
    <t>642.0102.1022 - BURGAN BANK PLAZA ŞB</t>
  </si>
  <si>
    <t>642.0102.1028 - TEB BURSA DEMİRTAŞ ORG.SAN.MEVDUAT HS.</t>
  </si>
  <si>
    <t>642.0102.1031 - DENİZBANK BURSA TİCARİ ŞB.</t>
  </si>
  <si>
    <t>Toplam 642.0102 - MEVDUAT FAİZLERİ</t>
  </si>
  <si>
    <t>Toplam 642 - FAİZ GELİRLERİ</t>
  </si>
  <si>
    <t>643 - KOMİSYON GELİRLERİ</t>
  </si>
  <si>
    <t>Toplam 643 - KOMİSYON GELİRLERİ</t>
  </si>
  <si>
    <t>644 - KONUSU KALMAYAN KARŞILIKLAR</t>
  </si>
  <si>
    <t>644.0101 - KONUSU KALMAYAN ŞÜP.TİC.AL.KAR.</t>
  </si>
  <si>
    <t>Toplam 644.0101 - KONUSU KALMAYAN ŞÜP.TİC.AL.KAR.</t>
  </si>
  <si>
    <t>Toplam 644 - KONUSU KALMAYAN KARŞILIKLAR</t>
  </si>
  <si>
    <t>645 - MENKUL KIYMET SATIŞ KARLARI</t>
  </si>
  <si>
    <t>645.0101 - MENKUL KIYMET SATIŞ KARLARI</t>
  </si>
  <si>
    <t>645.0101.1005 - İŞ BANKASI BURSA TİC.ŞUBE</t>
  </si>
  <si>
    <t>645.0101.1006 - YAPI KREDİ BANKASI NİLÜFER ŞUBE</t>
  </si>
  <si>
    <t>645.0101.1007 - ZİRAAT BANKASI BURSA TİC.ŞUBE</t>
  </si>
  <si>
    <t>645.0101.1009 - AKBANK-OSB ŞB-219-12940 NL HS.</t>
  </si>
  <si>
    <t>645.0101.1010 - DENİZBANK MARMARA TİCARİ MERKEZ ŞB</t>
  </si>
  <si>
    <t>645.0101.1011 - GARANTİ BANKASI MARMARA TİCARİ ŞB</t>
  </si>
  <si>
    <t>Toplam 645.0101 - MENKUL KIYMET SATIŞ KARLARI</t>
  </si>
  <si>
    <t>645.0102 - YATIRIM FONU</t>
  </si>
  <si>
    <t>Toplam 645.0102 - YATIRIM FONU</t>
  </si>
  <si>
    <t>Toplam 645 - MENKUL KIYMET SATIŞ KARLARI</t>
  </si>
  <si>
    <t>646 - KAMBİYO KARLARI</t>
  </si>
  <si>
    <t>646.0101 - KUR FARKLARI</t>
  </si>
  <si>
    <t>646.0101.1001 - KUR FARKLARI</t>
  </si>
  <si>
    <t>Toplam 646.0101 - KUR FARKLARI</t>
  </si>
  <si>
    <t>Toplam 646 - KAMBİYO KARLARI</t>
  </si>
  <si>
    <t>647 - REESKONT FAİZ GELİRLERİ</t>
  </si>
  <si>
    <t>647.0101 - BORÇ SENETLERİ REESKONT FAİZ GELİRLERİ</t>
  </si>
  <si>
    <t>647.0101.1001 - BORÇ SENETLERİ REESKONT FAİZ GELİRLERİ</t>
  </si>
  <si>
    <t>Toplam 647.0101 - BORÇ SENETLERİ REESKONT FAİZ GELİRLERİ</t>
  </si>
  <si>
    <t>647.0102 - ALACAK SENETLERİ REESKONT FAİZ GELİRLERİ</t>
  </si>
  <si>
    <t>647.0102.1001 - ALACAK SENETLERİ REESKONT FAİZ GELİRLERİ</t>
  </si>
  <si>
    <t>Toplam 647.0102 - ALACAK SENETLERİ REESKONT FAİZ GELİRLERİ</t>
  </si>
  <si>
    <t>Toplam 647 - REESKONT FAİZ GELİRLERİ</t>
  </si>
  <si>
    <t>648 - ENFLASYON DÜZELTMESİ KARLARI</t>
  </si>
  <si>
    <t>648.0101 - ENFLASYON DÜZELTMESİ KARLARI</t>
  </si>
  <si>
    <t>Toplam 648.0101 - ENFLASYON DÜZELTMESİ KARLARI</t>
  </si>
  <si>
    <t>Toplam 648 - ENFLASYON DÜZELTMESİ KARLARI</t>
  </si>
  <si>
    <t>649 - DİĞER OLAĞAN GELİR VE KARLAR</t>
  </si>
  <si>
    <t>649.0101 - KİRA GELİRLERİ</t>
  </si>
  <si>
    <t>Toplam 649.0101 - KİRA GELİRLERİ</t>
  </si>
  <si>
    <t>649.0102 - NAKLİYE GELİRLERİ</t>
  </si>
  <si>
    <t>Toplam 649.0102 - NAKLİYE GELİRLERİ</t>
  </si>
  <si>
    <t>649.0103 - HİZMET SATIŞ GELİRLERİ</t>
  </si>
  <si>
    <t>Toplam 649.0103 - HİZMET SATIŞ GELİRLERİ</t>
  </si>
  <si>
    <t>649.0104 - DİĞER OLAĞAN GELİR VE KARLAR</t>
  </si>
  <si>
    <t>649.0104.1001 - DİĞER OLAĞAN VE KARLAR</t>
  </si>
  <si>
    <t>Toplam 649.0104 - DİĞER OLAĞAN GELİR VE KARLAR</t>
  </si>
  <si>
    <t>Toplam 649 - DİĞER OLAĞAN GELİR VE KARLAR</t>
  </si>
  <si>
    <t>653 - KOMİSYON GİDERLERİ ( - )</t>
  </si>
  <si>
    <t>653.0101 - KOMİSYON GİDERLERİ</t>
  </si>
  <si>
    <t>Toplam 653.0101 - KOMİSYON GİDERLERİ</t>
  </si>
  <si>
    <t>Toplam 653 - KOMİSYON GİDERLERİ ( - )</t>
  </si>
  <si>
    <t>654 - KARŞILIK GİDERLERİ ( - )</t>
  </si>
  <si>
    <t>654.0101 - ŞÜPHELİ TİCARİ ALACAK KARŞILIK GİDERLERİ</t>
  </si>
  <si>
    <t>Toplam 654.0101 - ŞÜPHELİ TİCARİ ALACAK KARŞILIK GİDERLERİ</t>
  </si>
  <si>
    <t>Toplam 654 - KARŞILIK GİDERLERİ ( - )</t>
  </si>
  <si>
    <t>655 - MENKUL KIYMET SATIŞ ZARARLARI  ( - )</t>
  </si>
  <si>
    <t>655.0101 - YATIRIM FONU</t>
  </si>
  <si>
    <t>Toplam 655.0101 - YATIRIM FONU</t>
  </si>
  <si>
    <t>Toplam 655 - MENKUL KIYMET SATIŞ ZARARLARI  ( - )</t>
  </si>
  <si>
    <t>656 - KAMBİYO ZARARLARI ( - )</t>
  </si>
  <si>
    <t>656.0101 - KUR FARKLARI</t>
  </si>
  <si>
    <t>656.0101.1001 - KUR FARKLARI</t>
  </si>
  <si>
    <t>Toplam 656.0101 - KUR FARKLARI</t>
  </si>
  <si>
    <t>Toplam 656 - KAMBİYO ZARARLARI ( - )</t>
  </si>
  <si>
    <t>657 - REESKONT FAİZ GİDERLERİ   ( - )</t>
  </si>
  <si>
    <t>657.0101 - ALACAK SENETLER REESKONT FAİZ GİDERLERİ</t>
  </si>
  <si>
    <t>657.0101.1001 - ALACAK SENETLER REESKONT FAİZ GİDERLERİ</t>
  </si>
  <si>
    <t>Toplam 657.0101 - ALACAK SENETLER REESKONT FAİZ GİDERLERİ</t>
  </si>
  <si>
    <t>657.0102 - BORÇ SENETLERİ REESKONT FAİZ GİDERLERİ</t>
  </si>
  <si>
    <t>657.0102.1001 - BORÇ SENETLERİ REESKONT FAİZ GİDERLERİ</t>
  </si>
  <si>
    <t>Toplam 657.0102 - BORÇ SENETLERİ REESKONT FAİZ GİDERLERİ</t>
  </si>
  <si>
    <t>Toplam 657 - REESKONT FAİZ GİDERLERİ   ( - )</t>
  </si>
  <si>
    <t>658 - ENFLASYON DÜZELTMESİ ZARARLARI (-)</t>
  </si>
  <si>
    <t>658.0101 - ENFLASYON DÜZELTMESİ ZARARLARI (-)</t>
  </si>
  <si>
    <t>658.0101.1001 - ENFLASYON DÜZELTMESİ ZARARLARI (-)</t>
  </si>
  <si>
    <t>Toplam 658.0101 - ENFLASYON DÜZELTMESİ ZARARLARI (-)</t>
  </si>
  <si>
    <t>Toplam 658 - ENFLASYON DÜZELTMESİ ZARARLARI (-)</t>
  </si>
  <si>
    <t>659 - DİĞER OLAĞAN GİDER VE ZARARLAR ( - )</t>
  </si>
  <si>
    <t>659.0101 - DİĞER OLAĞAN GİDER VE ZARARLAR ( - )</t>
  </si>
  <si>
    <t>Toplam 659.0101 - DİĞER OLAĞAN GİDER VE ZARARLAR ( - )</t>
  </si>
  <si>
    <t>Toplam 659 - DİĞER OLAĞAN GİDER VE ZARARLAR ( - )</t>
  </si>
  <si>
    <t>660 - KISA VADELİ BORÇLANMA GİDERLERİ ( - )</t>
  </si>
  <si>
    <t>660.0101 - KISA VADELİ BORÇLANMA GİDERLERİ</t>
  </si>
  <si>
    <t>Toplam 660.0101 - KISA VADELİ BORÇLANMA GİDERLERİ</t>
  </si>
  <si>
    <t>Toplam 660 - KISA VADELİ BORÇLANMA GİDERLERİ ( - )</t>
  </si>
  <si>
    <t>661 - UZUN VADELİ BORÇLANMA GİDERLERİ</t>
  </si>
  <si>
    <t>661.0101 - UZUN VADELİ BORÇLANMA GİDERLERİ</t>
  </si>
  <si>
    <t>Toplam 661.0101 - UZUN VADELİ BORÇLANMA GİDERLERİ</t>
  </si>
  <si>
    <t>Toplam 661 - UZUN VADELİ BORÇLANMA GİDERLERİ</t>
  </si>
  <si>
    <t>780 - FİNANSMAN GİDERLERİ</t>
  </si>
  <si>
    <t>780.0101 - KISA VADELİ FİNANSMAN GİDERLERİ</t>
  </si>
  <si>
    <t>780.0101.1001 - KISA VADELİ BANKA KREDİ FAİZLERİ</t>
  </si>
  <si>
    <t>780.0101.1003 - BANKA MASRAF VE KOMİSYON GİDERLER</t>
  </si>
  <si>
    <t>780.0101.1004 - TEMİNAT MEKTUBU KOMİSYONLARI</t>
  </si>
  <si>
    <t>780.0101.1005 - VADE FARKI GİDERLERİ</t>
  </si>
  <si>
    <t>Toplam 780.0101 - KISA VADELİ FİNANSMAN GİDERLERİ</t>
  </si>
  <si>
    <t>780.0102 - DİĞER KISA VADELİ FİNANSMAN GİDERLERİ</t>
  </si>
  <si>
    <t>Toplam 780.0102 - DİĞER KISA VADELİ FİNANSMAN GİDERLERİ</t>
  </si>
  <si>
    <t>780.0103 - UZUN VADELİ FİNANSMAN GİDERLERİ</t>
  </si>
  <si>
    <t>780.0103.1001 - UZUN  VADELİ BANKA KREDİ FAİZLERİ</t>
  </si>
  <si>
    <t>Toplam 780.0103 - UZUN VADELİ FİNANSMAN GİDERLERİ</t>
  </si>
  <si>
    <t>780.0104 - DİĞER UZUN VADELİ FİNANSMAN GİDERLERİ</t>
  </si>
  <si>
    <t>Toplam 780.0104 - DİĞER UZUN VADELİ FİNANSMAN GİDERLERİ</t>
  </si>
  <si>
    <t>Toplam 780 - FİNANSMAN GİDERLERİ</t>
  </si>
  <si>
    <t>781 - FİNANSMAN GİDERLERİ YANSITMA HESABI</t>
  </si>
  <si>
    <t>781.0101 - FİNANSMAN GİDERLERİ YANSITMA HESABI</t>
  </si>
  <si>
    <t>Toplam 781.0101 - FİNANSMAN GİDERLERİ YANSITMA HESABI</t>
  </si>
  <si>
    <t>Toplam 781 - FİNANSMAN GİDERLERİ YANSITMA HESABI</t>
  </si>
  <si>
    <t>Toplam Finansal Giderler</t>
  </si>
  <si>
    <t>Olağandışı Gelir ve Giderler</t>
  </si>
  <si>
    <t>671 - ÖNCEKİ DÖNEM GELİR VE KARLARI</t>
  </si>
  <si>
    <t>Toplam 671 - ÖNCEKİ DÖNEM GELİR VE KARLARI</t>
  </si>
  <si>
    <t>679 - DİĞER OLAĞANDIŞI GELİR VE KARLAR</t>
  </si>
  <si>
    <t>679.0101 - DURAN VARLIK SATIŞ KARLARI</t>
  </si>
  <si>
    <t>679.0101.1001 - DURAN VARLIK SATIŞ KARLARI</t>
  </si>
  <si>
    <t>Toplam 679.0101 - DURAN VARLIK SATIŞ KARLARI</t>
  </si>
  <si>
    <t>679.0102 - ALINAN HASAR BEDELLERİ</t>
  </si>
  <si>
    <t>Toplam 679.0102 - ALINAN HASAR BEDELLERİ</t>
  </si>
  <si>
    <t>679.0103 - PROMOSYON GELİRLERİ</t>
  </si>
  <si>
    <t>Toplam 679.0103 - PROMOSYON GELİRLERİ</t>
  </si>
  <si>
    <t>679.0105 - SAYIM VE TESELLÜM FAZLALARI</t>
  </si>
  <si>
    <t>Toplam 679.0105 - SAYIM VE TESELLÜM FAZLALARI</t>
  </si>
  <si>
    <t>679.0106 - DİĞER ÇEŞİTLİ OLAĞANDIŞI GELİR VE KARLAR</t>
  </si>
  <si>
    <t>679.0106.0001 - DİĞER ÇEŞİTLİ OLAĞANDIŞI GELİR VE KARLAR</t>
  </si>
  <si>
    <t>Toplam 679.0106 - DİĞER ÇEŞİTLİ OLAĞANDIŞI GELİR VE KARLAR</t>
  </si>
  <si>
    <t>Toplam 679 - DİĞER OLAĞANDIŞI GELİR VE KARLAR</t>
  </si>
  <si>
    <t>680 - ÇALIŞMAYAN KISIM GİDER VE ZARARLARI</t>
  </si>
  <si>
    <t>Toplam 680 - ÇALIŞMAYAN KISIM GİDER VE ZARARLARI</t>
  </si>
  <si>
    <t>681 - ÖNCEKİ DÖNEM GİDER VE ZARARLARI</t>
  </si>
  <si>
    <t>681.0101 - ÖNCEKİ DÖNEM GİDER VE ZARARLARI</t>
  </si>
  <si>
    <t>Toplam 681.0101 - ÖNCEKİ DÖNEM GİDER VE ZARARLARI</t>
  </si>
  <si>
    <t>Toplam 681 - ÖNCEKİ DÖNEM GİDER VE ZARARLARI</t>
  </si>
  <si>
    <t>689 - DİĞER OLAĞAN DIŞI GİDER VE ZARARLAR</t>
  </si>
  <si>
    <t>689.0101 - DURAN VARLIK SATIŞ ZARARLARI</t>
  </si>
  <si>
    <t>Toplam 689.0101 - DURAN VARLIK SATIŞ ZARARLARI</t>
  </si>
  <si>
    <t>689.0201 - DİĞER ÇEŞİTLİ OLAĞAN GİDER VE ZARARLAR</t>
  </si>
  <si>
    <t>689.0201.2001 - DİĞER ÇEŞİTLİ OLAĞAN GİDER VE ZARARLAR</t>
  </si>
  <si>
    <t>Toplam 689.0201 - DİĞER ÇEŞİTLİ OLAĞAN GİDER VE ZARARLAR</t>
  </si>
  <si>
    <t>Toplam 689 - DİĞER OLAĞAN DIŞI GİDER VE ZARARLAR</t>
  </si>
  <si>
    <t>690 - DÖNEM KARI VEYA ZARARI</t>
  </si>
  <si>
    <t>690.0101 - DÖNEM KARI VEYA ZARARI</t>
  </si>
  <si>
    <t>Toplam 690.0101 - DÖNEM KARI VEYA ZARARI</t>
  </si>
  <si>
    <t>Toplam 690 - DÖNEM KARI VEYA ZARARI</t>
  </si>
  <si>
    <t>691 - DÖNEM KARI VE DİĞ.YASAL YÜKÜML.KARŞILIKLARI (- )</t>
  </si>
  <si>
    <t>691.0101 - KURUMLAR VERGİSİ KARŞILIĞI</t>
  </si>
  <si>
    <t>Toplam 691.0101 - KURUMLAR VERGİSİ KARŞILIĞI</t>
  </si>
  <si>
    <t>Toplam 691 - DÖNEM KARI VE DİĞ.YASAL YÜKÜML.KARŞILIKLARI (- )</t>
  </si>
  <si>
    <t>692 - DÖNEM NET KARI VEYA ZARARI</t>
  </si>
  <si>
    <t>692.0101 - DÖNEM NET KARI VEYA ZARARI</t>
  </si>
  <si>
    <t>Toplam 692.0101 - DÖNEM NET KARI VEYA ZARARI</t>
  </si>
  <si>
    <t>Toplam 692 - DÖNEM NET KARI VEYA ZARARI</t>
  </si>
  <si>
    <t>698 - ENFLASYON DÜZELTME HESABI</t>
  </si>
  <si>
    <t>698.0101 - ENFLASYON DÜZELTME HESABI</t>
  </si>
  <si>
    <t>698.0101.0000 - TİCARİ MALLAR ENFLASYON DÜZELTMESİ</t>
  </si>
  <si>
    <t>698.0101.0001 - DİĞER STOKLAR ENFLASYON DÜZELTMESİ</t>
  </si>
  <si>
    <t>698.0101.0003 - GELECEK AYLARA AİT GİDERLER ENF DÜZELTMESİ</t>
  </si>
  <si>
    <t>698.0101.0006 - ARAZİ VE ARSALAR ENF DÜZELTMESİ</t>
  </si>
  <si>
    <t>698.0101.0009 - DEMİRBAŞLAR  ENFLASYON DÜZELTMESİ</t>
  </si>
  <si>
    <t>698 0101.0010 - TAŞITLAR ENF.DÜZELTMESİ</t>
  </si>
  <si>
    <t>698.0101.0013 - TAŞITLAR BİRİKMİŞ AMORTİSMANLAR ENF DÜZ</t>
  </si>
  <si>
    <t>698.0101.0014 - DEMİRBAŞLAR BİRİKMİŞ AM.ENF DÜZ</t>
  </si>
  <si>
    <t>698.0101.0015 - HAKLAR ENFLASYON DÜZ</t>
  </si>
  <si>
    <t>698.0101.0016 - ÖZEL MALİYETLER ENF DÜZ</t>
  </si>
  <si>
    <t>698.0101.0017 - HAKLAR BİRİKMİŞ AMORTİSMANLAR ENF DÜZ</t>
  </si>
  <si>
    <t>698.0101.0018 - ÖZEL MALİYETLER  BİRİKMİŞ AMORT ENF DÜZ</t>
  </si>
  <si>
    <t>698.0101.0019 - GELECEK YILLARA AİT GİDERLER ENF DÜZELTMESİ</t>
  </si>
  <si>
    <t>698.0101.0022 - SERMAYE HESABI ENF DÜZ</t>
  </si>
  <si>
    <t>698.0101.0025 - I.TERTİP YEDEK AKÇE ENF DÜZ</t>
  </si>
  <si>
    <t>698.0101.0027 - II.TERTİP YEDEK AKÇE ENF DÜZ</t>
  </si>
  <si>
    <t>698.0101.0029 - OLAĞAN ÜSTÜ YEDEKLER ENF FARKI DÜZELTMESİ</t>
  </si>
  <si>
    <t>698.0101.0035 - GEÇMİŞ YIL KARLARI</t>
  </si>
  <si>
    <t>698.0101.0036 - YAPILMAKTA OLAN YATIRIMLAR ENF DÜZELTMESİ</t>
  </si>
  <si>
    <t>698.0101.0037 - ÖZEL FONLAR ENF DÜZELTMESİ</t>
  </si>
  <si>
    <t>Toplam 698.0101 - ENFLASYON DÜZELTME HESABI</t>
  </si>
  <si>
    <t>Toplam 698 - ENFLASYON DÜZELTME HESABI</t>
  </si>
  <si>
    <t>890 - SAP SİSTEM HESAPLARI</t>
  </si>
  <si>
    <t>890.0101 - TANIMLAMA VE AÇILIŞA İLİŞKİN SERBEST HESAPLAR</t>
  </si>
  <si>
    <t>890.0101.0001 - Açılış bilanço hesabı</t>
  </si>
  <si>
    <t>890.0101.0002 - Dummy-Satış</t>
  </si>
  <si>
    <t>890.0101.0005 - Dummy-Fark Hesabı</t>
  </si>
  <si>
    <t>Toplam 890.0101 - TANIMLAMA VE AÇILIŞA İLİŞKİN SERBEST HESAPLAR</t>
  </si>
  <si>
    <t>890.0102 - MAL HAREKETLERİNE İLİŞKİN SERBEST HESAPLAR</t>
  </si>
  <si>
    <t>890.0102.0010 - FTAS MAL BEDELI-010 ECA KROM</t>
  </si>
  <si>
    <t>890.0102.0011 - FTAS MAL BEDELI-011 ARYAK KROM</t>
  </si>
  <si>
    <t>890.0102.0012 - FTAS MAL BEDELI-012 KALE KROM</t>
  </si>
  <si>
    <t>890.0102.0013 - FTAS MAL BEDELI-013 DİĞER KROM</t>
  </si>
  <si>
    <t>890.0102.0020 - FTAS MAL BEDELI-020 ECA SARI</t>
  </si>
  <si>
    <t>890.0102.0030 - FTAS MAL BEDELI-030 SEREL VİT</t>
  </si>
  <si>
    <t>890.0102.0031 - FTAS MAL BEDELI-031 KALE VİT</t>
  </si>
  <si>
    <t>890.0102.0032 - FTAS MAL BEDELI-032 DİĞER VİT</t>
  </si>
  <si>
    <t>890.0102.0040 - FTAS MAL BEDELI-040 KALE SERAMİK</t>
  </si>
  <si>
    <t>890.0102.0050 - FTAS MAL BEDELI-050 KÜV.TEKN. KAB</t>
  </si>
  <si>
    <t>890.0102.0060 - FTAS MAL BEDELI-060 MUTFAK CHZ</t>
  </si>
  <si>
    <t>890.0102.0090 - FTAS MAL BEDELI-090 BANYO MOB.AKS</t>
  </si>
  <si>
    <t>890.0102.0100 - FTAS MAL BEDELI-100 RADYATÖRLER</t>
  </si>
  <si>
    <t>890.0102.0110 - FTAS MAL BEDELI-110 KOMBI</t>
  </si>
  <si>
    <t>890.0102.0111 - FTAS MAL BEDELI-111 DİĞER ISI</t>
  </si>
  <si>
    <t>890.0102.0120 - FTAS MAL BEDELI-120 YAPIŞTIRICI</t>
  </si>
  <si>
    <t>890.0102.0121 - FTAS MAL BEDELI-121 FUGA</t>
  </si>
  <si>
    <t>890.0102.0122 - FTAS MAL BEDELI-122 FAYSER</t>
  </si>
  <si>
    <t>890.0102.0130 - FTAS MAL BEDELI-130 İZOLASYON</t>
  </si>
  <si>
    <t>890.0102.0140 - FTAS MAL BEDELI-140 BOYA</t>
  </si>
  <si>
    <t>890.0102.0160 - FTAS MAL BEDELI-160 DEMİR BORU</t>
  </si>
  <si>
    <t>890.0102.0161 - ÇEKİM YAPILAN TİCARİ MALLAR</t>
  </si>
  <si>
    <t>890.0102.0163 - KESİM YAPILAN TİCARİ MALLAR</t>
  </si>
  <si>
    <t>890.0102.0178 - FTAS MAL BEDELI-178 SAÇ ÜRÜNLER</t>
  </si>
  <si>
    <t>890.0102.0980 - FTAS MAL BEDELI-980 PALET VB</t>
  </si>
  <si>
    <t>890.0102.0990 - FTAS MAL BEDELI-990 DİĞER</t>
  </si>
  <si>
    <t>890.0102.4002 - Stok Denkleştirme Azalış</t>
  </si>
  <si>
    <t>890.0102.5001 - STOK KARIŞAN ÜRÜNLER</t>
  </si>
  <si>
    <t>890.0102.6001 - BORU URUNLER TRANSFER</t>
  </si>
  <si>
    <t>890.0102.7001 - SAC URUNLER TRANSFER</t>
  </si>
  <si>
    <t>Toplam 890.0102 - MAL HAREKETLERİNE İLİŞKİN SERBEST HESAPLAR</t>
  </si>
  <si>
    <t>890.0103 - KDV'YE İLİŞKİN SERBEST HESAPLAR</t>
  </si>
  <si>
    <t>890.0103.0191 - KDV ye Tabi Olmayan-Satınalma</t>
  </si>
  <si>
    <t>890.0103.0391 - KDV ye Tabi Olmayan-Satış</t>
  </si>
  <si>
    <t>Toplam 890.0103 - KDV'YE İLİŞKİN SERBEST HESAPLAR</t>
  </si>
  <si>
    <t>890.0104 - DURAN VARLIKLARA İLİŞKİN SERBEST HESAPLAR</t>
  </si>
  <si>
    <t>Toplam 890.0104 - DURAN VARLIKLARA İLİŞKİN SERBEST HESAPLAR</t>
  </si>
  <si>
    <t>890.0105 - AMORTİSMANLARA İLİŞKİN SERBEST HESAPLAR</t>
  </si>
  <si>
    <t>Toplam 890.0105 - AMORTİSMANLARA İLİŞKİN SERBEST HESAPLAR</t>
  </si>
  <si>
    <t>890.0106 - İTHALATA İLİŞKİN SERBEST HESAPLAR</t>
  </si>
  <si>
    <t>Toplam 890.0106 - İTHALATA İLİŞKİN SERBEST HESAPLAR</t>
  </si>
  <si>
    <t>890.0107 - Sistem Para Birimine İlişkin Serbest Hesaplar</t>
  </si>
  <si>
    <t>Toplam 890.0107 - Sistem Para Birimine İlişkin Serbest Hesaplar</t>
  </si>
  <si>
    <t>Toplam 890 - SAP SİSTEM HESAPLARI</t>
  </si>
  <si>
    <t>900 - BORÇLU NAZIM HESAPLAR</t>
  </si>
  <si>
    <t>900.0101 - TEMİNAT MEKTUBUNDAN BORÇLULAR</t>
  </si>
  <si>
    <t>900.0101.1002 - HÜPPE İNŞ.MALZ.SAN.VE TİC.A.Ş.</t>
  </si>
  <si>
    <t>Toplam 900.0101 - TEMİNAT MEKTUBUNDAN BORÇLULAR</t>
  </si>
  <si>
    <t>900.0102 - KEFALETTEN BORÇLULAR</t>
  </si>
  <si>
    <t>Toplam 900.0102 - KEFALETTEN BORÇLULAR</t>
  </si>
  <si>
    <t>900.0103 - TEMİNAT SENEDİNDEN BORÇLULAR</t>
  </si>
  <si>
    <t>Toplam 900.0103 - TEMİNAT SENEDİNDEN BORÇLULAR</t>
  </si>
  <si>
    <t>900.0104 - ORTAK KARTDAN (DBS) BORÇLULAR</t>
  </si>
  <si>
    <t>Toplam 900.0104 - ORTAK KARTDAN (DBS) BORÇLULAR</t>
  </si>
  <si>
    <t>Toplam 900 - BORÇLU NAZIM HESAPLAR</t>
  </si>
  <si>
    <t>901 - ALACAKLI NAZIM HESAPLAR</t>
  </si>
  <si>
    <t>901.0101 - TEMİNAT MEKTUBUNDAN ALACAKLILAR</t>
  </si>
  <si>
    <t>901.0101.1002 - HÜPPE İNŞ.MALZ.SAN.VE TİC.A.Ş.</t>
  </si>
  <si>
    <t>Toplam 901.0101 - TEMİNAT MEKTUBUNDAN ALACAKLILAR</t>
  </si>
  <si>
    <t>901.0102 - KEFALETTEN ALACAKLILAR</t>
  </si>
  <si>
    <t>Toplam 901.0102 - KEFALETTEN ALACAKLILAR</t>
  </si>
  <si>
    <t>901.0103 - TEMİNAT SENEDİNDEN ALACAKLILAR</t>
  </si>
  <si>
    <t>Toplam 901.0103 - TEMİNAT SENEDİNDEN ALACAKLILAR</t>
  </si>
  <si>
    <t>901.0104 - ORTAK KARTDAN (DBS) ALACAKLILAR</t>
  </si>
  <si>
    <t>Toplam 901.0104 - ORTAK KARTDAN (DBS) ALACAKLILAR</t>
  </si>
  <si>
    <t>Toplam 901 - ALACAKLI NAZIM HESAPLAR</t>
  </si>
  <si>
    <t>Toplam Olağandışı Gelir ve Giderler</t>
  </si>
  <si>
    <t>#9</t>
  </si>
  <si>
    <t>Toplam #9</t>
  </si>
  <si>
    <t>#10</t>
  </si>
  <si>
    <t>Toplam #10</t>
  </si>
  <si>
    <t>=============</t>
  </si>
  <si>
    <t>Toplam</t>
  </si>
  <si>
    <t>Tara Boru ve İnşaat Malzemeleri San.Tic.A.Ş.</t>
  </si>
  <si>
    <t>Alaaddinbey Mh.İzmir Yolu Cd.No:343/1Nilüfer/Bursa</t>
  </si>
  <si>
    <t>Çekirge V.D.Başkanlığı 8230321466</t>
  </si>
  <si>
    <t xml:space="preserve">       </t>
  </si>
  <si>
    <t>1-DÖNEN VARLIKLAR</t>
  </si>
  <si>
    <t>A.HAZIR DEĞERLER</t>
  </si>
  <si>
    <t>01.Kasa</t>
  </si>
  <si>
    <t xml:space="preserve"> </t>
  </si>
  <si>
    <t>02.Alınan Çekler</t>
  </si>
  <si>
    <t>03.Bankalar</t>
  </si>
  <si>
    <t>04.Verilen Çekler ve Ödeme Emirleri</t>
  </si>
  <si>
    <t>05.Diğer Hazır Değerler</t>
  </si>
  <si>
    <t>B.MENKUL KIYMETLER</t>
  </si>
  <si>
    <t>01.Hisse Senetleri</t>
  </si>
  <si>
    <t>03.Kamu Kesimi Tahvil,Senet ve Bonoları</t>
  </si>
  <si>
    <t>04.Diğer Menkul Kıymetler</t>
  </si>
  <si>
    <t>C.TİCARİ ALACAKLAR</t>
  </si>
  <si>
    <t>01.Alıcılar</t>
  </si>
  <si>
    <t>02.Alacak Senetleri</t>
  </si>
  <si>
    <t>03.Alacak Senetleri Reeskontu (-)</t>
  </si>
  <si>
    <t>04.Verilen Depozito ve Teminatlar</t>
  </si>
  <si>
    <t>05.Şüpheli Ticari Alacaklar</t>
  </si>
  <si>
    <t>06.Şüpheli Ticari Alacaklar Karşılığı (-)</t>
  </si>
  <si>
    <t>07.Diğer Ticari Alacaklar</t>
  </si>
  <si>
    <t>D.DİĞER ALACAKLAR</t>
  </si>
  <si>
    <t>01.Ortaklardan Alacaklar</t>
  </si>
  <si>
    <t>02.İştiraklerden Alacaklar</t>
  </si>
  <si>
    <t>03.Bağlı ortaklıklardan alacaklar</t>
  </si>
  <si>
    <t>04.Personelden Alacaklar</t>
  </si>
  <si>
    <t>05.Diğer Çeşitli Alacaklar</t>
  </si>
  <si>
    <t>E.STOKLAR</t>
  </si>
  <si>
    <t>01.İlk Madde ve Malzeme</t>
  </si>
  <si>
    <t>04.Ticari Mallar</t>
  </si>
  <si>
    <t>05.Diğer Stoklar</t>
  </si>
  <si>
    <t>07.Verilen Sipariş Avansları</t>
  </si>
  <si>
    <t>F.GELECEK AYLARA AİT GİDER VE GELİR TAHAK.</t>
  </si>
  <si>
    <t>01.Gelecek Aylara Ait Giderler</t>
  </si>
  <si>
    <t>02.Gelir Tahakkukları</t>
  </si>
  <si>
    <t>G.DİĞER DÖNEN VARLIKLAR</t>
  </si>
  <si>
    <t>01.İndirilecek Katma Değer Vergisi</t>
  </si>
  <si>
    <t>02.Devreden Katma Değer Vergisi</t>
  </si>
  <si>
    <t>03.Diğer KDV</t>
  </si>
  <si>
    <t>04.Peşin Ödenen Vergiler ve Fonlar</t>
  </si>
  <si>
    <t>05.Personel Avansları</t>
  </si>
  <si>
    <t>06.İş Avansları</t>
  </si>
  <si>
    <t>07-Diğer Çeşitli Dönen varlıklar</t>
  </si>
  <si>
    <t>11-DURAN VARLIKLAR</t>
  </si>
  <si>
    <t>A.TİCARİ ALACAKLAR</t>
  </si>
  <si>
    <t>B.DİĞER ALACAKLAR</t>
  </si>
  <si>
    <t>02.Ortaklardan Alacaklar</t>
  </si>
  <si>
    <t>C.MALİ DURAN VARLIKLAR</t>
  </si>
  <si>
    <t>03.İştirakler</t>
  </si>
  <si>
    <t>05.Bağlı ortaklıklar</t>
  </si>
  <si>
    <t>06 Bağlı ortaklıklar sermaye taahhütleri ( - )</t>
  </si>
  <si>
    <t>D.MADDİ DURAN VARLIKLAR</t>
  </si>
  <si>
    <t>01-Arazi ve Arsalar</t>
  </si>
  <si>
    <t>02.Yer altı ve Yerüstü Düzenleri</t>
  </si>
  <si>
    <t>03.Binalar</t>
  </si>
  <si>
    <t>05.Taşıtlar</t>
  </si>
  <si>
    <t>06.Demirbaşlar</t>
  </si>
  <si>
    <t>08.Birikmiş Amortismanlar (-)</t>
  </si>
  <si>
    <t>09.Yapılmakta Olan Yatırımlar</t>
  </si>
  <si>
    <t>10.Verilen Avanslar</t>
  </si>
  <si>
    <t>E.MADDİ OLMAYAN DURAN VARLIKLAR</t>
  </si>
  <si>
    <t>01.Haklar</t>
  </si>
  <si>
    <t>05.Özel Maliyetler</t>
  </si>
  <si>
    <t>06.Diğer Maddi Olmayan Duran Varlıklar</t>
  </si>
  <si>
    <t>07.Birikmiş Amortismanlar</t>
  </si>
  <si>
    <t>08.Verilen Avanslar</t>
  </si>
  <si>
    <t>G.GELECEK YILLARA AİT GİDER VE GELİR TAHAK.</t>
  </si>
  <si>
    <t>01.Gelecek Yıllara Ait Giderler</t>
  </si>
  <si>
    <t>H.DİĞER DURAN VARLIKLAR</t>
  </si>
  <si>
    <t>01.Gelecek Yıllarda İndirilecek KDV</t>
  </si>
  <si>
    <t>AKTİFLER TOPLAMI</t>
  </si>
  <si>
    <t xml:space="preserve">                           </t>
  </si>
  <si>
    <t xml:space="preserve">                 </t>
  </si>
  <si>
    <t>1-KISA VADELİ YABANCI KAYNAKLAR</t>
  </si>
  <si>
    <t>A.MALİ BORÇLAR</t>
  </si>
  <si>
    <t>01.Banka Kredileri</t>
  </si>
  <si>
    <t>02.Finansal Kiralama İşlemlerinden Borçlar</t>
  </si>
  <si>
    <t>03.Ertelenmiş Finansal Kiralama Borçlanma</t>
  </si>
  <si>
    <t>04.Uzun Vadeli Kredi Anapara Taksitleri ve Faizleri</t>
  </si>
  <si>
    <t>09.Diğer Mali  Borçlar</t>
  </si>
  <si>
    <t>B.TİCARİ BORÇLAR</t>
  </si>
  <si>
    <t>01.Satıcılar</t>
  </si>
  <si>
    <t>02.Borç Senetleri</t>
  </si>
  <si>
    <t>03.Borç Senetleri Reeskontu (-)</t>
  </si>
  <si>
    <t>04.Alınan Depozito ve Teminatlar</t>
  </si>
  <si>
    <t>05.Diğer Ticari Borçlar</t>
  </si>
  <si>
    <t>C.DİĞER BORÇLAR</t>
  </si>
  <si>
    <t>01.Ortaklara Borçlar</t>
  </si>
  <si>
    <t>04.Personele Borçlar</t>
  </si>
  <si>
    <t>05.Diğer Borçlar</t>
  </si>
  <si>
    <t>D.ALINAN AVANSLAR</t>
  </si>
  <si>
    <t>01.Alınan Diğer Avanslar</t>
  </si>
  <si>
    <t>02.Alınan Sipariş Avansları</t>
  </si>
  <si>
    <t>F.ÖDENECEK VERGİ VE DİĞER YÜKÜMLÜLÜKLER</t>
  </si>
  <si>
    <t>01.Ödenecek Vergi ve Fonlar</t>
  </si>
  <si>
    <t>02.Ödenecek Sosyal Güvenlik Kesintileri</t>
  </si>
  <si>
    <t>04.Diğer Yükümlülükler</t>
  </si>
  <si>
    <t>G.BORÇ VE GİDER KARŞILIKLARI</t>
  </si>
  <si>
    <t>01.D. Karı Vergi ve Diğ.Yasal Yük.Karşılık</t>
  </si>
  <si>
    <t>02.Dönem Karının Peşin Öd.Verg.ve Diğ.Kar.(-)</t>
  </si>
  <si>
    <t>03.Kıdem Tazminat Karşılığı</t>
  </si>
  <si>
    <t>04.Maliyet Giderleri Karşılığı</t>
  </si>
  <si>
    <t>H.GELECEK AYLARA AİT GELİR VE GİDER TAHAK.</t>
  </si>
  <si>
    <t>02.Gider Tahakkukları</t>
  </si>
  <si>
    <t>I.DİĞER KISA VADELİ YABANCI KAYNAKLAR</t>
  </si>
  <si>
    <t>01.Hesaplanan KDV</t>
  </si>
  <si>
    <t>02.Diğer KDV</t>
  </si>
  <si>
    <t>11-UZUN VADELİ YABANCI KAYNAKLAR</t>
  </si>
  <si>
    <t>E.BORÇ VE GİDER KARŞILIKLARI</t>
  </si>
  <si>
    <t>01.Kıdem Tazminat Karşılıkları</t>
  </si>
  <si>
    <t>F.GELECEK YILLARA AİT GELİR VE GİDER TAHAK.</t>
  </si>
  <si>
    <t>01.Gelecek Yıllara Ait Gelirler</t>
  </si>
  <si>
    <t>G.DİĞER UZUN VADELİ YABANCI KAYNAKLAR</t>
  </si>
  <si>
    <t>111-ÖZ KAYNAKLAR</t>
  </si>
  <si>
    <t>A.ÖDENMİŞ SERMAYE</t>
  </si>
  <si>
    <t>01.Sermaye</t>
  </si>
  <si>
    <t>02.Ödenmiş Sermaye (-)</t>
  </si>
  <si>
    <t>03-Sermaye Düzeltmesi Olumlu Farkları</t>
  </si>
  <si>
    <t>B.SERMAYE YEDEKLERİ</t>
  </si>
  <si>
    <t>01.Hisse Senedi İhraç Primleri</t>
  </si>
  <si>
    <t>02.Hisse Senedi İptal Karları</t>
  </si>
  <si>
    <t>03.Maddi Duran Varlık Yeni.Değ.Artışları</t>
  </si>
  <si>
    <t>04.İştirakler yeniden değerleme artışları</t>
  </si>
  <si>
    <t>05.Diğer Sermaye yedekleri</t>
  </si>
  <si>
    <t>C.KAR YEDEKLERİ</t>
  </si>
  <si>
    <t>01.Yasal Yedekler</t>
  </si>
  <si>
    <t>03.Olağanüstü Yedekler</t>
  </si>
  <si>
    <t>04.Özel Fonlar</t>
  </si>
  <si>
    <t>D.GEÇMİŞ YILLAR KARLARI</t>
  </si>
  <si>
    <t>Geçmiş Yıllar Karları</t>
  </si>
  <si>
    <t>01.2003 yılı enflasyon düz.Karı</t>
  </si>
  <si>
    <t>E.GEÇMİŞ YILLAR ZARARLARI (-)</t>
  </si>
  <si>
    <t xml:space="preserve">F.DÖNEM  KARI(ZARARI) </t>
  </si>
  <si>
    <t>01.Dönem Net Karı</t>
  </si>
  <si>
    <t>02.Dönem Net Zararı (-)</t>
  </si>
  <si>
    <t>PASİFLER TOPLAMI</t>
  </si>
  <si>
    <t xml:space="preserve">                              31/12/1999 GELİR TABLOSU</t>
  </si>
  <si>
    <t xml:space="preserve">                                </t>
  </si>
  <si>
    <t xml:space="preserve">        TARA BORU VE İNŞAAT MALZ.SAN.TİC.A.Ş.'NİN</t>
  </si>
  <si>
    <t>A.BRÜT SATIŞLAR</t>
  </si>
  <si>
    <t>1-Yurtiçi Satışlar</t>
  </si>
  <si>
    <t>2-Yurtdışı Satışlar</t>
  </si>
  <si>
    <t>3-Diğer Gelirler</t>
  </si>
  <si>
    <t>B.</t>
  </si>
  <si>
    <t>SATIŞ İNDİRİMLERİ (-)</t>
  </si>
  <si>
    <t>1-Satıştan İadeler (-)</t>
  </si>
  <si>
    <t>2-Satıştan İskontolar (-)</t>
  </si>
  <si>
    <t>3-Diğer İndirimler (-)</t>
  </si>
  <si>
    <t>C.</t>
  </si>
  <si>
    <t>NET SATIŞLAR</t>
  </si>
  <si>
    <t>D.</t>
  </si>
  <si>
    <t>SATIŞLARIN MALİYETİ</t>
  </si>
  <si>
    <t>1-Satılan Mamuller Maliyeti (-)</t>
  </si>
  <si>
    <t>2-Satılan Ticari Mallar Maliyeti (-)</t>
  </si>
  <si>
    <t>3-Satılan Hizmet Maliyeti (-)</t>
  </si>
  <si>
    <t>4-Diğer Satışların Maliyeti (-)</t>
  </si>
  <si>
    <t>BRÜT SATIŞ KARI VEYA ZARARI</t>
  </si>
  <si>
    <t>E.</t>
  </si>
  <si>
    <t>FAALİYET GİDERLERİ</t>
  </si>
  <si>
    <t>1-Araştırma ve Geliştirme Giderleri (-)</t>
  </si>
  <si>
    <t>2-Pazarlama,Satış ve Dağıtım Giderleri (-)</t>
  </si>
  <si>
    <t>3-Genel Yönetim Giderleri (-)</t>
  </si>
  <si>
    <t>FAALİYET KARI VEYA ZARARI</t>
  </si>
  <si>
    <t>F.</t>
  </si>
  <si>
    <t>DİĞER FAALİYETLERDEN OLAĞAN GELİR VEYA KAR</t>
  </si>
  <si>
    <t>1-İştiraklerden Temettü Gelirleri</t>
  </si>
  <si>
    <t>2-Bağlı Ortaklıklardan Temettü Gelirleri</t>
  </si>
  <si>
    <t>3-Faiz Gelirleri</t>
  </si>
  <si>
    <t>5-Konusu Kalmayan Karşılıklar</t>
  </si>
  <si>
    <t>6-Menkul Kıymet Satış Karları</t>
  </si>
  <si>
    <t>7-Kambiyo Karları</t>
  </si>
  <si>
    <t>8-Reeskont Faiz Gelirleri</t>
  </si>
  <si>
    <t>9-Faaliyetle İlgili Diğer Gelir ve Karlar</t>
  </si>
  <si>
    <t>10-</t>
  </si>
  <si>
    <t xml:space="preserve">10-enflasyon düzeltmesi karları </t>
  </si>
  <si>
    <t>G.</t>
  </si>
  <si>
    <t>DİĞER FAALİYETLERDEN GİDER VE ZARARLAR (-)</t>
  </si>
  <si>
    <t>1-komisyon giderleri</t>
  </si>
  <si>
    <t>2-Reeskont Faiz Giderleri (-)</t>
  </si>
  <si>
    <t>3-Kambiyo Giderleri (-)</t>
  </si>
  <si>
    <t>4-Karşılık Giderleri (-)</t>
  </si>
  <si>
    <t>H.</t>
  </si>
  <si>
    <t>FİNANSMAN GİDERLERİ (-)</t>
  </si>
  <si>
    <t>1-Kisa Vadeli Borçlanma Giderleri (-)</t>
  </si>
  <si>
    <t>2-Uzun Vadeli Borçlanma Giderleri (-)</t>
  </si>
  <si>
    <t>OLAĞAN KAR VEYA ZARAR</t>
  </si>
  <si>
    <t>I.</t>
  </si>
  <si>
    <t>OLAĞANDIŞI GELİR VE KARLAR</t>
  </si>
  <si>
    <t>1-Önceki Dönem Gelir ve Karları</t>
  </si>
  <si>
    <t>2-Diğer Olağandışı Gelir ve Karlar</t>
  </si>
  <si>
    <t>J.</t>
  </si>
  <si>
    <t>OLAĞANDIŞI GİDER VE ZARARLAR</t>
  </si>
  <si>
    <t>1-Çalışmayan Kısım Gider ve Zararları (-)</t>
  </si>
  <si>
    <t>2-Önceki Dönem Gider ve Zararlar (-)</t>
  </si>
  <si>
    <t>3-Diğer Olağandışı Gider ve Zararlar (-)</t>
  </si>
  <si>
    <t>DÖNEM KARI VEYA ZARARLARI</t>
  </si>
  <si>
    <t>K.</t>
  </si>
  <si>
    <t>D.KARI VERGİ VE DİĞER YASAL YÜKÜMLÜLÜK KARŞ.(-)</t>
  </si>
  <si>
    <t>DÖNEM NET KARI VEYA ZARARI</t>
  </si>
  <si>
    <t>5-Enflasyon Düzeltmesi Zararları (-)</t>
  </si>
  <si>
    <t>6-Diğer Olağan Gider ve Zararlar(-)</t>
  </si>
  <si>
    <t>7-Menkul Kıymet Satış Zararları (-)</t>
  </si>
  <si>
    <t>01/01/2024-30/09/2024 TARİHLİ GELİR TABLOSU</t>
  </si>
  <si>
    <t xml:space="preserve">     30.09.2024 TARİHLİ BİLANÇO         </t>
  </si>
  <si>
    <t>101.0112.6003 - KARŞILKSIZ ÇEKLER TL</t>
  </si>
  <si>
    <t>102.0105.5008 - İŞ BANKASI FON HS.</t>
  </si>
  <si>
    <t>102.0107.7008 - ZİRAAT BANKASI ÇEK HS.</t>
  </si>
  <si>
    <t>102.0111.1022 - HALKBANK ORG.SAN.TİC.ŞB. ÇEK HS.</t>
  </si>
  <si>
    <t>102.0117.1009 - GARANTİ BANKASI YÜCEL DBS HD.</t>
  </si>
  <si>
    <t>102.0120.1002 - VAKIFBANK-NİLÜFER ŞB VADELİ MEVDUAT HS</t>
  </si>
  <si>
    <t>108.0404.6019 - TÜRK ELEKTRONİK PARA A.Ş.</t>
  </si>
  <si>
    <t>191.0101.0102 - YURTİÇİ TEVKİFATSIZ ALIMLAR NEDENİYLE ÖDENEN  KDV%8 KDV</t>
  </si>
  <si>
    <t>193.0102.0009 - VAKIFBANK STOPAJ KESİNTİSİ</t>
  </si>
  <si>
    <t>258.0101.1018 - TARA BORU A.Ş. ALAADDİNBEY DEPO</t>
  </si>
  <si>
    <t>260.0101.1015 - HSG G6025H PRO 12KW RAYCUS FİBER LAZER SAC KESİM MAKİNASI 2023</t>
  </si>
  <si>
    <t>260.0101.1016 - NET TAHSİLAT PROGRAMI</t>
  </si>
  <si>
    <t>280.0103.1003 - PEŞİN ÖDENEN GİDERLER NİSAN-MAYIS-HAZİRAN</t>
  </si>
  <si>
    <t>280.0103.1004 - PEŞİN ÖDENEN GİDERLER TEMMUZ-AĞUSTOS-EYLÜL</t>
  </si>
  <si>
    <t>300.0101.1053 - TÜRKİYE FİNANS YILDIRIM  ŞB KMH KREDİ HS</t>
  </si>
  <si>
    <t>300.0101.1080 - KUVEYTTÜRK BEŞEVLER ŞB.NAKİT KREDİ HS.</t>
  </si>
  <si>
    <t>309.0100.1007 - YAPI KREDİ BANKASI HÜRRİYET ŞB (K.K)</t>
  </si>
  <si>
    <t>331.0103.1004 - OSMAN ŞAHİN</t>
  </si>
  <si>
    <t>331.0103.1006 - F.BARIŞCAN ŞAHİN</t>
  </si>
  <si>
    <t>333.0101.1001 - TARA YAPI MALZEMELERİ TİCARET VE SANAYİ A.Ş.</t>
  </si>
  <si>
    <t>360.0201.7001 - KAR DAGITIM STOPJI</t>
  </si>
  <si>
    <t>373.0101.1003 - 3.DÖNEM AMORTİSMAN GİDERLERİ</t>
  </si>
  <si>
    <t>391.0606.1001 - 10/10 SORUMLU SIFATI İLE HESAPLANAN KDV   %18/</t>
  </si>
  <si>
    <t>549.1111 - ÖZEL FONLAR YAPILMAKTA OLAN YATIRIMLAR</t>
  </si>
  <si>
    <t>549.1111.0001 - YAPILMAKTA OLAN YATIRIMLAR ENF DÜZELTMESİ HS</t>
  </si>
  <si>
    <t>Toplam 549.1111 - ÖZEL FONLAR YAPILMAKTA OLAN YATIRIMLAR</t>
  </si>
  <si>
    <t>610.0101.1032 - İADE-032 DİĞER VİT</t>
  </si>
  <si>
    <t>610.0101.1090 - İADE-090 BANYO MOB.AKS</t>
  </si>
  <si>
    <t>610.0101.1122 - İADE-122 FAYSER</t>
  </si>
  <si>
    <t>760.5001.1002 - DAMGA VERGİSİ</t>
  </si>
  <si>
    <t>760.5001.1004 - ÇEVRE TEMİZLİK VERGİLERİ</t>
  </si>
  <si>
    <t>760.5001.1005 - İLAN REKLAM VERGİLERİ</t>
  </si>
  <si>
    <t>770.3002.1003 - BÜRO.MAK.DÖŞEME DEMİRBAŞ BAK.ON.GİD.</t>
  </si>
  <si>
    <t>770.3003.1005 - KARGO GİDERLERİ</t>
  </si>
  <si>
    <t>770.4005.1002 - NOTER GİDERLERİ</t>
  </si>
  <si>
    <t>770.5001.1018 - DİĞER VERGİ RESİM VE HARÇLAR</t>
  </si>
  <si>
    <t>642.0102.1018 - VAKIFBANK-NİLÜFER ŞB</t>
  </si>
  <si>
    <t>780.0102.1001 - DİĞER KISA VADELİ FİNANSMAN GİDERLERİ</t>
  </si>
  <si>
    <r>
      <t xml:space="preserve">                      30.09.2024 TARİHLİ BİLANÇO         </t>
    </r>
    <r>
      <rPr>
        <sz val="9"/>
        <rFont val="Times New Roman Tur"/>
        <family val="1"/>
        <charset val="162"/>
      </rPr>
      <t xml:space="preserve">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</si>
</sst>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5" formatCode="_-* #,##0.00\ _T_L_-;\-* #,##0.00\ _T_L_-;_-* &quot;-&quot;??\ _T_L_-;_-@_-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Times New Roman Tur"/>
      <family val="1"/>
      <charset val="162"/>
    </font>
    <font>
      <sz val="11"/>
      <name val="Times New Roman Tur"/>
      <family val="1"/>
      <charset val="162"/>
    </font>
    <font>
      <sz val="11"/>
      <name val="Arial Tur"/>
      <charset val="162"/>
    </font>
    <font>
      <sz val="10"/>
      <name val="Arial Tur"/>
      <family val="2"/>
      <charset val="162"/>
    </font>
    <font>
      <b/>
      <sz val="10"/>
      <name val="Arial Tur"/>
      <charset val="162"/>
    </font>
    <font>
      <sz val="10"/>
      <name val="Arial Tur"/>
      <charset val="162"/>
    </font>
    <font>
      <b/>
      <sz val="10"/>
      <name val="Arial"/>
      <family val="2"/>
      <charset val="162"/>
    </font>
    <font>
      <sz val="9"/>
      <name val="Times New Roman Tur"/>
      <family val="1"/>
      <charset val="162"/>
    </font>
    <font>
      <b/>
      <sz val="9"/>
      <name val="Times New Roman Tur"/>
      <family val="1"/>
      <charset val="162"/>
    </font>
    <font>
      <b/>
      <sz val="10"/>
      <name val="Arial"/>
      <family val="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0"/>
      <name val="Arial"/>
      <family val="2"/>
      <charset val="162"/>
    </font>
    <font>
      <sz val="10"/>
      <name val="Arial"/>
      <family val="2"/>
    </font>
    <font>
      <sz val="9"/>
      <name val="Arial Tur"/>
      <charset val="162"/>
    </font>
    <font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name val="Arial Tur"/>
      <family val="2"/>
      <charset val="162"/>
    </font>
    <font>
      <b/>
      <sz val="9"/>
      <name val="Arial Tur"/>
      <family val="2"/>
      <charset val="162"/>
    </font>
    <font>
      <b/>
      <sz val="9"/>
      <name val="Arial Tur"/>
      <charset val="162"/>
    </font>
    <font>
      <sz val="9"/>
      <name val="Times New Roman Tur"/>
      <charset val="16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/>
  </cellStyleXfs>
  <cellXfs count="41">
    <xf numFmtId="0" fontId="0" fillId="0" borderId="0" xfId="0"/>
    <xf numFmtId="4" fontId="0" fillId="0" borderId="0" xfId="0" applyNumberFormat="1"/>
    <xf numFmtId="0" fontId="2" fillId="0" borderId="0" xfId="0" quotePrefix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7" fillId="0" borderId="0" xfId="0" applyNumberFormat="1" applyFont="1"/>
    <xf numFmtId="4" fontId="6" fillId="0" borderId="0" xfId="0" applyNumberFormat="1" applyFont="1"/>
    <xf numFmtId="4" fontId="8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quotePrefix="1" applyFont="1" applyAlignment="1">
      <alignment horizontal="left"/>
    </xf>
    <xf numFmtId="43" fontId="0" fillId="0" borderId="0" xfId="0" applyNumberFormat="1"/>
    <xf numFmtId="0" fontId="15" fillId="0" borderId="0" xfId="0" applyFont="1"/>
    <xf numFmtId="4" fontId="16" fillId="0" borderId="0" xfId="0" applyNumberFormat="1" applyFont="1"/>
    <xf numFmtId="4" fontId="15" fillId="0" borderId="0" xfId="0" applyNumberFormat="1" applyFont="1"/>
    <xf numFmtId="4" fontId="5" fillId="0" borderId="0" xfId="0" applyNumberFormat="1" applyFont="1"/>
    <xf numFmtId="0" fontId="8" fillId="0" borderId="0" xfId="0" applyFont="1"/>
    <xf numFmtId="4" fontId="8" fillId="0" borderId="0" xfId="0" applyNumberFormat="1" applyFont="1"/>
    <xf numFmtId="0" fontId="6" fillId="0" borderId="0" xfId="0" applyFont="1"/>
    <xf numFmtId="4" fontId="14" fillId="0" borderId="0" xfId="2" applyNumberFormat="1"/>
    <xf numFmtId="0" fontId="14" fillId="0" borderId="0" xfId="2"/>
    <xf numFmtId="14" fontId="8" fillId="0" borderId="0" xfId="0" applyNumberFormat="1" applyFont="1"/>
    <xf numFmtId="0" fontId="11" fillId="0" borderId="0" xfId="0" applyFont="1"/>
    <xf numFmtId="43" fontId="15" fillId="0" borderId="0" xfId="1" applyFont="1"/>
    <xf numFmtId="165" fontId="15" fillId="0" borderId="0" xfId="0" applyNumberFormat="1" applyFont="1"/>
    <xf numFmtId="43" fontId="0" fillId="0" borderId="0" xfId="1" applyFont="1"/>
    <xf numFmtId="0" fontId="0" fillId="0" borderId="1" xfId="0" applyBorder="1"/>
    <xf numFmtId="4" fontId="0" fillId="0" borderId="1" xfId="0" applyNumberFormat="1" applyBorder="1"/>
    <xf numFmtId="0" fontId="17" fillId="0" borderId="0" xfId="0" applyFont="1"/>
    <xf numFmtId="4" fontId="17" fillId="0" borderId="0" xfId="0" applyNumberFormat="1" applyFont="1"/>
    <xf numFmtId="0" fontId="18" fillId="0" borderId="0" xfId="0" applyFont="1"/>
    <xf numFmtId="0" fontId="10" fillId="0" borderId="0" xfId="0" applyFont="1"/>
    <xf numFmtId="0" fontId="16" fillId="0" borderId="0" xfId="0" applyFont="1"/>
    <xf numFmtId="4" fontId="18" fillId="0" borderId="0" xfId="0" applyNumberFormat="1" applyFont="1"/>
    <xf numFmtId="0" fontId="19" fillId="0" borderId="0" xfId="0" applyFont="1"/>
    <xf numFmtId="0" fontId="20" fillId="0" borderId="0" xfId="0" applyFont="1"/>
    <xf numFmtId="4" fontId="21" fillId="0" borderId="0" xfId="0" applyNumberFormat="1" applyFont="1"/>
    <xf numFmtId="0" fontId="22" fillId="0" borderId="0" xfId="0" applyFont="1"/>
    <xf numFmtId="164" fontId="18" fillId="0" borderId="0" xfId="0" applyNumberFormat="1" applyFont="1"/>
    <xf numFmtId="4" fontId="23" fillId="0" borderId="0" xfId="0" applyNumberFormat="1" applyFont="1"/>
  </cellXfs>
  <cellStyles count="3">
    <cellStyle name="Normal" xfId="0" builtinId="0"/>
    <cellStyle name="Normal_Sayfa6" xfId="2" xr:uid="{695C41C1-0877-4859-87B6-2480545465A1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7137-9D08-4C6E-9EE1-E101DF093B1A}">
  <dimension ref="A1:O255"/>
  <sheetViews>
    <sheetView tabSelected="1" topLeftCell="A57" workbookViewId="0">
      <selection activeCell="F87" sqref="F87"/>
    </sheetView>
  </sheetViews>
  <sheetFormatPr defaultRowHeight="12.75" x14ac:dyDescent="0.2"/>
  <cols>
    <col min="1" max="2" width="1.85546875" style="31" customWidth="1"/>
    <col min="3" max="3" width="3.140625" style="31" customWidth="1"/>
    <col min="4" max="6" width="9.140625" style="31"/>
    <col min="7" max="7" width="6.85546875" style="31" customWidth="1"/>
    <col min="8" max="8" width="17" style="34" customWidth="1"/>
    <col min="9" max="9" width="14.42578125" style="34" bestFit="1" customWidth="1"/>
    <col min="10" max="10" width="23.7109375" style="30" customWidth="1"/>
    <col min="11" max="11" width="18.85546875" style="30" customWidth="1"/>
    <col min="12" max="12" width="9.140625" style="29"/>
    <col min="13" max="13" width="11.7109375" style="29" bestFit="1" customWidth="1"/>
    <col min="14" max="256" width="9.140625" style="29"/>
    <col min="257" max="258" width="1.85546875" style="29" customWidth="1"/>
    <col min="259" max="259" width="3.140625" style="29" customWidth="1"/>
    <col min="260" max="262" width="9.140625" style="29"/>
    <col min="263" max="263" width="6.85546875" style="29" customWidth="1"/>
    <col min="264" max="264" width="17" style="29" customWidth="1"/>
    <col min="265" max="265" width="13.85546875" style="29" bestFit="1" customWidth="1"/>
    <col min="266" max="266" width="23.7109375" style="29" customWidth="1"/>
    <col min="267" max="267" width="18.85546875" style="29" customWidth="1"/>
    <col min="268" max="268" width="9.140625" style="29"/>
    <col min="269" max="269" width="11.7109375" style="29" bestFit="1" customWidth="1"/>
    <col min="270" max="512" width="9.140625" style="29"/>
    <col min="513" max="514" width="1.85546875" style="29" customWidth="1"/>
    <col min="515" max="515" width="3.140625" style="29" customWidth="1"/>
    <col min="516" max="518" width="9.140625" style="29"/>
    <col min="519" max="519" width="6.85546875" style="29" customWidth="1"/>
    <col min="520" max="520" width="17" style="29" customWidth="1"/>
    <col min="521" max="521" width="13.85546875" style="29" bestFit="1" customWidth="1"/>
    <col min="522" max="522" width="23.7109375" style="29" customWidth="1"/>
    <col min="523" max="523" width="18.85546875" style="29" customWidth="1"/>
    <col min="524" max="524" width="9.140625" style="29"/>
    <col min="525" max="525" width="11.7109375" style="29" bestFit="1" customWidth="1"/>
    <col min="526" max="768" width="9.140625" style="29"/>
    <col min="769" max="770" width="1.85546875" style="29" customWidth="1"/>
    <col min="771" max="771" width="3.140625" style="29" customWidth="1"/>
    <col min="772" max="774" width="9.140625" style="29"/>
    <col min="775" max="775" width="6.85546875" style="29" customWidth="1"/>
    <col min="776" max="776" width="17" style="29" customWidth="1"/>
    <col min="777" max="777" width="13.85546875" style="29" bestFit="1" customWidth="1"/>
    <col min="778" max="778" width="23.7109375" style="29" customWidth="1"/>
    <col min="779" max="779" width="18.85546875" style="29" customWidth="1"/>
    <col min="780" max="780" width="9.140625" style="29"/>
    <col min="781" max="781" width="11.7109375" style="29" bestFit="1" customWidth="1"/>
    <col min="782" max="1024" width="9.140625" style="29"/>
    <col min="1025" max="1026" width="1.85546875" style="29" customWidth="1"/>
    <col min="1027" max="1027" width="3.140625" style="29" customWidth="1"/>
    <col min="1028" max="1030" width="9.140625" style="29"/>
    <col min="1031" max="1031" width="6.85546875" style="29" customWidth="1"/>
    <col min="1032" max="1032" width="17" style="29" customWidth="1"/>
    <col min="1033" max="1033" width="13.85546875" style="29" bestFit="1" customWidth="1"/>
    <col min="1034" max="1034" width="23.7109375" style="29" customWidth="1"/>
    <col min="1035" max="1035" width="18.85546875" style="29" customWidth="1"/>
    <col min="1036" max="1036" width="9.140625" style="29"/>
    <col min="1037" max="1037" width="11.7109375" style="29" bestFit="1" customWidth="1"/>
    <col min="1038" max="1280" width="9.140625" style="29"/>
    <col min="1281" max="1282" width="1.85546875" style="29" customWidth="1"/>
    <col min="1283" max="1283" width="3.140625" style="29" customWidth="1"/>
    <col min="1284" max="1286" width="9.140625" style="29"/>
    <col min="1287" max="1287" width="6.85546875" style="29" customWidth="1"/>
    <col min="1288" max="1288" width="17" style="29" customWidth="1"/>
    <col min="1289" max="1289" width="13.85546875" style="29" bestFit="1" customWidth="1"/>
    <col min="1290" max="1290" width="23.7109375" style="29" customWidth="1"/>
    <col min="1291" max="1291" width="18.85546875" style="29" customWidth="1"/>
    <col min="1292" max="1292" width="9.140625" style="29"/>
    <col min="1293" max="1293" width="11.7109375" style="29" bestFit="1" customWidth="1"/>
    <col min="1294" max="1536" width="9.140625" style="29"/>
    <col min="1537" max="1538" width="1.85546875" style="29" customWidth="1"/>
    <col min="1539" max="1539" width="3.140625" style="29" customWidth="1"/>
    <col min="1540" max="1542" width="9.140625" style="29"/>
    <col min="1543" max="1543" width="6.85546875" style="29" customWidth="1"/>
    <col min="1544" max="1544" width="17" style="29" customWidth="1"/>
    <col min="1545" max="1545" width="13.85546875" style="29" bestFit="1" customWidth="1"/>
    <col min="1546" max="1546" width="23.7109375" style="29" customWidth="1"/>
    <col min="1547" max="1547" width="18.85546875" style="29" customWidth="1"/>
    <col min="1548" max="1548" width="9.140625" style="29"/>
    <col min="1549" max="1549" width="11.7109375" style="29" bestFit="1" customWidth="1"/>
    <col min="1550" max="1792" width="9.140625" style="29"/>
    <col min="1793" max="1794" width="1.85546875" style="29" customWidth="1"/>
    <col min="1795" max="1795" width="3.140625" style="29" customWidth="1"/>
    <col min="1796" max="1798" width="9.140625" style="29"/>
    <col min="1799" max="1799" width="6.85546875" style="29" customWidth="1"/>
    <col min="1800" max="1800" width="17" style="29" customWidth="1"/>
    <col min="1801" max="1801" width="13.85546875" style="29" bestFit="1" customWidth="1"/>
    <col min="1802" max="1802" width="23.7109375" style="29" customWidth="1"/>
    <col min="1803" max="1803" width="18.85546875" style="29" customWidth="1"/>
    <col min="1804" max="1804" width="9.140625" style="29"/>
    <col min="1805" max="1805" width="11.7109375" style="29" bestFit="1" customWidth="1"/>
    <col min="1806" max="2048" width="9.140625" style="29"/>
    <col min="2049" max="2050" width="1.85546875" style="29" customWidth="1"/>
    <col min="2051" max="2051" width="3.140625" style="29" customWidth="1"/>
    <col min="2052" max="2054" width="9.140625" style="29"/>
    <col min="2055" max="2055" width="6.85546875" style="29" customWidth="1"/>
    <col min="2056" max="2056" width="17" style="29" customWidth="1"/>
    <col min="2057" max="2057" width="13.85546875" style="29" bestFit="1" customWidth="1"/>
    <col min="2058" max="2058" width="23.7109375" style="29" customWidth="1"/>
    <col min="2059" max="2059" width="18.85546875" style="29" customWidth="1"/>
    <col min="2060" max="2060" width="9.140625" style="29"/>
    <col min="2061" max="2061" width="11.7109375" style="29" bestFit="1" customWidth="1"/>
    <col min="2062" max="2304" width="9.140625" style="29"/>
    <col min="2305" max="2306" width="1.85546875" style="29" customWidth="1"/>
    <col min="2307" max="2307" width="3.140625" style="29" customWidth="1"/>
    <col min="2308" max="2310" width="9.140625" style="29"/>
    <col min="2311" max="2311" width="6.85546875" style="29" customWidth="1"/>
    <col min="2312" max="2312" width="17" style="29" customWidth="1"/>
    <col min="2313" max="2313" width="13.85546875" style="29" bestFit="1" customWidth="1"/>
    <col min="2314" max="2314" width="23.7109375" style="29" customWidth="1"/>
    <col min="2315" max="2315" width="18.85546875" style="29" customWidth="1"/>
    <col min="2316" max="2316" width="9.140625" style="29"/>
    <col min="2317" max="2317" width="11.7109375" style="29" bestFit="1" customWidth="1"/>
    <col min="2318" max="2560" width="9.140625" style="29"/>
    <col min="2561" max="2562" width="1.85546875" style="29" customWidth="1"/>
    <col min="2563" max="2563" width="3.140625" style="29" customWidth="1"/>
    <col min="2564" max="2566" width="9.140625" style="29"/>
    <col min="2567" max="2567" width="6.85546875" style="29" customWidth="1"/>
    <col min="2568" max="2568" width="17" style="29" customWidth="1"/>
    <col min="2569" max="2569" width="13.85546875" style="29" bestFit="1" customWidth="1"/>
    <col min="2570" max="2570" width="23.7109375" style="29" customWidth="1"/>
    <col min="2571" max="2571" width="18.85546875" style="29" customWidth="1"/>
    <col min="2572" max="2572" width="9.140625" style="29"/>
    <col min="2573" max="2573" width="11.7109375" style="29" bestFit="1" customWidth="1"/>
    <col min="2574" max="2816" width="9.140625" style="29"/>
    <col min="2817" max="2818" width="1.85546875" style="29" customWidth="1"/>
    <col min="2819" max="2819" width="3.140625" style="29" customWidth="1"/>
    <col min="2820" max="2822" width="9.140625" style="29"/>
    <col min="2823" max="2823" width="6.85546875" style="29" customWidth="1"/>
    <col min="2824" max="2824" width="17" style="29" customWidth="1"/>
    <col min="2825" max="2825" width="13.85546875" style="29" bestFit="1" customWidth="1"/>
    <col min="2826" max="2826" width="23.7109375" style="29" customWidth="1"/>
    <col min="2827" max="2827" width="18.85546875" style="29" customWidth="1"/>
    <col min="2828" max="2828" width="9.140625" style="29"/>
    <col min="2829" max="2829" width="11.7109375" style="29" bestFit="1" customWidth="1"/>
    <col min="2830" max="3072" width="9.140625" style="29"/>
    <col min="3073" max="3074" width="1.85546875" style="29" customWidth="1"/>
    <col min="3075" max="3075" width="3.140625" style="29" customWidth="1"/>
    <col min="3076" max="3078" width="9.140625" style="29"/>
    <col min="3079" max="3079" width="6.85546875" style="29" customWidth="1"/>
    <col min="3080" max="3080" width="17" style="29" customWidth="1"/>
    <col min="3081" max="3081" width="13.85546875" style="29" bestFit="1" customWidth="1"/>
    <col min="3082" max="3082" width="23.7109375" style="29" customWidth="1"/>
    <col min="3083" max="3083" width="18.85546875" style="29" customWidth="1"/>
    <col min="3084" max="3084" width="9.140625" style="29"/>
    <col min="3085" max="3085" width="11.7109375" style="29" bestFit="1" customWidth="1"/>
    <col min="3086" max="3328" width="9.140625" style="29"/>
    <col min="3329" max="3330" width="1.85546875" style="29" customWidth="1"/>
    <col min="3331" max="3331" width="3.140625" style="29" customWidth="1"/>
    <col min="3332" max="3334" width="9.140625" style="29"/>
    <col min="3335" max="3335" width="6.85546875" style="29" customWidth="1"/>
    <col min="3336" max="3336" width="17" style="29" customWidth="1"/>
    <col min="3337" max="3337" width="13.85546875" style="29" bestFit="1" customWidth="1"/>
    <col min="3338" max="3338" width="23.7109375" style="29" customWidth="1"/>
    <col min="3339" max="3339" width="18.85546875" style="29" customWidth="1"/>
    <col min="3340" max="3340" width="9.140625" style="29"/>
    <col min="3341" max="3341" width="11.7109375" style="29" bestFit="1" customWidth="1"/>
    <col min="3342" max="3584" width="9.140625" style="29"/>
    <col min="3585" max="3586" width="1.85546875" style="29" customWidth="1"/>
    <col min="3587" max="3587" width="3.140625" style="29" customWidth="1"/>
    <col min="3588" max="3590" width="9.140625" style="29"/>
    <col min="3591" max="3591" width="6.85546875" style="29" customWidth="1"/>
    <col min="3592" max="3592" width="17" style="29" customWidth="1"/>
    <col min="3593" max="3593" width="13.85546875" style="29" bestFit="1" customWidth="1"/>
    <col min="3594" max="3594" width="23.7109375" style="29" customWidth="1"/>
    <col min="3595" max="3595" width="18.85546875" style="29" customWidth="1"/>
    <col min="3596" max="3596" width="9.140625" style="29"/>
    <col min="3597" max="3597" width="11.7109375" style="29" bestFit="1" customWidth="1"/>
    <col min="3598" max="3840" width="9.140625" style="29"/>
    <col min="3841" max="3842" width="1.85546875" style="29" customWidth="1"/>
    <col min="3843" max="3843" width="3.140625" style="29" customWidth="1"/>
    <col min="3844" max="3846" width="9.140625" style="29"/>
    <col min="3847" max="3847" width="6.85546875" style="29" customWidth="1"/>
    <col min="3848" max="3848" width="17" style="29" customWidth="1"/>
    <col min="3849" max="3849" width="13.85546875" style="29" bestFit="1" customWidth="1"/>
    <col min="3850" max="3850" width="23.7109375" style="29" customWidth="1"/>
    <col min="3851" max="3851" width="18.85546875" style="29" customWidth="1"/>
    <col min="3852" max="3852" width="9.140625" style="29"/>
    <col min="3853" max="3853" width="11.7109375" style="29" bestFit="1" customWidth="1"/>
    <col min="3854" max="4096" width="9.140625" style="29"/>
    <col min="4097" max="4098" width="1.85546875" style="29" customWidth="1"/>
    <col min="4099" max="4099" width="3.140625" style="29" customWidth="1"/>
    <col min="4100" max="4102" width="9.140625" style="29"/>
    <col min="4103" max="4103" width="6.85546875" style="29" customWidth="1"/>
    <col min="4104" max="4104" width="17" style="29" customWidth="1"/>
    <col min="4105" max="4105" width="13.85546875" style="29" bestFit="1" customWidth="1"/>
    <col min="4106" max="4106" width="23.7109375" style="29" customWidth="1"/>
    <col min="4107" max="4107" width="18.85546875" style="29" customWidth="1"/>
    <col min="4108" max="4108" width="9.140625" style="29"/>
    <col min="4109" max="4109" width="11.7109375" style="29" bestFit="1" customWidth="1"/>
    <col min="4110" max="4352" width="9.140625" style="29"/>
    <col min="4353" max="4354" width="1.85546875" style="29" customWidth="1"/>
    <col min="4355" max="4355" width="3.140625" style="29" customWidth="1"/>
    <col min="4356" max="4358" width="9.140625" style="29"/>
    <col min="4359" max="4359" width="6.85546875" style="29" customWidth="1"/>
    <col min="4360" max="4360" width="17" style="29" customWidth="1"/>
    <col min="4361" max="4361" width="13.85546875" style="29" bestFit="1" customWidth="1"/>
    <col min="4362" max="4362" width="23.7109375" style="29" customWidth="1"/>
    <col min="4363" max="4363" width="18.85546875" style="29" customWidth="1"/>
    <col min="4364" max="4364" width="9.140625" style="29"/>
    <col min="4365" max="4365" width="11.7109375" style="29" bestFit="1" customWidth="1"/>
    <col min="4366" max="4608" width="9.140625" style="29"/>
    <col min="4609" max="4610" width="1.85546875" style="29" customWidth="1"/>
    <col min="4611" max="4611" width="3.140625" style="29" customWidth="1"/>
    <col min="4612" max="4614" width="9.140625" style="29"/>
    <col min="4615" max="4615" width="6.85546875" style="29" customWidth="1"/>
    <col min="4616" max="4616" width="17" style="29" customWidth="1"/>
    <col min="4617" max="4617" width="13.85546875" style="29" bestFit="1" customWidth="1"/>
    <col min="4618" max="4618" width="23.7109375" style="29" customWidth="1"/>
    <col min="4619" max="4619" width="18.85546875" style="29" customWidth="1"/>
    <col min="4620" max="4620" width="9.140625" style="29"/>
    <col min="4621" max="4621" width="11.7109375" style="29" bestFit="1" customWidth="1"/>
    <col min="4622" max="4864" width="9.140625" style="29"/>
    <col min="4865" max="4866" width="1.85546875" style="29" customWidth="1"/>
    <col min="4867" max="4867" width="3.140625" style="29" customWidth="1"/>
    <col min="4868" max="4870" width="9.140625" style="29"/>
    <col min="4871" max="4871" width="6.85546875" style="29" customWidth="1"/>
    <col min="4872" max="4872" width="17" style="29" customWidth="1"/>
    <col min="4873" max="4873" width="13.85546875" style="29" bestFit="1" customWidth="1"/>
    <col min="4874" max="4874" width="23.7109375" style="29" customWidth="1"/>
    <col min="4875" max="4875" width="18.85546875" style="29" customWidth="1"/>
    <col min="4876" max="4876" width="9.140625" style="29"/>
    <col min="4877" max="4877" width="11.7109375" style="29" bestFit="1" customWidth="1"/>
    <col min="4878" max="5120" width="9.140625" style="29"/>
    <col min="5121" max="5122" width="1.85546875" style="29" customWidth="1"/>
    <col min="5123" max="5123" width="3.140625" style="29" customWidth="1"/>
    <col min="5124" max="5126" width="9.140625" style="29"/>
    <col min="5127" max="5127" width="6.85546875" style="29" customWidth="1"/>
    <col min="5128" max="5128" width="17" style="29" customWidth="1"/>
    <col min="5129" max="5129" width="13.85546875" style="29" bestFit="1" customWidth="1"/>
    <col min="5130" max="5130" width="23.7109375" style="29" customWidth="1"/>
    <col min="5131" max="5131" width="18.85546875" style="29" customWidth="1"/>
    <col min="5132" max="5132" width="9.140625" style="29"/>
    <col min="5133" max="5133" width="11.7109375" style="29" bestFit="1" customWidth="1"/>
    <col min="5134" max="5376" width="9.140625" style="29"/>
    <col min="5377" max="5378" width="1.85546875" style="29" customWidth="1"/>
    <col min="5379" max="5379" width="3.140625" style="29" customWidth="1"/>
    <col min="5380" max="5382" width="9.140625" style="29"/>
    <col min="5383" max="5383" width="6.85546875" style="29" customWidth="1"/>
    <col min="5384" max="5384" width="17" style="29" customWidth="1"/>
    <col min="5385" max="5385" width="13.85546875" style="29" bestFit="1" customWidth="1"/>
    <col min="5386" max="5386" width="23.7109375" style="29" customWidth="1"/>
    <col min="5387" max="5387" width="18.85546875" style="29" customWidth="1"/>
    <col min="5388" max="5388" width="9.140625" style="29"/>
    <col min="5389" max="5389" width="11.7109375" style="29" bestFit="1" customWidth="1"/>
    <col min="5390" max="5632" width="9.140625" style="29"/>
    <col min="5633" max="5634" width="1.85546875" style="29" customWidth="1"/>
    <col min="5635" max="5635" width="3.140625" style="29" customWidth="1"/>
    <col min="5636" max="5638" width="9.140625" style="29"/>
    <col min="5639" max="5639" width="6.85546875" style="29" customWidth="1"/>
    <col min="5640" max="5640" width="17" style="29" customWidth="1"/>
    <col min="5641" max="5641" width="13.85546875" style="29" bestFit="1" customWidth="1"/>
    <col min="5642" max="5642" width="23.7109375" style="29" customWidth="1"/>
    <col min="5643" max="5643" width="18.85546875" style="29" customWidth="1"/>
    <col min="5644" max="5644" width="9.140625" style="29"/>
    <col min="5645" max="5645" width="11.7109375" style="29" bestFit="1" customWidth="1"/>
    <col min="5646" max="5888" width="9.140625" style="29"/>
    <col min="5889" max="5890" width="1.85546875" style="29" customWidth="1"/>
    <col min="5891" max="5891" width="3.140625" style="29" customWidth="1"/>
    <col min="5892" max="5894" width="9.140625" style="29"/>
    <col min="5895" max="5895" width="6.85546875" style="29" customWidth="1"/>
    <col min="5896" max="5896" width="17" style="29" customWidth="1"/>
    <col min="5897" max="5897" width="13.85546875" style="29" bestFit="1" customWidth="1"/>
    <col min="5898" max="5898" width="23.7109375" style="29" customWidth="1"/>
    <col min="5899" max="5899" width="18.85546875" style="29" customWidth="1"/>
    <col min="5900" max="5900" width="9.140625" style="29"/>
    <col min="5901" max="5901" width="11.7109375" style="29" bestFit="1" customWidth="1"/>
    <col min="5902" max="6144" width="9.140625" style="29"/>
    <col min="6145" max="6146" width="1.85546875" style="29" customWidth="1"/>
    <col min="6147" max="6147" width="3.140625" style="29" customWidth="1"/>
    <col min="6148" max="6150" width="9.140625" style="29"/>
    <col min="6151" max="6151" width="6.85546875" style="29" customWidth="1"/>
    <col min="6152" max="6152" width="17" style="29" customWidth="1"/>
    <col min="6153" max="6153" width="13.85546875" style="29" bestFit="1" customWidth="1"/>
    <col min="6154" max="6154" width="23.7109375" style="29" customWidth="1"/>
    <col min="6155" max="6155" width="18.85546875" style="29" customWidth="1"/>
    <col min="6156" max="6156" width="9.140625" style="29"/>
    <col min="6157" max="6157" width="11.7109375" style="29" bestFit="1" customWidth="1"/>
    <col min="6158" max="6400" width="9.140625" style="29"/>
    <col min="6401" max="6402" width="1.85546875" style="29" customWidth="1"/>
    <col min="6403" max="6403" width="3.140625" style="29" customWidth="1"/>
    <col min="6404" max="6406" width="9.140625" style="29"/>
    <col min="6407" max="6407" width="6.85546875" style="29" customWidth="1"/>
    <col min="6408" max="6408" width="17" style="29" customWidth="1"/>
    <col min="6409" max="6409" width="13.85546875" style="29" bestFit="1" customWidth="1"/>
    <col min="6410" max="6410" width="23.7109375" style="29" customWidth="1"/>
    <col min="6411" max="6411" width="18.85546875" style="29" customWidth="1"/>
    <col min="6412" max="6412" width="9.140625" style="29"/>
    <col min="6413" max="6413" width="11.7109375" style="29" bestFit="1" customWidth="1"/>
    <col min="6414" max="6656" width="9.140625" style="29"/>
    <col min="6657" max="6658" width="1.85546875" style="29" customWidth="1"/>
    <col min="6659" max="6659" width="3.140625" style="29" customWidth="1"/>
    <col min="6660" max="6662" width="9.140625" style="29"/>
    <col min="6663" max="6663" width="6.85546875" style="29" customWidth="1"/>
    <col min="6664" max="6664" width="17" style="29" customWidth="1"/>
    <col min="6665" max="6665" width="13.85546875" style="29" bestFit="1" customWidth="1"/>
    <col min="6666" max="6666" width="23.7109375" style="29" customWidth="1"/>
    <col min="6667" max="6667" width="18.85546875" style="29" customWidth="1"/>
    <col min="6668" max="6668" width="9.140625" style="29"/>
    <col min="6669" max="6669" width="11.7109375" style="29" bestFit="1" customWidth="1"/>
    <col min="6670" max="6912" width="9.140625" style="29"/>
    <col min="6913" max="6914" width="1.85546875" style="29" customWidth="1"/>
    <col min="6915" max="6915" width="3.140625" style="29" customWidth="1"/>
    <col min="6916" max="6918" width="9.140625" style="29"/>
    <col min="6919" max="6919" width="6.85546875" style="29" customWidth="1"/>
    <col min="6920" max="6920" width="17" style="29" customWidth="1"/>
    <col min="6921" max="6921" width="13.85546875" style="29" bestFit="1" customWidth="1"/>
    <col min="6922" max="6922" width="23.7109375" style="29" customWidth="1"/>
    <col min="6923" max="6923" width="18.85546875" style="29" customWidth="1"/>
    <col min="6924" max="6924" width="9.140625" style="29"/>
    <col min="6925" max="6925" width="11.7109375" style="29" bestFit="1" customWidth="1"/>
    <col min="6926" max="7168" width="9.140625" style="29"/>
    <col min="7169" max="7170" width="1.85546875" style="29" customWidth="1"/>
    <col min="7171" max="7171" width="3.140625" style="29" customWidth="1"/>
    <col min="7172" max="7174" width="9.140625" style="29"/>
    <col min="7175" max="7175" width="6.85546875" style="29" customWidth="1"/>
    <col min="7176" max="7176" width="17" style="29" customWidth="1"/>
    <col min="7177" max="7177" width="13.85546875" style="29" bestFit="1" customWidth="1"/>
    <col min="7178" max="7178" width="23.7109375" style="29" customWidth="1"/>
    <col min="7179" max="7179" width="18.85546875" style="29" customWidth="1"/>
    <col min="7180" max="7180" width="9.140625" style="29"/>
    <col min="7181" max="7181" width="11.7109375" style="29" bestFit="1" customWidth="1"/>
    <col min="7182" max="7424" width="9.140625" style="29"/>
    <col min="7425" max="7426" width="1.85546875" style="29" customWidth="1"/>
    <col min="7427" max="7427" width="3.140625" style="29" customWidth="1"/>
    <col min="7428" max="7430" width="9.140625" style="29"/>
    <col min="7431" max="7431" width="6.85546875" style="29" customWidth="1"/>
    <col min="7432" max="7432" width="17" style="29" customWidth="1"/>
    <col min="7433" max="7433" width="13.85546875" style="29" bestFit="1" customWidth="1"/>
    <col min="7434" max="7434" width="23.7109375" style="29" customWidth="1"/>
    <col min="7435" max="7435" width="18.85546875" style="29" customWidth="1"/>
    <col min="7436" max="7436" width="9.140625" style="29"/>
    <col min="7437" max="7437" width="11.7109375" style="29" bestFit="1" customWidth="1"/>
    <col min="7438" max="7680" width="9.140625" style="29"/>
    <col min="7681" max="7682" width="1.85546875" style="29" customWidth="1"/>
    <col min="7683" max="7683" width="3.140625" style="29" customWidth="1"/>
    <col min="7684" max="7686" width="9.140625" style="29"/>
    <col min="7687" max="7687" width="6.85546875" style="29" customWidth="1"/>
    <col min="7688" max="7688" width="17" style="29" customWidth="1"/>
    <col min="7689" max="7689" width="13.85546875" style="29" bestFit="1" customWidth="1"/>
    <col min="7690" max="7690" width="23.7109375" style="29" customWidth="1"/>
    <col min="7691" max="7691" width="18.85546875" style="29" customWidth="1"/>
    <col min="7692" max="7692" width="9.140625" style="29"/>
    <col min="7693" max="7693" width="11.7109375" style="29" bestFit="1" customWidth="1"/>
    <col min="7694" max="7936" width="9.140625" style="29"/>
    <col min="7937" max="7938" width="1.85546875" style="29" customWidth="1"/>
    <col min="7939" max="7939" width="3.140625" style="29" customWidth="1"/>
    <col min="7940" max="7942" width="9.140625" style="29"/>
    <col min="7943" max="7943" width="6.85546875" style="29" customWidth="1"/>
    <col min="7944" max="7944" width="17" style="29" customWidth="1"/>
    <col min="7945" max="7945" width="13.85546875" style="29" bestFit="1" customWidth="1"/>
    <col min="7946" max="7946" width="23.7109375" style="29" customWidth="1"/>
    <col min="7947" max="7947" width="18.85546875" style="29" customWidth="1"/>
    <col min="7948" max="7948" width="9.140625" style="29"/>
    <col min="7949" max="7949" width="11.7109375" style="29" bestFit="1" customWidth="1"/>
    <col min="7950" max="8192" width="9.140625" style="29"/>
    <col min="8193" max="8194" width="1.85546875" style="29" customWidth="1"/>
    <col min="8195" max="8195" width="3.140625" style="29" customWidth="1"/>
    <col min="8196" max="8198" width="9.140625" style="29"/>
    <col min="8199" max="8199" width="6.85546875" style="29" customWidth="1"/>
    <col min="8200" max="8200" width="17" style="29" customWidth="1"/>
    <col min="8201" max="8201" width="13.85546875" style="29" bestFit="1" customWidth="1"/>
    <col min="8202" max="8202" width="23.7109375" style="29" customWidth="1"/>
    <col min="8203" max="8203" width="18.85546875" style="29" customWidth="1"/>
    <col min="8204" max="8204" width="9.140625" style="29"/>
    <col min="8205" max="8205" width="11.7109375" style="29" bestFit="1" customWidth="1"/>
    <col min="8206" max="8448" width="9.140625" style="29"/>
    <col min="8449" max="8450" width="1.85546875" style="29" customWidth="1"/>
    <col min="8451" max="8451" width="3.140625" style="29" customWidth="1"/>
    <col min="8452" max="8454" width="9.140625" style="29"/>
    <col min="8455" max="8455" width="6.85546875" style="29" customWidth="1"/>
    <col min="8456" max="8456" width="17" style="29" customWidth="1"/>
    <col min="8457" max="8457" width="13.85546875" style="29" bestFit="1" customWidth="1"/>
    <col min="8458" max="8458" width="23.7109375" style="29" customWidth="1"/>
    <col min="8459" max="8459" width="18.85546875" style="29" customWidth="1"/>
    <col min="8460" max="8460" width="9.140625" style="29"/>
    <col min="8461" max="8461" width="11.7109375" style="29" bestFit="1" customWidth="1"/>
    <col min="8462" max="8704" width="9.140625" style="29"/>
    <col min="8705" max="8706" width="1.85546875" style="29" customWidth="1"/>
    <col min="8707" max="8707" width="3.140625" style="29" customWidth="1"/>
    <col min="8708" max="8710" width="9.140625" style="29"/>
    <col min="8711" max="8711" width="6.85546875" style="29" customWidth="1"/>
    <col min="8712" max="8712" width="17" style="29" customWidth="1"/>
    <col min="8713" max="8713" width="13.85546875" style="29" bestFit="1" customWidth="1"/>
    <col min="8714" max="8714" width="23.7109375" style="29" customWidth="1"/>
    <col min="8715" max="8715" width="18.85546875" style="29" customWidth="1"/>
    <col min="8716" max="8716" width="9.140625" style="29"/>
    <col min="8717" max="8717" width="11.7109375" style="29" bestFit="1" customWidth="1"/>
    <col min="8718" max="8960" width="9.140625" style="29"/>
    <col min="8961" max="8962" width="1.85546875" style="29" customWidth="1"/>
    <col min="8963" max="8963" width="3.140625" style="29" customWidth="1"/>
    <col min="8964" max="8966" width="9.140625" style="29"/>
    <col min="8967" max="8967" width="6.85546875" style="29" customWidth="1"/>
    <col min="8968" max="8968" width="17" style="29" customWidth="1"/>
    <col min="8969" max="8969" width="13.85546875" style="29" bestFit="1" customWidth="1"/>
    <col min="8970" max="8970" width="23.7109375" style="29" customWidth="1"/>
    <col min="8971" max="8971" width="18.85546875" style="29" customWidth="1"/>
    <col min="8972" max="8972" width="9.140625" style="29"/>
    <col min="8973" max="8973" width="11.7109375" style="29" bestFit="1" customWidth="1"/>
    <col min="8974" max="9216" width="9.140625" style="29"/>
    <col min="9217" max="9218" width="1.85546875" style="29" customWidth="1"/>
    <col min="9219" max="9219" width="3.140625" style="29" customWidth="1"/>
    <col min="9220" max="9222" width="9.140625" style="29"/>
    <col min="9223" max="9223" width="6.85546875" style="29" customWidth="1"/>
    <col min="9224" max="9224" width="17" style="29" customWidth="1"/>
    <col min="9225" max="9225" width="13.85546875" style="29" bestFit="1" customWidth="1"/>
    <col min="9226" max="9226" width="23.7109375" style="29" customWidth="1"/>
    <col min="9227" max="9227" width="18.85546875" style="29" customWidth="1"/>
    <col min="9228" max="9228" width="9.140625" style="29"/>
    <col min="9229" max="9229" width="11.7109375" style="29" bestFit="1" customWidth="1"/>
    <col min="9230" max="9472" width="9.140625" style="29"/>
    <col min="9473" max="9474" width="1.85546875" style="29" customWidth="1"/>
    <col min="9475" max="9475" width="3.140625" style="29" customWidth="1"/>
    <col min="9476" max="9478" width="9.140625" style="29"/>
    <col min="9479" max="9479" width="6.85546875" style="29" customWidth="1"/>
    <col min="9480" max="9480" width="17" style="29" customWidth="1"/>
    <col min="9481" max="9481" width="13.85546875" style="29" bestFit="1" customWidth="1"/>
    <col min="9482" max="9482" width="23.7109375" style="29" customWidth="1"/>
    <col min="9483" max="9483" width="18.85546875" style="29" customWidth="1"/>
    <col min="9484" max="9484" width="9.140625" style="29"/>
    <col min="9485" max="9485" width="11.7109375" style="29" bestFit="1" customWidth="1"/>
    <col min="9486" max="9728" width="9.140625" style="29"/>
    <col min="9729" max="9730" width="1.85546875" style="29" customWidth="1"/>
    <col min="9731" max="9731" width="3.140625" style="29" customWidth="1"/>
    <col min="9732" max="9734" width="9.140625" style="29"/>
    <col min="9735" max="9735" width="6.85546875" style="29" customWidth="1"/>
    <col min="9736" max="9736" width="17" style="29" customWidth="1"/>
    <col min="9737" max="9737" width="13.85546875" style="29" bestFit="1" customWidth="1"/>
    <col min="9738" max="9738" width="23.7109375" style="29" customWidth="1"/>
    <col min="9739" max="9739" width="18.85546875" style="29" customWidth="1"/>
    <col min="9740" max="9740" width="9.140625" style="29"/>
    <col min="9741" max="9741" width="11.7109375" style="29" bestFit="1" customWidth="1"/>
    <col min="9742" max="9984" width="9.140625" style="29"/>
    <col min="9985" max="9986" width="1.85546875" style="29" customWidth="1"/>
    <col min="9987" max="9987" width="3.140625" style="29" customWidth="1"/>
    <col min="9988" max="9990" width="9.140625" style="29"/>
    <col min="9991" max="9991" width="6.85546875" style="29" customWidth="1"/>
    <col min="9992" max="9992" width="17" style="29" customWidth="1"/>
    <col min="9993" max="9993" width="13.85546875" style="29" bestFit="1" customWidth="1"/>
    <col min="9994" max="9994" width="23.7109375" style="29" customWidth="1"/>
    <col min="9995" max="9995" width="18.85546875" style="29" customWidth="1"/>
    <col min="9996" max="9996" width="9.140625" style="29"/>
    <col min="9997" max="9997" width="11.7109375" style="29" bestFit="1" customWidth="1"/>
    <col min="9998" max="10240" width="9.140625" style="29"/>
    <col min="10241" max="10242" width="1.85546875" style="29" customWidth="1"/>
    <col min="10243" max="10243" width="3.140625" style="29" customWidth="1"/>
    <col min="10244" max="10246" width="9.140625" style="29"/>
    <col min="10247" max="10247" width="6.85546875" style="29" customWidth="1"/>
    <col min="10248" max="10248" width="17" style="29" customWidth="1"/>
    <col min="10249" max="10249" width="13.85546875" style="29" bestFit="1" customWidth="1"/>
    <col min="10250" max="10250" width="23.7109375" style="29" customWidth="1"/>
    <col min="10251" max="10251" width="18.85546875" style="29" customWidth="1"/>
    <col min="10252" max="10252" width="9.140625" style="29"/>
    <col min="10253" max="10253" width="11.7109375" style="29" bestFit="1" customWidth="1"/>
    <col min="10254" max="10496" width="9.140625" style="29"/>
    <col min="10497" max="10498" width="1.85546875" style="29" customWidth="1"/>
    <col min="10499" max="10499" width="3.140625" style="29" customWidth="1"/>
    <col min="10500" max="10502" width="9.140625" style="29"/>
    <col min="10503" max="10503" width="6.85546875" style="29" customWidth="1"/>
    <col min="10504" max="10504" width="17" style="29" customWidth="1"/>
    <col min="10505" max="10505" width="13.85546875" style="29" bestFit="1" customWidth="1"/>
    <col min="10506" max="10506" width="23.7109375" style="29" customWidth="1"/>
    <col min="10507" max="10507" width="18.85546875" style="29" customWidth="1"/>
    <col min="10508" max="10508" width="9.140625" style="29"/>
    <col min="10509" max="10509" width="11.7109375" style="29" bestFit="1" customWidth="1"/>
    <col min="10510" max="10752" width="9.140625" style="29"/>
    <col min="10753" max="10754" width="1.85546875" style="29" customWidth="1"/>
    <col min="10755" max="10755" width="3.140625" style="29" customWidth="1"/>
    <col min="10756" max="10758" width="9.140625" style="29"/>
    <col min="10759" max="10759" width="6.85546875" style="29" customWidth="1"/>
    <col min="10760" max="10760" width="17" style="29" customWidth="1"/>
    <col min="10761" max="10761" width="13.85546875" style="29" bestFit="1" customWidth="1"/>
    <col min="10762" max="10762" width="23.7109375" style="29" customWidth="1"/>
    <col min="10763" max="10763" width="18.85546875" style="29" customWidth="1"/>
    <col min="10764" max="10764" width="9.140625" style="29"/>
    <col min="10765" max="10765" width="11.7109375" style="29" bestFit="1" customWidth="1"/>
    <col min="10766" max="11008" width="9.140625" style="29"/>
    <col min="11009" max="11010" width="1.85546875" style="29" customWidth="1"/>
    <col min="11011" max="11011" width="3.140625" style="29" customWidth="1"/>
    <col min="11012" max="11014" width="9.140625" style="29"/>
    <col min="11015" max="11015" width="6.85546875" style="29" customWidth="1"/>
    <col min="11016" max="11016" width="17" style="29" customWidth="1"/>
    <col min="11017" max="11017" width="13.85546875" style="29" bestFit="1" customWidth="1"/>
    <col min="11018" max="11018" width="23.7109375" style="29" customWidth="1"/>
    <col min="11019" max="11019" width="18.85546875" style="29" customWidth="1"/>
    <col min="11020" max="11020" width="9.140625" style="29"/>
    <col min="11021" max="11021" width="11.7109375" style="29" bestFit="1" customWidth="1"/>
    <col min="11022" max="11264" width="9.140625" style="29"/>
    <col min="11265" max="11266" width="1.85546875" style="29" customWidth="1"/>
    <col min="11267" max="11267" width="3.140625" style="29" customWidth="1"/>
    <col min="11268" max="11270" width="9.140625" style="29"/>
    <col min="11271" max="11271" width="6.85546875" style="29" customWidth="1"/>
    <col min="11272" max="11272" width="17" style="29" customWidth="1"/>
    <col min="11273" max="11273" width="13.85546875" style="29" bestFit="1" customWidth="1"/>
    <col min="11274" max="11274" width="23.7109375" style="29" customWidth="1"/>
    <col min="11275" max="11275" width="18.85546875" style="29" customWidth="1"/>
    <col min="11276" max="11276" width="9.140625" style="29"/>
    <col min="11277" max="11277" width="11.7109375" style="29" bestFit="1" customWidth="1"/>
    <col min="11278" max="11520" width="9.140625" style="29"/>
    <col min="11521" max="11522" width="1.85546875" style="29" customWidth="1"/>
    <col min="11523" max="11523" width="3.140625" style="29" customWidth="1"/>
    <col min="11524" max="11526" width="9.140625" style="29"/>
    <col min="11527" max="11527" width="6.85546875" style="29" customWidth="1"/>
    <col min="11528" max="11528" width="17" style="29" customWidth="1"/>
    <col min="11529" max="11529" width="13.85546875" style="29" bestFit="1" customWidth="1"/>
    <col min="11530" max="11530" width="23.7109375" style="29" customWidth="1"/>
    <col min="11531" max="11531" width="18.85546875" style="29" customWidth="1"/>
    <col min="11532" max="11532" width="9.140625" style="29"/>
    <col min="11533" max="11533" width="11.7109375" style="29" bestFit="1" customWidth="1"/>
    <col min="11534" max="11776" width="9.140625" style="29"/>
    <col min="11777" max="11778" width="1.85546875" style="29" customWidth="1"/>
    <col min="11779" max="11779" width="3.140625" style="29" customWidth="1"/>
    <col min="11780" max="11782" width="9.140625" style="29"/>
    <col min="11783" max="11783" width="6.85546875" style="29" customWidth="1"/>
    <col min="11784" max="11784" width="17" style="29" customWidth="1"/>
    <col min="11785" max="11785" width="13.85546875" style="29" bestFit="1" customWidth="1"/>
    <col min="11786" max="11786" width="23.7109375" style="29" customWidth="1"/>
    <col min="11787" max="11787" width="18.85546875" style="29" customWidth="1"/>
    <col min="11788" max="11788" width="9.140625" style="29"/>
    <col min="11789" max="11789" width="11.7109375" style="29" bestFit="1" customWidth="1"/>
    <col min="11790" max="12032" width="9.140625" style="29"/>
    <col min="12033" max="12034" width="1.85546875" style="29" customWidth="1"/>
    <col min="12035" max="12035" width="3.140625" style="29" customWidth="1"/>
    <col min="12036" max="12038" width="9.140625" style="29"/>
    <col min="12039" max="12039" width="6.85546875" style="29" customWidth="1"/>
    <col min="12040" max="12040" width="17" style="29" customWidth="1"/>
    <col min="12041" max="12041" width="13.85546875" style="29" bestFit="1" customWidth="1"/>
    <col min="12042" max="12042" width="23.7109375" style="29" customWidth="1"/>
    <col min="12043" max="12043" width="18.85546875" style="29" customWidth="1"/>
    <col min="12044" max="12044" width="9.140625" style="29"/>
    <col min="12045" max="12045" width="11.7109375" style="29" bestFit="1" customWidth="1"/>
    <col min="12046" max="12288" width="9.140625" style="29"/>
    <col min="12289" max="12290" width="1.85546875" style="29" customWidth="1"/>
    <col min="12291" max="12291" width="3.140625" style="29" customWidth="1"/>
    <col min="12292" max="12294" width="9.140625" style="29"/>
    <col min="12295" max="12295" width="6.85546875" style="29" customWidth="1"/>
    <col min="12296" max="12296" width="17" style="29" customWidth="1"/>
    <col min="12297" max="12297" width="13.85546875" style="29" bestFit="1" customWidth="1"/>
    <col min="12298" max="12298" width="23.7109375" style="29" customWidth="1"/>
    <col min="12299" max="12299" width="18.85546875" style="29" customWidth="1"/>
    <col min="12300" max="12300" width="9.140625" style="29"/>
    <col min="12301" max="12301" width="11.7109375" style="29" bestFit="1" customWidth="1"/>
    <col min="12302" max="12544" width="9.140625" style="29"/>
    <col min="12545" max="12546" width="1.85546875" style="29" customWidth="1"/>
    <col min="12547" max="12547" width="3.140625" style="29" customWidth="1"/>
    <col min="12548" max="12550" width="9.140625" style="29"/>
    <col min="12551" max="12551" width="6.85546875" style="29" customWidth="1"/>
    <col min="12552" max="12552" width="17" style="29" customWidth="1"/>
    <col min="12553" max="12553" width="13.85546875" style="29" bestFit="1" customWidth="1"/>
    <col min="12554" max="12554" width="23.7109375" style="29" customWidth="1"/>
    <col min="12555" max="12555" width="18.85546875" style="29" customWidth="1"/>
    <col min="12556" max="12556" width="9.140625" style="29"/>
    <col min="12557" max="12557" width="11.7109375" style="29" bestFit="1" customWidth="1"/>
    <col min="12558" max="12800" width="9.140625" style="29"/>
    <col min="12801" max="12802" width="1.85546875" style="29" customWidth="1"/>
    <col min="12803" max="12803" width="3.140625" style="29" customWidth="1"/>
    <col min="12804" max="12806" width="9.140625" style="29"/>
    <col min="12807" max="12807" width="6.85546875" style="29" customWidth="1"/>
    <col min="12808" max="12808" width="17" style="29" customWidth="1"/>
    <col min="12809" max="12809" width="13.85546875" style="29" bestFit="1" customWidth="1"/>
    <col min="12810" max="12810" width="23.7109375" style="29" customWidth="1"/>
    <col min="12811" max="12811" width="18.85546875" style="29" customWidth="1"/>
    <col min="12812" max="12812" width="9.140625" style="29"/>
    <col min="12813" max="12813" width="11.7109375" style="29" bestFit="1" customWidth="1"/>
    <col min="12814" max="13056" width="9.140625" style="29"/>
    <col min="13057" max="13058" width="1.85546875" style="29" customWidth="1"/>
    <col min="13059" max="13059" width="3.140625" style="29" customWidth="1"/>
    <col min="13060" max="13062" width="9.140625" style="29"/>
    <col min="13063" max="13063" width="6.85546875" style="29" customWidth="1"/>
    <col min="13064" max="13064" width="17" style="29" customWidth="1"/>
    <col min="13065" max="13065" width="13.85546875" style="29" bestFit="1" customWidth="1"/>
    <col min="13066" max="13066" width="23.7109375" style="29" customWidth="1"/>
    <col min="13067" max="13067" width="18.85546875" style="29" customWidth="1"/>
    <col min="13068" max="13068" width="9.140625" style="29"/>
    <col min="13069" max="13069" width="11.7109375" style="29" bestFit="1" customWidth="1"/>
    <col min="13070" max="13312" width="9.140625" style="29"/>
    <col min="13313" max="13314" width="1.85546875" style="29" customWidth="1"/>
    <col min="13315" max="13315" width="3.140625" style="29" customWidth="1"/>
    <col min="13316" max="13318" width="9.140625" style="29"/>
    <col min="13319" max="13319" width="6.85546875" style="29" customWidth="1"/>
    <col min="13320" max="13320" width="17" style="29" customWidth="1"/>
    <col min="13321" max="13321" width="13.85546875" style="29" bestFit="1" customWidth="1"/>
    <col min="13322" max="13322" width="23.7109375" style="29" customWidth="1"/>
    <col min="13323" max="13323" width="18.85546875" style="29" customWidth="1"/>
    <col min="13324" max="13324" width="9.140625" style="29"/>
    <col min="13325" max="13325" width="11.7109375" style="29" bestFit="1" customWidth="1"/>
    <col min="13326" max="13568" width="9.140625" style="29"/>
    <col min="13569" max="13570" width="1.85546875" style="29" customWidth="1"/>
    <col min="13571" max="13571" width="3.140625" style="29" customWidth="1"/>
    <col min="13572" max="13574" width="9.140625" style="29"/>
    <col min="13575" max="13575" width="6.85546875" style="29" customWidth="1"/>
    <col min="13576" max="13576" width="17" style="29" customWidth="1"/>
    <col min="13577" max="13577" width="13.85546875" style="29" bestFit="1" customWidth="1"/>
    <col min="13578" max="13578" width="23.7109375" style="29" customWidth="1"/>
    <col min="13579" max="13579" width="18.85546875" style="29" customWidth="1"/>
    <col min="13580" max="13580" width="9.140625" style="29"/>
    <col min="13581" max="13581" width="11.7109375" style="29" bestFit="1" customWidth="1"/>
    <col min="13582" max="13824" width="9.140625" style="29"/>
    <col min="13825" max="13826" width="1.85546875" style="29" customWidth="1"/>
    <col min="13827" max="13827" width="3.140625" style="29" customWidth="1"/>
    <col min="13828" max="13830" width="9.140625" style="29"/>
    <col min="13831" max="13831" width="6.85546875" style="29" customWidth="1"/>
    <col min="13832" max="13832" width="17" style="29" customWidth="1"/>
    <col min="13833" max="13833" width="13.85546875" style="29" bestFit="1" customWidth="1"/>
    <col min="13834" max="13834" width="23.7109375" style="29" customWidth="1"/>
    <col min="13835" max="13835" width="18.85546875" style="29" customWidth="1"/>
    <col min="13836" max="13836" width="9.140625" style="29"/>
    <col min="13837" max="13837" width="11.7109375" style="29" bestFit="1" customWidth="1"/>
    <col min="13838" max="14080" width="9.140625" style="29"/>
    <col min="14081" max="14082" width="1.85546875" style="29" customWidth="1"/>
    <col min="14083" max="14083" width="3.140625" style="29" customWidth="1"/>
    <col min="14084" max="14086" width="9.140625" style="29"/>
    <col min="14087" max="14087" width="6.85546875" style="29" customWidth="1"/>
    <col min="14088" max="14088" width="17" style="29" customWidth="1"/>
    <col min="14089" max="14089" width="13.85546875" style="29" bestFit="1" customWidth="1"/>
    <col min="14090" max="14090" width="23.7109375" style="29" customWidth="1"/>
    <col min="14091" max="14091" width="18.85546875" style="29" customWidth="1"/>
    <col min="14092" max="14092" width="9.140625" style="29"/>
    <col min="14093" max="14093" width="11.7109375" style="29" bestFit="1" customWidth="1"/>
    <col min="14094" max="14336" width="9.140625" style="29"/>
    <col min="14337" max="14338" width="1.85546875" style="29" customWidth="1"/>
    <col min="14339" max="14339" width="3.140625" style="29" customWidth="1"/>
    <col min="14340" max="14342" width="9.140625" style="29"/>
    <col min="14343" max="14343" width="6.85546875" style="29" customWidth="1"/>
    <col min="14344" max="14344" width="17" style="29" customWidth="1"/>
    <col min="14345" max="14345" width="13.85546875" style="29" bestFit="1" customWidth="1"/>
    <col min="14346" max="14346" width="23.7109375" style="29" customWidth="1"/>
    <col min="14347" max="14347" width="18.85546875" style="29" customWidth="1"/>
    <col min="14348" max="14348" width="9.140625" style="29"/>
    <col min="14349" max="14349" width="11.7109375" style="29" bestFit="1" customWidth="1"/>
    <col min="14350" max="14592" width="9.140625" style="29"/>
    <col min="14593" max="14594" width="1.85546875" style="29" customWidth="1"/>
    <col min="14595" max="14595" width="3.140625" style="29" customWidth="1"/>
    <col min="14596" max="14598" width="9.140625" style="29"/>
    <col min="14599" max="14599" width="6.85546875" style="29" customWidth="1"/>
    <col min="14600" max="14600" width="17" style="29" customWidth="1"/>
    <col min="14601" max="14601" width="13.85546875" style="29" bestFit="1" customWidth="1"/>
    <col min="14602" max="14602" width="23.7109375" style="29" customWidth="1"/>
    <col min="14603" max="14603" width="18.85546875" style="29" customWidth="1"/>
    <col min="14604" max="14604" width="9.140625" style="29"/>
    <col min="14605" max="14605" width="11.7109375" style="29" bestFit="1" customWidth="1"/>
    <col min="14606" max="14848" width="9.140625" style="29"/>
    <col min="14849" max="14850" width="1.85546875" style="29" customWidth="1"/>
    <col min="14851" max="14851" width="3.140625" style="29" customWidth="1"/>
    <col min="14852" max="14854" width="9.140625" style="29"/>
    <col min="14855" max="14855" width="6.85546875" style="29" customWidth="1"/>
    <col min="14856" max="14856" width="17" style="29" customWidth="1"/>
    <col min="14857" max="14857" width="13.85546875" style="29" bestFit="1" customWidth="1"/>
    <col min="14858" max="14858" width="23.7109375" style="29" customWidth="1"/>
    <col min="14859" max="14859" width="18.85546875" style="29" customWidth="1"/>
    <col min="14860" max="14860" width="9.140625" style="29"/>
    <col min="14861" max="14861" width="11.7109375" style="29" bestFit="1" customWidth="1"/>
    <col min="14862" max="15104" width="9.140625" style="29"/>
    <col min="15105" max="15106" width="1.85546875" style="29" customWidth="1"/>
    <col min="15107" max="15107" width="3.140625" style="29" customWidth="1"/>
    <col min="15108" max="15110" width="9.140625" style="29"/>
    <col min="15111" max="15111" width="6.85546875" style="29" customWidth="1"/>
    <col min="15112" max="15112" width="17" style="29" customWidth="1"/>
    <col min="15113" max="15113" width="13.85546875" style="29" bestFit="1" customWidth="1"/>
    <col min="15114" max="15114" width="23.7109375" style="29" customWidth="1"/>
    <col min="15115" max="15115" width="18.85546875" style="29" customWidth="1"/>
    <col min="15116" max="15116" width="9.140625" style="29"/>
    <col min="15117" max="15117" width="11.7109375" style="29" bestFit="1" customWidth="1"/>
    <col min="15118" max="15360" width="9.140625" style="29"/>
    <col min="15361" max="15362" width="1.85546875" style="29" customWidth="1"/>
    <col min="15363" max="15363" width="3.140625" style="29" customWidth="1"/>
    <col min="15364" max="15366" width="9.140625" style="29"/>
    <col min="15367" max="15367" width="6.85546875" style="29" customWidth="1"/>
    <col min="15368" max="15368" width="17" style="29" customWidth="1"/>
    <col min="15369" max="15369" width="13.85546875" style="29" bestFit="1" customWidth="1"/>
    <col min="15370" max="15370" width="23.7109375" style="29" customWidth="1"/>
    <col min="15371" max="15371" width="18.85546875" style="29" customWidth="1"/>
    <col min="15372" max="15372" width="9.140625" style="29"/>
    <col min="15373" max="15373" width="11.7109375" style="29" bestFit="1" customWidth="1"/>
    <col min="15374" max="15616" width="9.140625" style="29"/>
    <col min="15617" max="15618" width="1.85546875" style="29" customWidth="1"/>
    <col min="15619" max="15619" width="3.140625" style="29" customWidth="1"/>
    <col min="15620" max="15622" width="9.140625" style="29"/>
    <col min="15623" max="15623" width="6.85546875" style="29" customWidth="1"/>
    <col min="15624" max="15624" width="17" style="29" customWidth="1"/>
    <col min="15625" max="15625" width="13.85546875" style="29" bestFit="1" customWidth="1"/>
    <col min="15626" max="15626" width="23.7109375" style="29" customWidth="1"/>
    <col min="15627" max="15627" width="18.85546875" style="29" customWidth="1"/>
    <col min="15628" max="15628" width="9.140625" style="29"/>
    <col min="15629" max="15629" width="11.7109375" style="29" bestFit="1" customWidth="1"/>
    <col min="15630" max="15872" width="9.140625" style="29"/>
    <col min="15873" max="15874" width="1.85546875" style="29" customWidth="1"/>
    <col min="15875" max="15875" width="3.140625" style="29" customWidth="1"/>
    <col min="15876" max="15878" width="9.140625" style="29"/>
    <col min="15879" max="15879" width="6.85546875" style="29" customWidth="1"/>
    <col min="15880" max="15880" width="17" style="29" customWidth="1"/>
    <col min="15881" max="15881" width="13.85546875" style="29" bestFit="1" customWidth="1"/>
    <col min="15882" max="15882" width="23.7109375" style="29" customWidth="1"/>
    <col min="15883" max="15883" width="18.85546875" style="29" customWidth="1"/>
    <col min="15884" max="15884" width="9.140625" style="29"/>
    <col min="15885" max="15885" width="11.7109375" style="29" bestFit="1" customWidth="1"/>
    <col min="15886" max="16128" width="9.140625" style="29"/>
    <col min="16129" max="16130" width="1.85546875" style="29" customWidth="1"/>
    <col min="16131" max="16131" width="3.140625" style="29" customWidth="1"/>
    <col min="16132" max="16134" width="9.140625" style="29"/>
    <col min="16135" max="16135" width="6.85546875" style="29" customWidth="1"/>
    <col min="16136" max="16136" width="17" style="29" customWidth="1"/>
    <col min="16137" max="16137" width="13.85546875" style="29" bestFit="1" customWidth="1"/>
    <col min="16138" max="16138" width="23.7109375" style="29" customWidth="1"/>
    <col min="16139" max="16139" width="18.85546875" style="29" customWidth="1"/>
    <col min="16140" max="16140" width="9.140625" style="29"/>
    <col min="16141" max="16141" width="11.7109375" style="29" bestFit="1" customWidth="1"/>
    <col min="16142" max="16384" width="9.140625" style="29"/>
  </cols>
  <sheetData>
    <row r="1" spans="1:15" ht="16.5" customHeight="1" x14ac:dyDescent="0.2">
      <c r="C1" s="11" t="s">
        <v>2151</v>
      </c>
      <c r="D1" s="32"/>
      <c r="E1" s="32"/>
      <c r="F1" s="10"/>
      <c r="G1" s="33"/>
    </row>
    <row r="2" spans="1:15" x14ac:dyDescent="0.2">
      <c r="C2" s="35" t="s">
        <v>2152</v>
      </c>
      <c r="D2" s="35"/>
      <c r="E2" s="35"/>
      <c r="F2" s="35"/>
      <c r="G2" s="35"/>
    </row>
    <row r="3" spans="1:15" x14ac:dyDescent="0.2">
      <c r="C3" s="35" t="s">
        <v>2153</v>
      </c>
      <c r="D3" s="35"/>
      <c r="E3" s="35"/>
      <c r="F3" s="35"/>
      <c r="G3" s="35"/>
    </row>
    <row r="4" spans="1:15" ht="8.25" customHeight="1" x14ac:dyDescent="0.2">
      <c r="D4" s="10"/>
      <c r="E4" s="10"/>
      <c r="F4" s="10"/>
      <c r="G4" s="10"/>
    </row>
    <row r="5" spans="1:15" x14ac:dyDescent="0.2">
      <c r="D5" s="11" t="s">
        <v>2154</v>
      </c>
      <c r="E5" s="10"/>
      <c r="F5" s="32" t="s">
        <v>2396</v>
      </c>
      <c r="G5" s="10"/>
    </row>
    <row r="6" spans="1:15" ht="9" customHeight="1" x14ac:dyDescent="0.2">
      <c r="D6" s="36"/>
    </row>
    <row r="7" spans="1:15" ht="9.75" customHeight="1" x14ac:dyDescent="0.2">
      <c r="A7" s="33"/>
      <c r="B7" s="33"/>
      <c r="C7" s="33"/>
      <c r="D7" s="33"/>
      <c r="E7" s="33"/>
      <c r="F7" s="33"/>
      <c r="G7" s="33"/>
      <c r="J7" s="7"/>
      <c r="K7" s="7"/>
    </row>
    <row r="8" spans="1:15" ht="12" customHeight="1" x14ac:dyDescent="0.2">
      <c r="A8" s="32" t="s">
        <v>2155</v>
      </c>
      <c r="B8" s="32"/>
      <c r="C8" s="32"/>
      <c r="D8" s="32"/>
      <c r="E8" s="10"/>
      <c r="F8" s="35"/>
      <c r="G8" s="35"/>
      <c r="I8" s="37">
        <f>I9+I15+I19+I27+I33+I41+I38</f>
        <v>514419989.21999997</v>
      </c>
      <c r="K8" s="7"/>
    </row>
    <row r="9" spans="1:15" ht="12" customHeight="1" x14ac:dyDescent="0.2">
      <c r="A9" s="10"/>
      <c r="B9" s="10"/>
      <c r="C9" s="32" t="s">
        <v>2156</v>
      </c>
      <c r="D9" s="10"/>
      <c r="E9" s="10"/>
      <c r="F9" s="35"/>
      <c r="G9" s="35"/>
      <c r="H9" s="37"/>
      <c r="I9" s="37">
        <f>H10+H11+H12+H14</f>
        <v>115723700.72</v>
      </c>
      <c r="K9" s="7"/>
    </row>
    <row r="10" spans="1:15" ht="12.75" customHeight="1" x14ac:dyDescent="0.2">
      <c r="A10" s="10"/>
      <c r="B10" s="10"/>
      <c r="C10" s="10"/>
      <c r="D10" s="10" t="s">
        <v>2157</v>
      </c>
      <c r="E10" s="10"/>
      <c r="F10" s="35"/>
      <c r="G10" s="35"/>
      <c r="H10" s="34">
        <v>25.18</v>
      </c>
      <c r="I10" s="34" t="s">
        <v>2158</v>
      </c>
      <c r="K10" s="7"/>
      <c r="L10" s="9"/>
      <c r="M10" s="9"/>
      <c r="N10" s="9"/>
      <c r="O10" s="9"/>
    </row>
    <row r="11" spans="1:15" ht="12" customHeight="1" x14ac:dyDescent="0.2">
      <c r="A11" s="10"/>
      <c r="B11" s="10"/>
      <c r="C11" s="10"/>
      <c r="D11" s="10" t="s">
        <v>2159</v>
      </c>
      <c r="E11" s="10"/>
      <c r="F11" s="35"/>
      <c r="G11" s="35"/>
      <c r="H11" s="34">
        <v>100260462.45999999</v>
      </c>
      <c r="I11" s="34" t="s">
        <v>2158</v>
      </c>
      <c r="K11" s="7"/>
      <c r="L11" s="9"/>
      <c r="M11" s="9"/>
      <c r="N11" s="9"/>
      <c r="O11" s="9"/>
    </row>
    <row r="12" spans="1:15" ht="12.75" customHeight="1" x14ac:dyDescent="0.2">
      <c r="A12" s="32"/>
      <c r="B12" s="32"/>
      <c r="C12" s="32"/>
      <c r="D12" s="10" t="s">
        <v>2160</v>
      </c>
      <c r="E12" s="10"/>
      <c r="F12" s="35"/>
      <c r="G12" s="35"/>
      <c r="H12" s="34">
        <v>14707599.42</v>
      </c>
      <c r="I12" s="34" t="s">
        <v>2158</v>
      </c>
      <c r="K12" s="7"/>
      <c r="L12" s="9"/>
      <c r="M12" s="9"/>
      <c r="N12" s="9"/>
      <c r="O12" s="9"/>
    </row>
    <row r="13" spans="1:15" ht="11.1" customHeight="1" x14ac:dyDescent="0.2">
      <c r="A13" s="10"/>
      <c r="B13" s="10"/>
      <c r="C13" s="10"/>
      <c r="D13" s="10" t="s">
        <v>2161</v>
      </c>
      <c r="E13" s="10"/>
      <c r="F13" s="35"/>
      <c r="G13" s="35"/>
      <c r="K13" s="7"/>
      <c r="L13" s="9"/>
      <c r="M13" s="9"/>
      <c r="N13" s="9"/>
      <c r="O13" s="9"/>
    </row>
    <row r="14" spans="1:15" ht="12" customHeight="1" x14ac:dyDescent="0.2">
      <c r="A14" s="10"/>
      <c r="B14" s="10"/>
      <c r="C14" s="10"/>
      <c r="D14" s="10" t="s">
        <v>2162</v>
      </c>
      <c r="E14" s="10"/>
      <c r="F14" s="35"/>
      <c r="G14" s="35"/>
      <c r="H14" s="34">
        <v>755613.66</v>
      </c>
      <c r="I14" s="34" t="s">
        <v>2158</v>
      </c>
      <c r="K14" s="7"/>
      <c r="L14" s="9"/>
      <c r="M14" s="9"/>
      <c r="N14" s="9"/>
      <c r="O14" s="9"/>
    </row>
    <row r="15" spans="1:15" ht="13.5" customHeight="1" x14ac:dyDescent="0.2">
      <c r="A15" s="10"/>
      <c r="B15" s="10"/>
      <c r="C15" s="32" t="s">
        <v>2163</v>
      </c>
      <c r="D15" s="32"/>
      <c r="E15" s="32"/>
      <c r="F15" s="35"/>
      <c r="G15" s="35"/>
      <c r="H15" s="37"/>
      <c r="I15" s="37">
        <f>H18+H16</f>
        <v>80930543.719999999</v>
      </c>
      <c r="K15" s="7"/>
      <c r="L15" s="9"/>
      <c r="M15" s="9"/>
      <c r="N15" s="9"/>
      <c r="O15" s="9"/>
    </row>
    <row r="16" spans="1:15" ht="13.5" customHeight="1" x14ac:dyDescent="0.2">
      <c r="A16" s="10"/>
      <c r="B16" s="10"/>
      <c r="C16" s="32"/>
      <c r="D16" s="38" t="s">
        <v>2164</v>
      </c>
      <c r="E16" s="38"/>
      <c r="F16" s="35"/>
      <c r="G16" s="35"/>
      <c r="I16" s="37"/>
      <c r="K16" s="7"/>
      <c r="L16" s="9"/>
      <c r="M16" s="9"/>
      <c r="N16" s="9"/>
      <c r="O16" s="9"/>
    </row>
    <row r="17" spans="1:15" ht="11.1" customHeight="1" x14ac:dyDescent="0.2">
      <c r="A17" s="32"/>
      <c r="B17" s="32"/>
      <c r="C17" s="32"/>
      <c r="D17" s="10" t="s">
        <v>2165</v>
      </c>
      <c r="E17" s="10"/>
      <c r="F17" s="35"/>
      <c r="G17" s="35"/>
      <c r="K17" s="7"/>
      <c r="L17" s="9"/>
      <c r="M17" s="9"/>
      <c r="N17" s="9"/>
      <c r="O17" s="9"/>
    </row>
    <row r="18" spans="1:15" ht="11.1" customHeight="1" x14ac:dyDescent="0.2">
      <c r="A18" s="32"/>
      <c r="B18" s="32"/>
      <c r="C18" s="32"/>
      <c r="D18" s="10" t="s">
        <v>2166</v>
      </c>
      <c r="E18" s="10"/>
      <c r="F18" s="35"/>
      <c r="G18" s="35"/>
      <c r="H18" s="34">
        <v>80930543.719999999</v>
      </c>
      <c r="I18" s="34" t="s">
        <v>2158</v>
      </c>
      <c r="K18" s="7"/>
      <c r="L18" s="9"/>
      <c r="M18" s="9"/>
      <c r="N18" s="9"/>
      <c r="O18" s="9"/>
    </row>
    <row r="19" spans="1:15" ht="12.75" customHeight="1" x14ac:dyDescent="0.2">
      <c r="A19" s="10"/>
      <c r="B19" s="10"/>
      <c r="C19" s="32" t="s">
        <v>2167</v>
      </c>
      <c r="D19" s="32"/>
      <c r="E19" s="32"/>
      <c r="F19" s="35"/>
      <c r="G19" s="35"/>
      <c r="H19" s="37"/>
      <c r="I19" s="37">
        <f>H20+H21+H24+H25+H26+H22</f>
        <v>99496582.950000003</v>
      </c>
      <c r="K19" s="7"/>
      <c r="L19" s="9"/>
      <c r="M19" s="9"/>
      <c r="N19" s="9"/>
      <c r="O19" s="9"/>
    </row>
    <row r="20" spans="1:15" ht="11.25" customHeight="1" x14ac:dyDescent="0.2">
      <c r="A20" s="10"/>
      <c r="B20" s="10"/>
      <c r="C20" s="10"/>
      <c r="D20" s="10" t="s">
        <v>2168</v>
      </c>
      <c r="E20" s="10"/>
      <c r="F20" s="35"/>
      <c r="G20" s="35"/>
      <c r="H20" s="34">
        <v>106257534.52</v>
      </c>
      <c r="K20" s="7"/>
      <c r="L20" s="9"/>
      <c r="M20" s="9"/>
      <c r="N20" s="9"/>
      <c r="O20" s="9"/>
    </row>
    <row r="21" spans="1:15" ht="12" customHeight="1" x14ac:dyDescent="0.2">
      <c r="A21" s="10"/>
      <c r="B21" s="10"/>
      <c r="C21" s="10"/>
      <c r="D21" s="10" t="s">
        <v>2169</v>
      </c>
      <c r="E21" s="10"/>
      <c r="F21" s="35"/>
      <c r="G21" s="35"/>
      <c r="I21" s="34" t="s">
        <v>2158</v>
      </c>
      <c r="K21" s="7"/>
      <c r="L21" s="9"/>
      <c r="M21" s="9"/>
      <c r="N21" s="9"/>
      <c r="O21" s="9"/>
    </row>
    <row r="22" spans="1:15" ht="11.25" customHeight="1" x14ac:dyDescent="0.2">
      <c r="A22" s="10"/>
      <c r="B22" s="10"/>
      <c r="C22" s="10"/>
      <c r="D22" s="10" t="s">
        <v>2170</v>
      </c>
      <c r="E22" s="10"/>
      <c r="F22" s="35"/>
      <c r="G22" s="35"/>
      <c r="H22" s="34">
        <v>-6814603.8099999996</v>
      </c>
      <c r="I22" s="34" t="s">
        <v>2158</v>
      </c>
      <c r="K22" s="7"/>
      <c r="L22" s="9"/>
      <c r="M22" s="9"/>
      <c r="N22" s="9"/>
      <c r="O22" s="9"/>
    </row>
    <row r="23" spans="1:15" ht="10.5" customHeight="1" x14ac:dyDescent="0.2">
      <c r="A23" s="10"/>
      <c r="B23" s="10"/>
      <c r="C23" s="32"/>
      <c r="D23" s="10" t="s">
        <v>2171</v>
      </c>
      <c r="E23" s="10"/>
      <c r="F23" s="35"/>
      <c r="G23" s="35"/>
      <c r="I23" s="34" t="s">
        <v>2158</v>
      </c>
      <c r="K23" s="7"/>
      <c r="L23" s="9"/>
      <c r="M23" s="9"/>
      <c r="N23" s="9"/>
      <c r="O23" s="9"/>
    </row>
    <row r="24" spans="1:15" ht="12" customHeight="1" x14ac:dyDescent="0.2">
      <c r="A24" s="32"/>
      <c r="B24" s="32"/>
      <c r="C24" s="32"/>
      <c r="D24" s="10" t="s">
        <v>2172</v>
      </c>
      <c r="E24" s="10"/>
      <c r="F24" s="35"/>
      <c r="G24" s="35"/>
      <c r="H24" s="34">
        <v>1421431.48</v>
      </c>
      <c r="I24" s="34" t="s">
        <v>2158</v>
      </c>
      <c r="K24" s="7"/>
    </row>
    <row r="25" spans="1:15" ht="12" customHeight="1" x14ac:dyDescent="0.2">
      <c r="A25" s="10"/>
      <c r="B25" s="10"/>
      <c r="C25" s="10"/>
      <c r="D25" s="10" t="s">
        <v>2173</v>
      </c>
      <c r="E25" s="10"/>
      <c r="F25" s="35"/>
      <c r="G25" s="35"/>
      <c r="H25" s="34">
        <v>-1367779.24</v>
      </c>
      <c r="I25" s="34" t="s">
        <v>2158</v>
      </c>
      <c r="K25" s="7"/>
    </row>
    <row r="26" spans="1:15" ht="11.1" customHeight="1" x14ac:dyDescent="0.2">
      <c r="A26" s="10"/>
      <c r="B26" s="10"/>
      <c r="C26" s="10"/>
      <c r="D26" s="10" t="s">
        <v>2174</v>
      </c>
      <c r="E26" s="10"/>
      <c r="F26" s="35"/>
      <c r="G26" s="35"/>
      <c r="I26" s="34" t="s">
        <v>2158</v>
      </c>
      <c r="K26" s="7"/>
    </row>
    <row r="27" spans="1:15" ht="12.75" customHeight="1" x14ac:dyDescent="0.2">
      <c r="A27" s="10"/>
      <c r="B27" s="10"/>
      <c r="C27" s="32" t="s">
        <v>2175</v>
      </c>
      <c r="D27" s="32"/>
      <c r="E27" s="32"/>
      <c r="F27" s="35"/>
      <c r="G27" s="35"/>
      <c r="H27" s="37"/>
      <c r="I27" s="37">
        <f>SUM(H28:H32)</f>
        <v>14772795.810000001</v>
      </c>
      <c r="K27" s="7"/>
    </row>
    <row r="28" spans="1:15" ht="11.1" customHeight="1" x14ac:dyDescent="0.2">
      <c r="A28" s="32"/>
      <c r="B28" s="32"/>
      <c r="C28" s="32"/>
      <c r="D28" s="10" t="s">
        <v>2176</v>
      </c>
      <c r="E28" s="32"/>
      <c r="F28" s="36"/>
      <c r="G28" s="35"/>
      <c r="K28" s="7"/>
    </row>
    <row r="29" spans="1:15" ht="11.1" customHeight="1" x14ac:dyDescent="0.2">
      <c r="A29" s="32"/>
      <c r="B29" s="32"/>
      <c r="C29" s="32"/>
      <c r="D29" s="10" t="s">
        <v>2177</v>
      </c>
      <c r="E29" s="10"/>
      <c r="F29" s="36"/>
      <c r="G29" s="35"/>
      <c r="I29" s="34" t="s">
        <v>2158</v>
      </c>
      <c r="K29" s="7"/>
    </row>
    <row r="30" spans="1:15" ht="11.1" customHeight="1" x14ac:dyDescent="0.2">
      <c r="A30" s="32"/>
      <c r="B30" s="32"/>
      <c r="C30" s="32"/>
      <c r="D30" s="10" t="s">
        <v>2178</v>
      </c>
      <c r="E30" s="10"/>
      <c r="F30" s="36"/>
      <c r="G30" s="35"/>
      <c r="K30" s="7"/>
    </row>
    <row r="31" spans="1:15" ht="11.1" customHeight="1" x14ac:dyDescent="0.2">
      <c r="A31" s="10"/>
      <c r="B31" s="10"/>
      <c r="C31" s="10"/>
      <c r="D31" s="10" t="s">
        <v>2179</v>
      </c>
      <c r="E31" s="10"/>
      <c r="F31" s="35"/>
      <c r="G31" s="35"/>
      <c r="I31" s="34" t="s">
        <v>2158</v>
      </c>
      <c r="K31" s="7"/>
    </row>
    <row r="32" spans="1:15" ht="11.1" customHeight="1" x14ac:dyDescent="0.2">
      <c r="A32" s="10"/>
      <c r="B32" s="10"/>
      <c r="C32" s="10"/>
      <c r="D32" s="10" t="s">
        <v>2180</v>
      </c>
      <c r="E32" s="10"/>
      <c r="F32" s="35"/>
      <c r="G32" s="35"/>
      <c r="H32" s="34">
        <v>14772795.810000001</v>
      </c>
      <c r="I32" s="34" t="s">
        <v>2158</v>
      </c>
      <c r="K32" s="7"/>
    </row>
    <row r="33" spans="1:11" ht="11.1" customHeight="1" x14ac:dyDescent="0.2">
      <c r="A33" s="10"/>
      <c r="B33" s="10"/>
      <c r="C33" s="32" t="s">
        <v>2181</v>
      </c>
      <c r="D33" s="32"/>
      <c r="E33" s="10"/>
      <c r="F33" s="35"/>
      <c r="G33" s="35"/>
      <c r="H33" s="37"/>
      <c r="I33" s="37">
        <f>H35+H36+H37</f>
        <v>196821937.97</v>
      </c>
      <c r="K33" s="7"/>
    </row>
    <row r="34" spans="1:11" ht="11.1" customHeight="1" x14ac:dyDescent="0.2">
      <c r="A34" s="10"/>
      <c r="B34" s="10"/>
      <c r="C34" s="10"/>
      <c r="D34" s="10" t="s">
        <v>2182</v>
      </c>
      <c r="E34" s="10"/>
      <c r="F34" s="35"/>
      <c r="G34" s="35"/>
      <c r="K34" s="7"/>
    </row>
    <row r="35" spans="1:11" ht="11.1" customHeight="1" x14ac:dyDescent="0.2">
      <c r="A35" s="10"/>
      <c r="B35" s="10"/>
      <c r="C35" s="10"/>
      <c r="D35" s="10" t="s">
        <v>2183</v>
      </c>
      <c r="E35" s="10"/>
      <c r="F35" s="35"/>
      <c r="G35" s="35"/>
      <c r="H35" s="34">
        <v>191965482.74000001</v>
      </c>
      <c r="I35" s="34" t="s">
        <v>2158</v>
      </c>
      <c r="K35" s="7"/>
    </row>
    <row r="36" spans="1:11" ht="11.1" customHeight="1" x14ac:dyDescent="0.2">
      <c r="A36" s="10"/>
      <c r="B36" s="10"/>
      <c r="C36" s="10"/>
      <c r="D36" s="10" t="s">
        <v>2184</v>
      </c>
      <c r="E36" s="10"/>
      <c r="F36" s="35"/>
      <c r="G36" s="35"/>
      <c r="H36" s="34">
        <v>101879.94</v>
      </c>
      <c r="I36" s="34" t="s">
        <v>2158</v>
      </c>
      <c r="K36" s="7"/>
    </row>
    <row r="37" spans="1:11" ht="11.25" customHeight="1" x14ac:dyDescent="0.2">
      <c r="A37" s="10"/>
      <c r="B37" s="10"/>
      <c r="C37" s="10"/>
      <c r="D37" s="10" t="s">
        <v>2185</v>
      </c>
      <c r="E37" s="10"/>
      <c r="F37" s="35"/>
      <c r="G37" s="35"/>
      <c r="H37" s="34">
        <v>4754575.29</v>
      </c>
      <c r="K37" s="7"/>
    </row>
    <row r="38" spans="1:11" ht="11.1" customHeight="1" x14ac:dyDescent="0.2">
      <c r="A38" s="10"/>
      <c r="B38" s="10"/>
      <c r="C38" s="32" t="s">
        <v>2186</v>
      </c>
      <c r="D38" s="10"/>
      <c r="E38" s="10"/>
      <c r="F38" s="35"/>
      <c r="G38" s="35"/>
      <c r="H38" s="37"/>
      <c r="I38" s="37">
        <f>H39+H40</f>
        <v>1404474.55</v>
      </c>
      <c r="K38" s="7"/>
    </row>
    <row r="39" spans="1:11" ht="11.1" customHeight="1" x14ac:dyDescent="0.2">
      <c r="A39" s="32"/>
      <c r="B39" s="32"/>
      <c r="C39" s="32"/>
      <c r="D39" s="10" t="s">
        <v>2187</v>
      </c>
      <c r="E39" s="32"/>
      <c r="F39" s="36"/>
      <c r="G39" s="35"/>
      <c r="H39" s="34">
        <v>317725.55</v>
      </c>
      <c r="I39" s="34" t="s">
        <v>2158</v>
      </c>
      <c r="K39" s="7"/>
    </row>
    <row r="40" spans="1:11" ht="12" customHeight="1" x14ac:dyDescent="0.2">
      <c r="A40" s="10"/>
      <c r="B40" s="10"/>
      <c r="C40" s="10"/>
      <c r="D40" s="10" t="s">
        <v>2188</v>
      </c>
      <c r="E40" s="10"/>
      <c r="F40" s="35"/>
      <c r="G40" s="35"/>
      <c r="H40" s="34">
        <v>1086749</v>
      </c>
      <c r="K40" s="7"/>
    </row>
    <row r="41" spans="1:11" ht="11.1" customHeight="1" x14ac:dyDescent="0.2">
      <c r="A41" s="10"/>
      <c r="B41" s="10"/>
      <c r="C41" s="32" t="s">
        <v>2189</v>
      </c>
      <c r="D41" s="32"/>
      <c r="E41" s="32"/>
      <c r="F41" s="36"/>
      <c r="G41" s="35"/>
      <c r="H41" s="37"/>
      <c r="I41" s="37">
        <f>H42+H43+H44+H45+H46+H47+H48</f>
        <v>5269953.5</v>
      </c>
      <c r="K41" s="7"/>
    </row>
    <row r="42" spans="1:11" ht="11.1" customHeight="1" x14ac:dyDescent="0.2">
      <c r="A42" s="10"/>
      <c r="B42" s="10"/>
      <c r="C42" s="10"/>
      <c r="D42" s="10" t="s">
        <v>2190</v>
      </c>
      <c r="E42" s="10"/>
      <c r="F42" s="35"/>
      <c r="G42" s="35"/>
      <c r="H42" s="39"/>
      <c r="I42" s="34" t="s">
        <v>2158</v>
      </c>
      <c r="K42" s="7"/>
    </row>
    <row r="43" spans="1:11" ht="11.1" customHeight="1" x14ac:dyDescent="0.2">
      <c r="A43" s="10"/>
      <c r="B43" s="10"/>
      <c r="C43" s="10"/>
      <c r="D43" s="10" t="s">
        <v>2191</v>
      </c>
      <c r="E43" s="10"/>
      <c r="F43" s="35"/>
      <c r="G43" s="35"/>
      <c r="H43" s="34">
        <v>2917354.85</v>
      </c>
      <c r="I43" s="34" t="s">
        <v>2158</v>
      </c>
      <c r="K43" s="7"/>
    </row>
    <row r="44" spans="1:11" ht="11.1" customHeight="1" x14ac:dyDescent="0.2">
      <c r="A44" s="10"/>
      <c r="B44" s="10"/>
      <c r="C44" s="10"/>
      <c r="D44" s="10" t="s">
        <v>2192</v>
      </c>
      <c r="E44" s="10"/>
      <c r="F44" s="35"/>
      <c r="G44" s="35"/>
      <c r="K44" s="7"/>
    </row>
    <row r="45" spans="1:11" ht="11.1" customHeight="1" x14ac:dyDescent="0.2">
      <c r="A45" s="32"/>
      <c r="B45" s="32"/>
      <c r="C45" s="32"/>
      <c r="D45" s="10" t="s">
        <v>2193</v>
      </c>
      <c r="E45" s="32"/>
      <c r="F45" s="35"/>
      <c r="G45" s="35"/>
      <c r="H45" s="34">
        <v>1798443.4</v>
      </c>
      <c r="I45" s="34" t="s">
        <v>2158</v>
      </c>
      <c r="K45" s="7"/>
    </row>
    <row r="46" spans="1:11" ht="12.75" customHeight="1" x14ac:dyDescent="0.2">
      <c r="A46" s="10"/>
      <c r="B46" s="10"/>
      <c r="C46" s="10"/>
      <c r="D46" s="10" t="s">
        <v>2194</v>
      </c>
      <c r="E46" s="10"/>
      <c r="F46" s="35"/>
      <c r="G46" s="35"/>
      <c r="H46" s="34">
        <v>19064.25</v>
      </c>
      <c r="I46" s="34" t="s">
        <v>2158</v>
      </c>
      <c r="K46" s="7"/>
    </row>
    <row r="47" spans="1:11" ht="12" customHeight="1" x14ac:dyDescent="0.2">
      <c r="A47" s="10"/>
      <c r="B47" s="10"/>
      <c r="C47" s="10"/>
      <c r="D47" s="10" t="s">
        <v>2195</v>
      </c>
      <c r="E47" s="10"/>
      <c r="F47" s="35"/>
      <c r="G47" s="35"/>
      <c r="H47" s="34">
        <v>535091</v>
      </c>
      <c r="I47" s="34" t="s">
        <v>2158</v>
      </c>
      <c r="K47" s="7"/>
    </row>
    <row r="48" spans="1:11" ht="12" customHeight="1" x14ac:dyDescent="0.2">
      <c r="A48" s="10"/>
      <c r="B48" s="10"/>
      <c r="C48" s="10"/>
      <c r="D48" s="10" t="s">
        <v>2196</v>
      </c>
      <c r="E48" s="10"/>
      <c r="F48" s="35"/>
      <c r="G48" s="35"/>
      <c r="K48" s="7"/>
    </row>
    <row r="49" spans="1:11" ht="12" customHeight="1" x14ac:dyDescent="0.2">
      <c r="A49" s="32" t="s">
        <v>2197</v>
      </c>
      <c r="B49" s="32"/>
      <c r="C49" s="32"/>
      <c r="D49" s="32"/>
      <c r="E49" s="32"/>
      <c r="F49" s="35"/>
      <c r="G49" s="35"/>
      <c r="I49" s="37">
        <f>I50+I55+I59+I68+I74</f>
        <v>138800355.19000003</v>
      </c>
      <c r="K49" s="7"/>
    </row>
    <row r="50" spans="1:11" ht="13.5" customHeight="1" x14ac:dyDescent="0.2">
      <c r="A50" s="32"/>
      <c r="B50" s="32"/>
      <c r="C50" s="32" t="s">
        <v>2198</v>
      </c>
      <c r="D50" s="32"/>
      <c r="E50" s="32"/>
      <c r="F50" s="35"/>
      <c r="G50" s="35"/>
      <c r="H50" s="37"/>
      <c r="I50" s="37">
        <f>H51</f>
        <v>3852</v>
      </c>
      <c r="K50" s="7"/>
    </row>
    <row r="51" spans="1:11" ht="13.5" customHeight="1" x14ac:dyDescent="0.2">
      <c r="A51" s="10"/>
      <c r="B51" s="10"/>
      <c r="C51" s="10"/>
      <c r="D51" s="10" t="s">
        <v>2171</v>
      </c>
      <c r="E51" s="10"/>
      <c r="F51" s="35"/>
      <c r="G51" s="35"/>
      <c r="H51" s="34">
        <v>3852</v>
      </c>
      <c r="I51" s="34" t="s">
        <v>2158</v>
      </c>
      <c r="K51" s="7"/>
    </row>
    <row r="52" spans="1:11" ht="11.1" customHeight="1" x14ac:dyDescent="0.2">
      <c r="A52" s="10"/>
      <c r="B52" s="10"/>
      <c r="C52" s="32" t="s">
        <v>2199</v>
      </c>
      <c r="D52" s="10"/>
      <c r="E52" s="10"/>
      <c r="F52" s="35"/>
      <c r="G52" s="35"/>
      <c r="I52" s="34" t="s">
        <v>2158</v>
      </c>
      <c r="K52" s="7"/>
    </row>
    <row r="53" spans="1:11" ht="11.1" customHeight="1" x14ac:dyDescent="0.2">
      <c r="A53" s="32"/>
      <c r="B53" s="32"/>
      <c r="C53" s="32"/>
      <c r="D53" s="10" t="s">
        <v>2200</v>
      </c>
      <c r="E53" s="32"/>
      <c r="F53" s="36"/>
      <c r="G53" s="35"/>
      <c r="I53" s="34" t="s">
        <v>2158</v>
      </c>
      <c r="K53" s="7"/>
    </row>
    <row r="54" spans="1:11" ht="9" customHeight="1" x14ac:dyDescent="0.2">
      <c r="A54" s="10"/>
      <c r="B54" s="10"/>
      <c r="C54" s="10"/>
      <c r="D54" s="10" t="s">
        <v>2179</v>
      </c>
      <c r="E54" s="10"/>
      <c r="F54" s="35"/>
      <c r="G54" s="35"/>
      <c r="I54" s="34" t="s">
        <v>2158</v>
      </c>
      <c r="K54" s="7"/>
    </row>
    <row r="55" spans="1:11" ht="12" customHeight="1" x14ac:dyDescent="0.2">
      <c r="A55" s="10"/>
      <c r="B55" s="10"/>
      <c r="C55" s="32" t="s">
        <v>2201</v>
      </c>
      <c r="D55" s="10"/>
      <c r="E55" s="10"/>
      <c r="F55" s="35"/>
      <c r="G55" s="35"/>
      <c r="H55" s="37"/>
      <c r="I55" s="37">
        <f>H56+H57+H58</f>
        <v>0</v>
      </c>
      <c r="K55" s="7"/>
    </row>
    <row r="56" spans="1:11" ht="12.75" customHeight="1" x14ac:dyDescent="0.2">
      <c r="A56" s="10"/>
      <c r="B56" s="10"/>
      <c r="C56" s="10"/>
      <c r="D56" s="10" t="s">
        <v>2202</v>
      </c>
      <c r="E56" s="10"/>
      <c r="F56" s="35"/>
      <c r="G56" s="35"/>
      <c r="I56" s="34" t="s">
        <v>2158</v>
      </c>
      <c r="K56" s="7"/>
    </row>
    <row r="57" spans="1:11" ht="11.1" customHeight="1" x14ac:dyDescent="0.2">
      <c r="A57" s="32"/>
      <c r="B57" s="32"/>
      <c r="C57" s="32"/>
      <c r="D57" s="10" t="s">
        <v>2203</v>
      </c>
      <c r="E57" s="32"/>
      <c r="F57" s="36"/>
      <c r="G57" s="35"/>
      <c r="K57" s="7"/>
    </row>
    <row r="58" spans="1:11" ht="11.1" customHeight="1" x14ac:dyDescent="0.2">
      <c r="A58" s="32"/>
      <c r="B58" s="32"/>
      <c r="C58" s="32"/>
      <c r="D58" s="10" t="s">
        <v>2204</v>
      </c>
      <c r="E58" s="32"/>
      <c r="F58" s="36"/>
      <c r="G58" s="35"/>
      <c r="K58" s="7"/>
    </row>
    <row r="59" spans="1:11" ht="11.1" customHeight="1" x14ac:dyDescent="0.2">
      <c r="A59" s="32"/>
      <c r="B59" s="32"/>
      <c r="C59" s="32" t="s">
        <v>2205</v>
      </c>
      <c r="D59" s="32"/>
      <c r="E59" s="32"/>
      <c r="F59" s="36"/>
      <c r="G59" s="35"/>
      <c r="H59" s="37"/>
      <c r="I59" s="37">
        <f>H60+H61+H62+H63+H64+H65+H66+H67</f>
        <v>67461881.200000003</v>
      </c>
      <c r="K59" s="7"/>
    </row>
    <row r="60" spans="1:11" ht="11.1" customHeight="1" x14ac:dyDescent="0.2">
      <c r="A60" s="32"/>
      <c r="B60" s="32"/>
      <c r="C60" s="32"/>
      <c r="D60" s="38" t="s">
        <v>2206</v>
      </c>
      <c r="E60" s="38"/>
      <c r="F60" s="36"/>
      <c r="G60" s="35"/>
      <c r="H60" s="34">
        <v>52277775.049999997</v>
      </c>
      <c r="K60" s="7"/>
    </row>
    <row r="61" spans="1:11" ht="11.1" customHeight="1" x14ac:dyDescent="0.2">
      <c r="A61" s="32"/>
      <c r="B61" s="32"/>
      <c r="C61" s="32"/>
      <c r="D61" s="10" t="s">
        <v>2207</v>
      </c>
      <c r="E61" s="32"/>
      <c r="F61" s="36"/>
      <c r="G61" s="35"/>
      <c r="I61" s="34" t="s">
        <v>2158</v>
      </c>
      <c r="K61" s="7"/>
    </row>
    <row r="62" spans="1:11" ht="11.1" customHeight="1" x14ac:dyDescent="0.2">
      <c r="A62" s="10"/>
      <c r="B62" s="10"/>
      <c r="C62" s="10"/>
      <c r="D62" s="10" t="s">
        <v>2208</v>
      </c>
      <c r="E62" s="10"/>
      <c r="F62" s="33"/>
      <c r="G62" s="33"/>
      <c r="I62" s="34" t="s">
        <v>2158</v>
      </c>
      <c r="K62" s="7"/>
    </row>
    <row r="63" spans="1:11" ht="12" customHeight="1" x14ac:dyDescent="0.2">
      <c r="A63" s="10"/>
      <c r="B63" s="10"/>
      <c r="C63" s="10"/>
      <c r="D63" s="10" t="s">
        <v>2209</v>
      </c>
      <c r="E63" s="10"/>
      <c r="F63" s="33"/>
      <c r="G63" s="33"/>
      <c r="H63" s="34">
        <v>21681102.23</v>
      </c>
      <c r="I63" s="34" t="s">
        <v>2158</v>
      </c>
      <c r="K63" s="7"/>
    </row>
    <row r="64" spans="1:11" ht="12.75" customHeight="1" x14ac:dyDescent="0.2">
      <c r="A64" s="10"/>
      <c r="B64" s="10"/>
      <c r="C64" s="10"/>
      <c r="D64" s="10" t="s">
        <v>2210</v>
      </c>
      <c r="E64" s="10"/>
      <c r="F64" s="33"/>
      <c r="G64" s="33"/>
      <c r="H64" s="34">
        <v>14487003.279999999</v>
      </c>
      <c r="I64" s="34" t="s">
        <v>2158</v>
      </c>
      <c r="K64" s="7"/>
    </row>
    <row r="65" spans="1:13" ht="12" customHeight="1" x14ac:dyDescent="0.2">
      <c r="A65" s="33"/>
      <c r="B65" s="33"/>
      <c r="C65" s="33"/>
      <c r="D65" s="35" t="s">
        <v>2211</v>
      </c>
      <c r="E65" s="33"/>
      <c r="F65" s="33"/>
      <c r="G65" s="33"/>
      <c r="H65" s="34">
        <v>-21493717.57</v>
      </c>
      <c r="I65" s="34" t="s">
        <v>2158</v>
      </c>
      <c r="K65" s="7"/>
    </row>
    <row r="66" spans="1:13" ht="11.1" customHeight="1" x14ac:dyDescent="0.2">
      <c r="A66" s="33"/>
      <c r="B66" s="33"/>
      <c r="C66" s="33"/>
      <c r="D66" s="35" t="s">
        <v>2212</v>
      </c>
      <c r="E66" s="33"/>
      <c r="F66" s="33"/>
      <c r="G66" s="33"/>
      <c r="H66" s="34">
        <v>509718.21</v>
      </c>
      <c r="I66" s="34" t="s">
        <v>2158</v>
      </c>
      <c r="K66" s="7"/>
    </row>
    <row r="67" spans="1:13" ht="11.1" customHeight="1" x14ac:dyDescent="0.2">
      <c r="A67" s="33"/>
      <c r="B67" s="33"/>
      <c r="C67" s="33"/>
      <c r="D67" s="35" t="s">
        <v>2213</v>
      </c>
      <c r="E67" s="33"/>
      <c r="F67" s="33"/>
      <c r="G67" s="33"/>
      <c r="I67" s="34" t="s">
        <v>2158</v>
      </c>
      <c r="K67" s="7"/>
    </row>
    <row r="68" spans="1:13" ht="12.75" customHeight="1" x14ac:dyDescent="0.2">
      <c r="A68" s="33"/>
      <c r="B68" s="33"/>
      <c r="C68" s="36" t="s">
        <v>2214</v>
      </c>
      <c r="D68" s="33"/>
      <c r="E68" s="35"/>
      <c r="F68" s="33"/>
      <c r="G68" s="33"/>
      <c r="H68" s="37"/>
      <c r="I68" s="37">
        <f>H69+H70+H71+H72</f>
        <v>70865009.340000004</v>
      </c>
      <c r="K68" s="7"/>
    </row>
    <row r="69" spans="1:13" ht="12.75" customHeight="1" x14ac:dyDescent="0.2">
      <c r="A69" s="33"/>
      <c r="B69" s="33"/>
      <c r="C69" s="33"/>
      <c r="D69" s="35" t="s">
        <v>2215</v>
      </c>
      <c r="E69" s="33"/>
      <c r="F69" s="33"/>
      <c r="G69" s="33"/>
      <c r="H69" s="34">
        <v>60526832.68</v>
      </c>
      <c r="I69" s="34" t="s">
        <v>2158</v>
      </c>
      <c r="K69" s="7"/>
    </row>
    <row r="70" spans="1:13" ht="12.75" customHeight="1" x14ac:dyDescent="0.2">
      <c r="A70" s="33"/>
      <c r="B70" s="33"/>
      <c r="C70" s="33"/>
      <c r="D70" s="35" t="s">
        <v>2216</v>
      </c>
      <c r="E70" s="33"/>
      <c r="F70" s="33"/>
      <c r="G70" s="33"/>
      <c r="H70" s="34">
        <v>63907027.270000003</v>
      </c>
      <c r="I70" s="34" t="s">
        <v>2158</v>
      </c>
      <c r="K70" s="7"/>
    </row>
    <row r="71" spans="1:13" ht="12" customHeight="1" x14ac:dyDescent="0.2">
      <c r="A71" s="33"/>
      <c r="B71" s="33"/>
      <c r="C71" s="33"/>
      <c r="D71" s="35" t="s">
        <v>2217</v>
      </c>
      <c r="E71" s="33"/>
      <c r="F71" s="33"/>
      <c r="G71" s="33"/>
      <c r="I71" s="34" t="s">
        <v>2158</v>
      </c>
      <c r="K71" s="7"/>
    </row>
    <row r="72" spans="1:13" ht="12.75" customHeight="1" x14ac:dyDescent="0.2">
      <c r="A72" s="33"/>
      <c r="B72" s="33"/>
      <c r="C72" s="33"/>
      <c r="D72" s="35" t="s">
        <v>2218</v>
      </c>
      <c r="E72" s="33"/>
      <c r="F72" s="33"/>
      <c r="G72" s="33"/>
      <c r="H72" s="34">
        <v>-53568850.609999999</v>
      </c>
      <c r="I72" s="34" t="s">
        <v>2158</v>
      </c>
      <c r="K72" s="7"/>
    </row>
    <row r="73" spans="1:13" ht="12" customHeight="1" x14ac:dyDescent="0.2">
      <c r="A73" s="33"/>
      <c r="B73" s="33"/>
      <c r="C73" s="33"/>
      <c r="D73" s="35" t="s">
        <v>2219</v>
      </c>
      <c r="E73" s="33"/>
      <c r="F73" s="33"/>
      <c r="G73" s="33"/>
      <c r="I73" s="34" t="s">
        <v>2158</v>
      </c>
      <c r="K73" s="7"/>
    </row>
    <row r="74" spans="1:13" ht="12.75" customHeight="1" x14ac:dyDescent="0.2">
      <c r="A74" s="33"/>
      <c r="B74" s="33"/>
      <c r="C74" s="36" t="s">
        <v>2220</v>
      </c>
      <c r="D74" s="33"/>
      <c r="E74" s="33"/>
      <c r="F74" s="33"/>
      <c r="G74" s="33"/>
      <c r="H74" s="37"/>
      <c r="I74" s="37">
        <f>H75+H76</f>
        <v>469612.65</v>
      </c>
      <c r="K74" s="7"/>
    </row>
    <row r="75" spans="1:13" ht="11.25" customHeight="1" x14ac:dyDescent="0.2">
      <c r="A75" s="33"/>
      <c r="B75" s="33"/>
      <c r="C75" s="35"/>
      <c r="D75" s="35" t="s">
        <v>2221</v>
      </c>
      <c r="E75" s="35"/>
      <c r="F75" s="35"/>
      <c r="G75" s="33"/>
      <c r="H75" s="34">
        <v>469612.65</v>
      </c>
      <c r="I75" s="34" t="s">
        <v>2158</v>
      </c>
      <c r="K75" s="7"/>
    </row>
    <row r="76" spans="1:13" ht="12" customHeight="1" x14ac:dyDescent="0.2">
      <c r="A76" s="33"/>
      <c r="B76" s="33"/>
      <c r="C76" s="35"/>
      <c r="D76" s="35" t="s">
        <v>2188</v>
      </c>
      <c r="E76" s="35"/>
      <c r="F76" s="35"/>
      <c r="G76" s="33"/>
      <c r="K76" s="7"/>
    </row>
    <row r="77" spans="1:13" ht="11.1" customHeight="1" x14ac:dyDescent="0.2">
      <c r="A77" s="33"/>
      <c r="B77" s="33"/>
      <c r="C77" s="36" t="s">
        <v>2222</v>
      </c>
      <c r="D77" s="35"/>
      <c r="E77" s="35"/>
      <c r="F77" s="35"/>
      <c r="G77" s="33"/>
      <c r="H77" s="37"/>
      <c r="I77" s="37" t="s">
        <v>2158</v>
      </c>
      <c r="K77" s="7"/>
    </row>
    <row r="78" spans="1:13" ht="12" customHeight="1" x14ac:dyDescent="0.2">
      <c r="A78" s="33"/>
      <c r="B78" s="33"/>
      <c r="C78" s="35"/>
      <c r="D78" s="35" t="s">
        <v>2223</v>
      </c>
      <c r="E78" s="35"/>
      <c r="F78" s="35"/>
      <c r="G78" s="33"/>
      <c r="K78" s="7"/>
    </row>
    <row r="79" spans="1:13" ht="18" customHeight="1" x14ac:dyDescent="0.2">
      <c r="A79" s="33"/>
      <c r="B79" s="33"/>
      <c r="C79" s="35"/>
      <c r="D79" s="36" t="s">
        <v>2224</v>
      </c>
      <c r="E79" s="35"/>
      <c r="F79" s="35"/>
      <c r="G79" s="33"/>
      <c r="H79" s="37"/>
      <c r="I79" s="37">
        <f>I8+I49</f>
        <v>653220344.40999997</v>
      </c>
      <c r="K79" s="7"/>
      <c r="M79" s="30"/>
    </row>
    <row r="80" spans="1:13" ht="22.5" hidden="1" customHeight="1" x14ac:dyDescent="0.2">
      <c r="A80" s="33"/>
      <c r="B80" s="33"/>
      <c r="C80" s="35"/>
      <c r="D80" s="36"/>
      <c r="E80" s="35"/>
      <c r="F80" s="35"/>
      <c r="G80" s="33"/>
      <c r="K80" s="7"/>
    </row>
    <row r="81" spans="1:11" ht="5.25" hidden="1" customHeight="1" x14ac:dyDescent="0.2">
      <c r="C81" s="35"/>
      <c r="D81" s="36"/>
      <c r="E81" s="35"/>
      <c r="F81" s="35"/>
      <c r="K81" s="7"/>
    </row>
    <row r="82" spans="1:11" ht="3.75" customHeight="1" x14ac:dyDescent="0.2">
      <c r="C82" s="35"/>
      <c r="D82" s="36"/>
      <c r="E82" s="35"/>
      <c r="F82" s="35"/>
      <c r="K82" s="7"/>
    </row>
    <row r="83" spans="1:11" ht="6" customHeight="1" x14ac:dyDescent="0.2">
      <c r="K83" s="7"/>
    </row>
    <row r="84" spans="1:11" ht="6" customHeight="1" x14ac:dyDescent="0.2">
      <c r="K84" s="7"/>
    </row>
    <row r="85" spans="1:11" ht="6" customHeight="1" x14ac:dyDescent="0.2">
      <c r="K85" s="7"/>
    </row>
    <row r="86" spans="1:11" ht="6" customHeight="1" x14ac:dyDescent="0.2">
      <c r="K86" s="7"/>
    </row>
    <row r="87" spans="1:11" ht="6" customHeight="1" x14ac:dyDescent="0.2">
      <c r="K87" s="7"/>
    </row>
    <row r="88" spans="1:11" ht="6" customHeight="1" x14ac:dyDescent="0.2">
      <c r="K88" s="7"/>
    </row>
    <row r="89" spans="1:11" ht="6" customHeight="1" x14ac:dyDescent="0.2">
      <c r="K89" s="7"/>
    </row>
    <row r="90" spans="1:11" ht="6" customHeight="1" x14ac:dyDescent="0.2">
      <c r="K90" s="7"/>
    </row>
    <row r="91" spans="1:11" ht="6" customHeight="1" x14ac:dyDescent="0.2">
      <c r="K91" s="7"/>
    </row>
    <row r="92" spans="1:11" ht="7.5" customHeight="1" x14ac:dyDescent="0.2">
      <c r="K92" s="7"/>
    </row>
    <row r="93" spans="1:11" ht="12.75" customHeight="1" x14ac:dyDescent="0.2">
      <c r="A93" s="10"/>
      <c r="B93" s="10"/>
      <c r="C93" s="11" t="s">
        <v>2151</v>
      </c>
      <c r="D93" s="32"/>
      <c r="E93" s="32"/>
      <c r="F93" s="10"/>
      <c r="G93" s="10"/>
      <c r="K93" s="7"/>
    </row>
    <row r="94" spans="1:11" ht="12" customHeight="1" x14ac:dyDescent="0.2">
      <c r="A94" s="10"/>
      <c r="B94" s="10"/>
      <c r="C94" s="35" t="s">
        <v>2152</v>
      </c>
      <c r="D94" s="35"/>
      <c r="E94" s="35"/>
      <c r="F94" s="35"/>
      <c r="G94" s="35"/>
      <c r="K94" s="7"/>
    </row>
    <row r="95" spans="1:11" ht="12" customHeight="1" x14ac:dyDescent="0.2">
      <c r="A95" s="10"/>
      <c r="B95" s="10"/>
      <c r="C95" s="35" t="s">
        <v>2153</v>
      </c>
      <c r="D95" s="35"/>
      <c r="E95" s="35"/>
      <c r="F95" s="35"/>
      <c r="G95" s="35"/>
      <c r="K95" s="7"/>
    </row>
    <row r="96" spans="1:11" ht="6.75" customHeight="1" x14ac:dyDescent="0.2">
      <c r="A96" s="10"/>
      <c r="B96" s="10"/>
      <c r="C96" s="10"/>
      <c r="D96" s="10"/>
      <c r="E96" s="10"/>
      <c r="F96" s="10"/>
      <c r="G96" s="10"/>
      <c r="K96" s="7"/>
    </row>
    <row r="97" spans="1:11" ht="16.5" customHeight="1" x14ac:dyDescent="0.2">
      <c r="A97" s="10"/>
      <c r="B97" s="10"/>
      <c r="C97" s="10"/>
      <c r="D97" s="11" t="s">
        <v>2225</v>
      </c>
      <c r="E97" s="10"/>
      <c r="F97" s="32" t="s">
        <v>2226</v>
      </c>
      <c r="G97" s="32" t="s">
        <v>2357</v>
      </c>
      <c r="K97" s="7"/>
    </row>
    <row r="98" spans="1:11" ht="6.75" customHeight="1" x14ac:dyDescent="0.2">
      <c r="A98" s="10"/>
      <c r="B98" s="10"/>
      <c r="C98" s="10"/>
      <c r="D98" s="10"/>
      <c r="E98" s="10"/>
      <c r="K98" s="7"/>
    </row>
    <row r="99" spans="1:11" ht="12.75" customHeight="1" x14ac:dyDescent="0.2">
      <c r="A99" s="32" t="s">
        <v>2227</v>
      </c>
      <c r="B99" s="32"/>
      <c r="C99" s="32"/>
      <c r="D99" s="32"/>
      <c r="E99" s="32"/>
      <c r="F99" s="32"/>
      <c r="G99" s="32"/>
      <c r="H99" s="37"/>
      <c r="I99" s="37">
        <f>I100+I106+I112+I116+I119+I123+I128+I131</f>
        <v>364720158.26999998</v>
      </c>
      <c r="J99" s="8"/>
      <c r="K99" s="7"/>
    </row>
    <row r="100" spans="1:11" ht="12.75" customHeight="1" x14ac:dyDescent="0.2">
      <c r="A100" s="10"/>
      <c r="B100" s="10"/>
      <c r="C100" s="32" t="s">
        <v>2228</v>
      </c>
      <c r="D100" s="32"/>
      <c r="E100" s="32"/>
      <c r="F100" s="10"/>
      <c r="G100" s="10"/>
      <c r="H100" s="37"/>
      <c r="I100" s="37">
        <f>SUM(H101:H105)</f>
        <v>7135334.8300000001</v>
      </c>
      <c r="J100" s="8"/>
      <c r="K100" s="7"/>
    </row>
    <row r="101" spans="1:11" ht="12.75" customHeight="1" x14ac:dyDescent="0.2">
      <c r="A101" s="10"/>
      <c r="B101" s="10"/>
      <c r="C101" s="10"/>
      <c r="D101" s="10" t="s">
        <v>2229</v>
      </c>
      <c r="E101" s="10"/>
      <c r="F101" s="10"/>
      <c r="G101" s="10"/>
      <c r="K101" s="7"/>
    </row>
    <row r="102" spans="1:11" ht="12.75" customHeight="1" x14ac:dyDescent="0.2">
      <c r="A102" s="10"/>
      <c r="B102" s="10"/>
      <c r="C102" s="10"/>
      <c r="D102" s="10" t="s">
        <v>2230</v>
      </c>
      <c r="E102" s="10"/>
      <c r="F102" s="10"/>
      <c r="G102" s="10"/>
      <c r="H102" s="34">
        <v>828983.27</v>
      </c>
      <c r="K102" s="7"/>
    </row>
    <row r="103" spans="1:11" ht="12.75" customHeight="1" x14ac:dyDescent="0.2">
      <c r="A103" s="10"/>
      <c r="B103" s="10"/>
      <c r="C103" s="10"/>
      <c r="D103" s="10" t="s">
        <v>2231</v>
      </c>
      <c r="E103" s="10"/>
      <c r="F103" s="10"/>
      <c r="G103" s="10"/>
      <c r="H103" s="34">
        <v>-67002.94</v>
      </c>
      <c r="K103" s="7"/>
    </row>
    <row r="104" spans="1:11" ht="11.1" customHeight="1" x14ac:dyDescent="0.2">
      <c r="A104" s="10"/>
      <c r="B104" s="10"/>
      <c r="C104" s="10"/>
      <c r="D104" s="10" t="s">
        <v>2232</v>
      </c>
      <c r="E104" s="10"/>
      <c r="F104" s="10"/>
      <c r="G104" s="10"/>
      <c r="K104" s="7"/>
    </row>
    <row r="105" spans="1:11" ht="12.75" customHeight="1" x14ac:dyDescent="0.2">
      <c r="A105" s="10"/>
      <c r="B105" s="10"/>
      <c r="C105" s="10"/>
      <c r="D105" s="10" t="s">
        <v>2233</v>
      </c>
      <c r="E105" s="10"/>
      <c r="F105" s="10"/>
      <c r="G105" s="10"/>
      <c r="H105" s="34">
        <v>6373354.5</v>
      </c>
      <c r="K105" s="7"/>
    </row>
    <row r="106" spans="1:11" ht="14.25" customHeight="1" x14ac:dyDescent="0.2">
      <c r="A106" s="10"/>
      <c r="B106" s="10"/>
      <c r="C106" s="32" t="s">
        <v>2234</v>
      </c>
      <c r="D106" s="32"/>
      <c r="E106" s="32"/>
      <c r="F106" s="32"/>
      <c r="G106" s="10"/>
      <c r="H106" s="37"/>
      <c r="I106" s="37">
        <f>H108+H109+H110+H111+H107</f>
        <v>311575103.11000001</v>
      </c>
      <c r="K106" s="7"/>
    </row>
    <row r="107" spans="1:11" ht="12.75" customHeight="1" x14ac:dyDescent="0.2">
      <c r="A107" s="10"/>
      <c r="B107" s="10"/>
      <c r="C107" s="10"/>
      <c r="D107" s="10" t="s">
        <v>2235</v>
      </c>
      <c r="E107" s="10"/>
      <c r="F107" s="10"/>
      <c r="G107" s="10"/>
      <c r="H107" s="34">
        <v>284813742.88</v>
      </c>
      <c r="K107" s="7"/>
    </row>
    <row r="108" spans="1:11" ht="11.1" customHeight="1" x14ac:dyDescent="0.2">
      <c r="A108" s="10"/>
      <c r="B108" s="10"/>
      <c r="C108" s="10"/>
      <c r="D108" s="10" t="s">
        <v>2236</v>
      </c>
      <c r="E108" s="10"/>
      <c r="F108" s="10"/>
      <c r="G108" s="10"/>
      <c r="H108" s="34">
        <v>28400000</v>
      </c>
      <c r="K108" s="7"/>
    </row>
    <row r="109" spans="1:11" ht="11.1" customHeight="1" x14ac:dyDescent="0.2">
      <c r="A109" s="10"/>
      <c r="B109" s="10"/>
      <c r="C109" s="10"/>
      <c r="D109" s="10" t="s">
        <v>2237</v>
      </c>
      <c r="E109" s="10"/>
      <c r="F109" s="10"/>
      <c r="G109" s="10"/>
      <c r="H109" s="34">
        <v>-2895955.82</v>
      </c>
      <c r="K109" s="7"/>
    </row>
    <row r="110" spans="1:11" ht="12.75" customHeight="1" x14ac:dyDescent="0.2">
      <c r="A110" s="10"/>
      <c r="B110" s="10"/>
      <c r="C110" s="10"/>
      <c r="D110" s="10" t="s">
        <v>2238</v>
      </c>
      <c r="E110" s="10"/>
      <c r="F110" s="10"/>
      <c r="G110" s="10"/>
      <c r="K110" s="7"/>
    </row>
    <row r="111" spans="1:11" ht="12.75" customHeight="1" x14ac:dyDescent="0.2">
      <c r="A111" s="10"/>
      <c r="B111" s="10"/>
      <c r="C111" s="10"/>
      <c r="D111" s="10" t="s">
        <v>2239</v>
      </c>
      <c r="E111" s="10"/>
      <c r="F111" s="10"/>
      <c r="G111" s="10"/>
      <c r="H111" s="34">
        <v>1257316.05</v>
      </c>
      <c r="K111" s="7"/>
    </row>
    <row r="112" spans="1:11" ht="12" customHeight="1" x14ac:dyDescent="0.2">
      <c r="A112" s="10"/>
      <c r="B112" s="10"/>
      <c r="C112" s="32" t="s">
        <v>2240</v>
      </c>
      <c r="D112" s="32"/>
      <c r="E112" s="32"/>
      <c r="F112" s="10"/>
      <c r="G112" s="10"/>
      <c r="H112" s="37"/>
      <c r="I112" s="37">
        <f>H113+H114+H115</f>
        <v>2124881.33</v>
      </c>
      <c r="K112" s="7"/>
    </row>
    <row r="113" spans="1:11" ht="12" customHeight="1" x14ac:dyDescent="0.2">
      <c r="A113" s="10"/>
      <c r="B113" s="10"/>
      <c r="C113" s="10"/>
      <c r="D113" s="10" t="s">
        <v>2241</v>
      </c>
      <c r="E113" s="10"/>
      <c r="F113" s="10"/>
      <c r="G113" s="10"/>
      <c r="K113" s="7"/>
    </row>
    <row r="114" spans="1:11" ht="12.75" customHeight="1" x14ac:dyDescent="0.2">
      <c r="A114" s="10"/>
      <c r="B114" s="10"/>
      <c r="C114" s="10"/>
      <c r="D114" s="10" t="s">
        <v>2242</v>
      </c>
      <c r="E114" s="10"/>
      <c r="F114" s="10"/>
      <c r="G114" s="10"/>
      <c r="H114" s="34">
        <v>2124881.33</v>
      </c>
      <c r="K114" s="7"/>
    </row>
    <row r="115" spans="1:11" ht="11.1" customHeight="1" x14ac:dyDescent="0.2">
      <c r="A115" s="10"/>
      <c r="B115" s="10"/>
      <c r="C115" s="10"/>
      <c r="D115" s="10" t="s">
        <v>2243</v>
      </c>
      <c r="E115" s="10"/>
      <c r="F115" s="10"/>
      <c r="G115" s="10"/>
      <c r="K115" s="7"/>
    </row>
    <row r="116" spans="1:11" ht="11.1" customHeight="1" x14ac:dyDescent="0.2">
      <c r="A116" s="10"/>
      <c r="B116" s="10"/>
      <c r="C116" s="32" t="s">
        <v>2244</v>
      </c>
      <c r="D116" s="32"/>
      <c r="E116" s="32"/>
      <c r="F116" s="32"/>
      <c r="G116" s="10"/>
      <c r="I116" s="37">
        <f>H118</f>
        <v>25665402.890000001</v>
      </c>
      <c r="K116" s="7"/>
    </row>
    <row r="117" spans="1:11" ht="12" customHeight="1" x14ac:dyDescent="0.2">
      <c r="A117" s="10"/>
      <c r="B117" s="10"/>
      <c r="C117" s="10"/>
      <c r="D117" s="10" t="s">
        <v>2245</v>
      </c>
      <c r="E117" s="10"/>
      <c r="F117" s="10"/>
      <c r="G117" s="10"/>
      <c r="K117" s="7"/>
    </row>
    <row r="118" spans="1:11" ht="12" customHeight="1" x14ac:dyDescent="0.2">
      <c r="A118" s="10"/>
      <c r="B118" s="10"/>
      <c r="C118" s="10"/>
      <c r="D118" s="10" t="s">
        <v>2246</v>
      </c>
      <c r="E118" s="10"/>
      <c r="F118" s="10"/>
      <c r="G118" s="10"/>
      <c r="H118" s="34">
        <v>25665402.890000001</v>
      </c>
      <c r="K118" s="7"/>
    </row>
    <row r="119" spans="1:11" ht="13.5" customHeight="1" x14ac:dyDescent="0.2">
      <c r="A119" s="10"/>
      <c r="B119" s="10"/>
      <c r="C119" s="32" t="s">
        <v>2247</v>
      </c>
      <c r="D119" s="32"/>
      <c r="E119" s="32"/>
      <c r="F119" s="32"/>
      <c r="G119" s="32"/>
      <c r="H119" s="37"/>
      <c r="I119" s="37">
        <f>H120+H121+H122</f>
        <v>1869587.62</v>
      </c>
      <c r="K119" s="7"/>
    </row>
    <row r="120" spans="1:11" ht="14.25" customHeight="1" x14ac:dyDescent="0.2">
      <c r="A120" s="10"/>
      <c r="B120" s="10"/>
      <c r="C120" s="10"/>
      <c r="D120" s="10" t="s">
        <v>2248</v>
      </c>
      <c r="E120" s="10"/>
      <c r="F120" s="10"/>
      <c r="G120" s="10"/>
      <c r="H120" s="34">
        <v>660626.28</v>
      </c>
      <c r="K120" s="7"/>
    </row>
    <row r="121" spans="1:11" ht="11.1" customHeight="1" x14ac:dyDescent="0.2">
      <c r="A121" s="10"/>
      <c r="B121" s="10"/>
      <c r="C121" s="10"/>
      <c r="D121" s="10" t="s">
        <v>2249</v>
      </c>
      <c r="E121" s="10"/>
      <c r="F121" s="10"/>
      <c r="G121" s="10"/>
      <c r="H121" s="34">
        <v>1208961.3400000001</v>
      </c>
      <c r="K121" s="7"/>
    </row>
    <row r="122" spans="1:11" ht="11.1" customHeight="1" x14ac:dyDescent="0.2">
      <c r="A122" s="10"/>
      <c r="B122" s="10"/>
      <c r="C122" s="10"/>
      <c r="D122" s="10" t="s">
        <v>2250</v>
      </c>
      <c r="E122" s="10"/>
      <c r="F122" s="10"/>
      <c r="G122" s="10"/>
      <c r="K122" s="7"/>
    </row>
    <row r="123" spans="1:11" ht="11.1" customHeight="1" x14ac:dyDescent="0.2">
      <c r="A123" s="10"/>
      <c r="B123" s="10"/>
      <c r="C123" s="32" t="s">
        <v>2251</v>
      </c>
      <c r="D123" s="32"/>
      <c r="E123" s="32"/>
      <c r="F123" s="32"/>
      <c r="G123" s="32"/>
      <c r="H123" s="37"/>
      <c r="I123" s="37">
        <f>SUM(H124:H127)</f>
        <v>16349848.49</v>
      </c>
      <c r="K123" s="7"/>
    </row>
    <row r="124" spans="1:11" ht="11.1" customHeight="1" x14ac:dyDescent="0.2">
      <c r="A124" s="10"/>
      <c r="B124" s="10"/>
      <c r="C124" s="10"/>
      <c r="D124" s="10" t="s">
        <v>2252</v>
      </c>
      <c r="E124" s="10"/>
      <c r="F124" s="10"/>
      <c r="G124" s="10"/>
      <c r="K124" s="7"/>
    </row>
    <row r="125" spans="1:11" ht="11.1" customHeight="1" x14ac:dyDescent="0.2">
      <c r="A125" s="10"/>
      <c r="B125" s="10"/>
      <c r="C125" s="10"/>
      <c r="D125" s="10" t="s">
        <v>2253</v>
      </c>
      <c r="E125" s="10"/>
      <c r="F125" s="10"/>
      <c r="G125" s="10"/>
      <c r="K125" s="7"/>
    </row>
    <row r="126" spans="1:11" ht="11.1" customHeight="1" x14ac:dyDescent="0.2">
      <c r="A126" s="10"/>
      <c r="B126" s="10"/>
      <c r="C126" s="10"/>
      <c r="D126" s="10" t="s">
        <v>2254</v>
      </c>
      <c r="E126" s="10"/>
      <c r="F126" s="10"/>
      <c r="G126" s="10"/>
      <c r="K126" s="7"/>
    </row>
    <row r="127" spans="1:11" ht="11.1" customHeight="1" x14ac:dyDescent="0.2">
      <c r="A127" s="10"/>
      <c r="B127" s="10"/>
      <c r="C127" s="10"/>
      <c r="D127" s="10" t="s">
        <v>2255</v>
      </c>
      <c r="E127" s="10"/>
      <c r="F127" s="10"/>
      <c r="G127" s="10"/>
      <c r="H127" s="34">
        <v>16349848.49</v>
      </c>
      <c r="K127" s="7"/>
    </row>
    <row r="128" spans="1:11" ht="11.1" customHeight="1" x14ac:dyDescent="0.2">
      <c r="A128" s="10"/>
      <c r="B128" s="10"/>
      <c r="C128" s="32" t="s">
        <v>2256</v>
      </c>
      <c r="D128" s="32"/>
      <c r="E128" s="32"/>
      <c r="F128" s="32"/>
      <c r="G128" s="32"/>
      <c r="I128" s="37"/>
      <c r="K128" s="7"/>
    </row>
    <row r="129" spans="1:11" ht="11.1" customHeight="1" x14ac:dyDescent="0.2">
      <c r="A129" s="10"/>
      <c r="B129" s="10"/>
      <c r="C129" s="10"/>
      <c r="D129" s="10" t="s">
        <v>2187</v>
      </c>
      <c r="E129" s="10"/>
      <c r="F129" s="10"/>
      <c r="G129" s="10"/>
      <c r="H129" s="37"/>
      <c r="I129" s="37"/>
      <c r="K129" s="7"/>
    </row>
    <row r="130" spans="1:11" ht="11.1" customHeight="1" x14ac:dyDescent="0.2">
      <c r="A130" s="10"/>
      <c r="B130" s="10"/>
      <c r="C130" s="10"/>
      <c r="D130" s="10" t="s">
        <v>2257</v>
      </c>
      <c r="E130" s="10"/>
      <c r="F130" s="10"/>
      <c r="G130" s="10"/>
      <c r="K130" s="7"/>
    </row>
    <row r="131" spans="1:11" ht="11.1" customHeight="1" x14ac:dyDescent="0.2">
      <c r="A131" s="10"/>
      <c r="B131" s="10"/>
      <c r="C131" s="32" t="s">
        <v>2258</v>
      </c>
      <c r="D131" s="32"/>
      <c r="E131" s="32"/>
      <c r="F131" s="32"/>
      <c r="G131" s="32"/>
      <c r="I131" s="37">
        <f>SUM(H132:H133)</f>
        <v>0</v>
      </c>
      <c r="K131" s="7"/>
    </row>
    <row r="132" spans="1:11" ht="11.1" customHeight="1" x14ac:dyDescent="0.2">
      <c r="A132" s="10"/>
      <c r="B132" s="10"/>
      <c r="C132" s="10"/>
      <c r="D132" s="10" t="s">
        <v>2259</v>
      </c>
      <c r="E132" s="10"/>
      <c r="F132" s="10"/>
      <c r="G132" s="10"/>
      <c r="I132" s="37"/>
      <c r="K132" s="7"/>
    </row>
    <row r="133" spans="1:11" ht="11.25" customHeight="1" x14ac:dyDescent="0.2">
      <c r="A133" s="32"/>
      <c r="D133" s="10" t="s">
        <v>2260</v>
      </c>
      <c r="E133" s="10"/>
      <c r="F133" s="10"/>
      <c r="G133" s="10"/>
      <c r="K133" s="7"/>
    </row>
    <row r="134" spans="1:11" ht="11.1" customHeight="1" x14ac:dyDescent="0.2">
      <c r="A134" s="32" t="s">
        <v>2261</v>
      </c>
      <c r="D134" s="32"/>
      <c r="E134" s="32"/>
      <c r="F134" s="32"/>
      <c r="G134" s="10"/>
      <c r="I134" s="37">
        <f>I135+I139+I143</f>
        <v>553799.89</v>
      </c>
      <c r="J134" s="8"/>
      <c r="K134" s="7"/>
    </row>
    <row r="135" spans="1:11" ht="11.1" customHeight="1" x14ac:dyDescent="0.2">
      <c r="A135" s="10"/>
      <c r="B135" s="10"/>
      <c r="C135" s="32" t="s">
        <v>2228</v>
      </c>
      <c r="D135" s="32"/>
      <c r="E135" s="32"/>
      <c r="F135" s="10"/>
      <c r="G135" s="10"/>
      <c r="I135" s="37">
        <f>SUM(H136:H138)</f>
        <v>553799.89</v>
      </c>
      <c r="K135" s="7"/>
    </row>
    <row r="136" spans="1:11" ht="11.1" customHeight="1" x14ac:dyDescent="0.2">
      <c r="A136" s="10"/>
      <c r="B136" s="10"/>
      <c r="C136" s="10"/>
      <c r="D136" s="10" t="s">
        <v>2229</v>
      </c>
      <c r="E136" s="10"/>
      <c r="F136" s="10"/>
      <c r="G136" s="10"/>
      <c r="K136" s="7"/>
    </row>
    <row r="137" spans="1:11" ht="11.1" customHeight="1" x14ac:dyDescent="0.2">
      <c r="A137" s="10"/>
      <c r="B137" s="10"/>
      <c r="C137" s="10"/>
      <c r="D137" s="10" t="s">
        <v>2230</v>
      </c>
      <c r="E137" s="10"/>
      <c r="F137" s="10"/>
      <c r="G137" s="10"/>
      <c r="H137" s="34">
        <v>676982.48</v>
      </c>
      <c r="K137" s="7"/>
    </row>
    <row r="138" spans="1:11" ht="11.1" customHeight="1" x14ac:dyDescent="0.2">
      <c r="A138" s="10"/>
      <c r="B138" s="10"/>
      <c r="C138" s="10"/>
      <c r="D138" s="10" t="s">
        <v>2231</v>
      </c>
      <c r="E138" s="10"/>
      <c r="F138" s="10"/>
      <c r="G138" s="10"/>
      <c r="H138" s="34">
        <v>-123182.59</v>
      </c>
      <c r="K138" s="7"/>
    </row>
    <row r="139" spans="1:11" ht="11.1" customHeight="1" x14ac:dyDescent="0.2">
      <c r="A139" s="10"/>
      <c r="B139" s="10"/>
      <c r="C139" s="32" t="s">
        <v>2234</v>
      </c>
      <c r="D139" s="32"/>
      <c r="E139" s="32"/>
      <c r="F139" s="10"/>
      <c r="G139" s="10"/>
      <c r="K139" s="7"/>
    </row>
    <row r="140" spans="1:11" ht="11.1" customHeight="1" x14ac:dyDescent="0.2">
      <c r="A140" s="10"/>
      <c r="B140" s="10"/>
      <c r="C140" s="10"/>
      <c r="D140" s="10" t="s">
        <v>2237</v>
      </c>
      <c r="E140" s="10"/>
      <c r="F140" s="10"/>
      <c r="G140" s="10"/>
      <c r="K140" s="7"/>
    </row>
    <row r="141" spans="1:11" ht="11.1" customHeight="1" x14ac:dyDescent="0.2">
      <c r="A141" s="10"/>
      <c r="B141" s="10"/>
      <c r="C141" s="32" t="s">
        <v>2240</v>
      </c>
      <c r="D141" s="32"/>
      <c r="E141" s="32"/>
      <c r="F141" s="10"/>
      <c r="G141" s="10"/>
      <c r="H141" s="37"/>
      <c r="I141" s="37"/>
      <c r="K141" s="7"/>
    </row>
    <row r="142" spans="1:11" ht="11.1" customHeight="1" x14ac:dyDescent="0.2">
      <c r="A142" s="10"/>
      <c r="B142" s="10"/>
      <c r="C142" s="32" t="s">
        <v>2244</v>
      </c>
      <c r="D142" s="32"/>
      <c r="E142" s="32"/>
      <c r="F142" s="32"/>
      <c r="G142" s="10"/>
      <c r="H142" s="37"/>
      <c r="I142" s="37"/>
      <c r="K142" s="7"/>
    </row>
    <row r="143" spans="1:11" ht="11.1" customHeight="1" x14ac:dyDescent="0.2">
      <c r="A143" s="10"/>
      <c r="B143" s="10"/>
      <c r="C143" s="32" t="s">
        <v>2262</v>
      </c>
      <c r="D143" s="32"/>
      <c r="E143" s="32"/>
      <c r="F143" s="32"/>
      <c r="G143" s="10"/>
      <c r="H143" s="37"/>
      <c r="I143" s="37">
        <v>0</v>
      </c>
      <c r="K143" s="7"/>
    </row>
    <row r="144" spans="1:11" ht="11.1" customHeight="1" x14ac:dyDescent="0.2">
      <c r="A144" s="10"/>
      <c r="B144" s="10"/>
      <c r="C144" s="10"/>
      <c r="D144" s="10" t="s">
        <v>2263</v>
      </c>
      <c r="E144" s="10"/>
      <c r="F144" s="10"/>
      <c r="G144" s="10"/>
      <c r="I144" s="37"/>
      <c r="K144" s="7"/>
    </row>
    <row r="145" spans="1:11" ht="11.1" customHeight="1" x14ac:dyDescent="0.2">
      <c r="A145" s="10"/>
      <c r="B145" s="10"/>
      <c r="C145" s="32" t="s">
        <v>2264</v>
      </c>
      <c r="D145" s="32"/>
      <c r="E145" s="32"/>
      <c r="F145" s="32"/>
      <c r="G145" s="32"/>
      <c r="K145" s="7"/>
    </row>
    <row r="146" spans="1:11" ht="11.1" customHeight="1" x14ac:dyDescent="0.2">
      <c r="A146" s="10"/>
      <c r="B146" s="10"/>
      <c r="C146" s="10"/>
      <c r="D146" s="10" t="s">
        <v>2265</v>
      </c>
      <c r="E146" s="10"/>
      <c r="F146" s="10"/>
      <c r="G146" s="10"/>
      <c r="K146" s="7"/>
    </row>
    <row r="147" spans="1:11" ht="11.1" customHeight="1" x14ac:dyDescent="0.2">
      <c r="A147" s="10"/>
      <c r="B147" s="10"/>
      <c r="C147" s="10"/>
      <c r="D147" s="10" t="s">
        <v>2188</v>
      </c>
      <c r="E147" s="10"/>
      <c r="F147" s="10"/>
      <c r="G147" s="10"/>
      <c r="K147" s="7"/>
    </row>
    <row r="148" spans="1:11" ht="12" customHeight="1" x14ac:dyDescent="0.2">
      <c r="A148" s="32"/>
      <c r="B148" s="32"/>
      <c r="C148" s="32" t="s">
        <v>2266</v>
      </c>
      <c r="D148" s="32"/>
      <c r="E148" s="32"/>
      <c r="F148" s="32"/>
      <c r="G148" s="32"/>
      <c r="H148" s="37"/>
      <c r="J148" s="8"/>
      <c r="K148" s="7"/>
    </row>
    <row r="149" spans="1:11" ht="12" customHeight="1" x14ac:dyDescent="0.2">
      <c r="A149" s="32" t="s">
        <v>2267</v>
      </c>
      <c r="B149" s="32"/>
      <c r="C149" s="32"/>
      <c r="D149" s="32"/>
      <c r="E149" s="32"/>
      <c r="F149" s="32"/>
      <c r="G149" s="32"/>
      <c r="H149" s="37"/>
      <c r="I149" s="37">
        <f>I150+I154+I160+I164+I168</f>
        <v>287946386.25</v>
      </c>
      <c r="J149" s="8"/>
      <c r="K149" s="7"/>
    </row>
    <row r="150" spans="1:11" ht="12" customHeight="1" x14ac:dyDescent="0.2">
      <c r="A150" s="10"/>
      <c r="B150" s="10"/>
      <c r="C150" s="32" t="s">
        <v>2268</v>
      </c>
      <c r="D150" s="32"/>
      <c r="E150" s="32"/>
      <c r="F150" s="10"/>
      <c r="G150" s="10"/>
      <c r="H150" s="37"/>
      <c r="I150" s="37">
        <f>H151+H153</f>
        <v>118881817.76000001</v>
      </c>
      <c r="K150" s="7"/>
    </row>
    <row r="151" spans="1:11" ht="11.1" customHeight="1" x14ac:dyDescent="0.2">
      <c r="A151" s="10"/>
      <c r="B151" s="10"/>
      <c r="C151" s="10"/>
      <c r="D151" s="10" t="s">
        <v>2269</v>
      </c>
      <c r="E151" s="10"/>
      <c r="F151" s="10"/>
      <c r="G151" s="10"/>
      <c r="H151" s="34">
        <v>9175000</v>
      </c>
      <c r="K151" s="7"/>
    </row>
    <row r="152" spans="1:11" ht="11.1" customHeight="1" x14ac:dyDescent="0.2">
      <c r="A152" s="10"/>
      <c r="B152" s="10"/>
      <c r="C152" s="10"/>
      <c r="D152" s="10" t="s">
        <v>2270</v>
      </c>
      <c r="E152" s="10"/>
      <c r="F152" s="10"/>
      <c r="G152" s="10"/>
      <c r="K152" s="7"/>
    </row>
    <row r="153" spans="1:11" ht="11.1" customHeight="1" x14ac:dyDescent="0.2">
      <c r="A153" s="10"/>
      <c r="B153" s="10"/>
      <c r="C153" s="10"/>
      <c r="D153" s="10" t="s">
        <v>2271</v>
      </c>
      <c r="E153" s="10"/>
      <c r="F153" s="10"/>
      <c r="G153" s="10"/>
      <c r="H153" s="34">
        <v>109706817.76000001</v>
      </c>
      <c r="K153" s="7"/>
    </row>
    <row r="154" spans="1:11" ht="11.1" customHeight="1" x14ac:dyDescent="0.2">
      <c r="A154" s="10"/>
      <c r="B154" s="10"/>
      <c r="C154" s="32" t="s">
        <v>2272</v>
      </c>
      <c r="D154" s="32"/>
      <c r="E154" s="32"/>
      <c r="F154" s="32"/>
      <c r="G154" s="10"/>
      <c r="H154" s="37"/>
      <c r="I154" s="37">
        <f>SUM(H155:H159)</f>
        <v>0</v>
      </c>
      <c r="K154" s="7"/>
    </row>
    <row r="155" spans="1:11" ht="11.1" customHeight="1" x14ac:dyDescent="0.2">
      <c r="A155" s="10"/>
      <c r="B155" s="10"/>
      <c r="C155" s="10"/>
      <c r="D155" s="10" t="s">
        <v>2273</v>
      </c>
      <c r="E155" s="10"/>
      <c r="F155" s="10"/>
      <c r="G155" s="10"/>
      <c r="K155" s="7"/>
    </row>
    <row r="156" spans="1:11" ht="11.25" customHeight="1" x14ac:dyDescent="0.2">
      <c r="A156" s="10"/>
      <c r="B156" s="10"/>
      <c r="C156" s="10"/>
      <c r="D156" s="10" t="s">
        <v>2274</v>
      </c>
      <c r="E156" s="10"/>
      <c r="F156" s="10"/>
      <c r="G156" s="10"/>
      <c r="K156" s="7"/>
    </row>
    <row r="157" spans="1:11" ht="12" customHeight="1" x14ac:dyDescent="0.2">
      <c r="A157" s="10"/>
      <c r="B157" s="10"/>
      <c r="C157" s="10"/>
      <c r="D157" s="10" t="s">
        <v>2275</v>
      </c>
      <c r="E157" s="10"/>
      <c r="F157" s="10"/>
      <c r="G157" s="10"/>
      <c r="K157" s="7"/>
    </row>
    <row r="158" spans="1:11" ht="11.1" customHeight="1" x14ac:dyDescent="0.2">
      <c r="A158" s="10"/>
      <c r="B158" s="10"/>
      <c r="C158" s="10"/>
      <c r="D158" s="10" t="s">
        <v>2276</v>
      </c>
      <c r="E158" s="10"/>
      <c r="F158" s="10"/>
      <c r="G158" s="10"/>
      <c r="K158" s="7"/>
    </row>
    <row r="159" spans="1:11" ht="13.5" customHeight="1" x14ac:dyDescent="0.2">
      <c r="A159" s="10"/>
      <c r="B159" s="10"/>
      <c r="C159" s="10"/>
      <c r="D159" s="10" t="s">
        <v>2277</v>
      </c>
      <c r="E159" s="10"/>
      <c r="F159" s="10"/>
      <c r="G159" s="10"/>
      <c r="K159" s="7"/>
    </row>
    <row r="160" spans="1:11" ht="13.5" customHeight="1" x14ac:dyDescent="0.2">
      <c r="A160" s="10"/>
      <c r="B160" s="10"/>
      <c r="C160" s="32" t="s">
        <v>2278</v>
      </c>
      <c r="D160" s="32"/>
      <c r="E160" s="32"/>
      <c r="F160" s="32"/>
      <c r="G160" s="10"/>
      <c r="H160" s="37"/>
      <c r="I160" s="37">
        <f>SUM(H161:H163)</f>
        <v>94441210.269999996</v>
      </c>
      <c r="K160" s="7"/>
    </row>
    <row r="161" spans="1:11" ht="12.75" customHeight="1" x14ac:dyDescent="0.2">
      <c r="A161" s="10"/>
      <c r="B161" s="10"/>
      <c r="C161" s="10"/>
      <c r="D161" s="10" t="s">
        <v>2279</v>
      </c>
      <c r="E161" s="10"/>
      <c r="F161" s="10"/>
      <c r="G161" s="10"/>
      <c r="H161" s="34">
        <v>13787700.77</v>
      </c>
      <c r="K161" s="7"/>
    </row>
    <row r="162" spans="1:11" ht="13.5" customHeight="1" x14ac:dyDescent="0.2">
      <c r="A162" s="10"/>
      <c r="B162" s="10"/>
      <c r="C162" s="10"/>
      <c r="D162" s="10" t="s">
        <v>2280</v>
      </c>
      <c r="E162" s="10"/>
      <c r="F162" s="10"/>
      <c r="G162" s="10"/>
      <c r="H162" s="34">
        <v>79937079.670000002</v>
      </c>
      <c r="K162" s="7"/>
    </row>
    <row r="163" spans="1:11" ht="13.5" customHeight="1" x14ac:dyDescent="0.2">
      <c r="A163" s="10"/>
      <c r="B163" s="10"/>
      <c r="C163" s="10"/>
      <c r="D163" s="10" t="s">
        <v>2281</v>
      </c>
      <c r="E163" s="10"/>
      <c r="F163" s="10"/>
      <c r="G163" s="10"/>
      <c r="H163" s="34">
        <v>716429.83</v>
      </c>
      <c r="K163" s="7"/>
    </row>
    <row r="164" spans="1:11" ht="13.5" customHeight="1" x14ac:dyDescent="0.2">
      <c r="A164" s="10"/>
      <c r="B164" s="10"/>
      <c r="C164" s="32" t="s">
        <v>2282</v>
      </c>
      <c r="D164" s="32"/>
      <c r="E164" s="32"/>
      <c r="F164" s="32"/>
      <c r="G164" s="10"/>
      <c r="I164" s="37">
        <f>H165+H166</f>
        <v>122810504.7</v>
      </c>
      <c r="K164" s="7"/>
    </row>
    <row r="165" spans="1:11" ht="13.5" customHeight="1" x14ac:dyDescent="0.2">
      <c r="A165" s="10"/>
      <c r="B165" s="10"/>
      <c r="C165" s="32"/>
      <c r="D165" s="38" t="s">
        <v>2283</v>
      </c>
      <c r="E165" s="32"/>
      <c r="F165" s="32"/>
      <c r="G165" s="10"/>
      <c r="H165" s="34">
        <v>122810504.7</v>
      </c>
      <c r="K165" s="7"/>
    </row>
    <row r="166" spans="1:11" ht="14.25" customHeight="1" x14ac:dyDescent="0.2">
      <c r="A166" s="10"/>
      <c r="B166" s="10"/>
      <c r="C166" s="32"/>
      <c r="D166" s="38" t="s">
        <v>2284</v>
      </c>
      <c r="E166" s="32"/>
      <c r="F166" s="32"/>
      <c r="G166" s="10"/>
      <c r="H166" s="37"/>
      <c r="I166" s="37">
        <f>H168</f>
        <v>0</v>
      </c>
      <c r="K166" s="7"/>
    </row>
    <row r="167" spans="1:11" ht="12.75" customHeight="1" x14ac:dyDescent="0.2">
      <c r="A167" s="10"/>
      <c r="B167" s="10"/>
      <c r="C167" s="32" t="s">
        <v>2285</v>
      </c>
      <c r="D167" s="32"/>
      <c r="E167" s="32"/>
      <c r="F167" s="32"/>
      <c r="G167" s="10"/>
      <c r="K167" s="7"/>
    </row>
    <row r="168" spans="1:11" ht="13.5" customHeight="1" x14ac:dyDescent="0.2">
      <c r="A168" s="10"/>
      <c r="B168" s="10"/>
      <c r="C168" s="11" t="s">
        <v>2286</v>
      </c>
      <c r="D168" s="32"/>
      <c r="E168" s="32"/>
      <c r="F168" s="32"/>
      <c r="G168" s="10"/>
      <c r="I168" s="37">
        <f>H170</f>
        <v>-48187146.479999997</v>
      </c>
      <c r="K168" s="7"/>
    </row>
    <row r="169" spans="1:11" ht="15" customHeight="1" x14ac:dyDescent="0.2">
      <c r="A169" s="10"/>
      <c r="B169" s="10"/>
      <c r="C169" s="10"/>
      <c r="D169" s="10" t="s">
        <v>2287</v>
      </c>
      <c r="E169" s="10"/>
      <c r="F169" s="10"/>
      <c r="G169" s="10"/>
      <c r="I169" s="37"/>
      <c r="K169" s="7"/>
    </row>
    <row r="170" spans="1:11" ht="14.25" customHeight="1" x14ac:dyDescent="0.2">
      <c r="A170" s="10"/>
      <c r="B170" s="10"/>
      <c r="C170" s="10"/>
      <c r="D170" s="10" t="s">
        <v>2288</v>
      </c>
      <c r="E170" s="10"/>
      <c r="F170" s="10"/>
      <c r="G170" s="10"/>
      <c r="H170" s="34">
        <v>-48187146.479999997</v>
      </c>
      <c r="K170" s="7"/>
    </row>
    <row r="171" spans="1:11" ht="14.25" customHeight="1" x14ac:dyDescent="0.2">
      <c r="A171" s="10"/>
      <c r="B171" s="10"/>
      <c r="C171" s="10"/>
      <c r="D171" s="32" t="s">
        <v>2289</v>
      </c>
      <c r="E171" s="10"/>
      <c r="F171" s="10"/>
      <c r="G171" s="10"/>
      <c r="I171" s="37">
        <f>I99+I134+I149</f>
        <v>653220344.40999997</v>
      </c>
    </row>
    <row r="172" spans="1:11" ht="11.1" customHeight="1" x14ac:dyDescent="0.2">
      <c r="A172" s="10"/>
      <c r="B172" s="10"/>
      <c r="C172" s="10"/>
      <c r="D172" s="10"/>
      <c r="E172" s="10"/>
      <c r="F172" s="10"/>
      <c r="G172" s="10"/>
    </row>
    <row r="173" spans="1:11" ht="11.1" customHeight="1" x14ac:dyDescent="0.2">
      <c r="A173" s="10"/>
      <c r="B173" s="10"/>
      <c r="C173" s="10"/>
      <c r="D173" s="10"/>
      <c r="E173" s="10"/>
      <c r="F173" s="10"/>
      <c r="G173" s="10"/>
    </row>
    <row r="174" spans="1:11" ht="11.1" customHeight="1" x14ac:dyDescent="0.2">
      <c r="C174" s="10"/>
      <c r="D174" s="10"/>
      <c r="E174" s="11"/>
      <c r="F174" s="10"/>
      <c r="G174" s="10"/>
      <c r="H174" s="34" t="s">
        <v>2158</v>
      </c>
    </row>
    <row r="175" spans="1:11" ht="11.1" customHeight="1" x14ac:dyDescent="0.2">
      <c r="H175" s="37"/>
      <c r="I175" s="37"/>
      <c r="J175" s="8"/>
    </row>
    <row r="176" spans="1:11" ht="11.1" customHeight="1" x14ac:dyDescent="0.2"/>
    <row r="177" spans="9:9" ht="11.1" customHeight="1" x14ac:dyDescent="0.2"/>
    <row r="178" spans="9:9" ht="11.1" customHeight="1" x14ac:dyDescent="0.2"/>
    <row r="179" spans="9:9" ht="11.1" customHeight="1" x14ac:dyDescent="0.2"/>
    <row r="180" spans="9:9" ht="11.1" customHeight="1" x14ac:dyDescent="0.2"/>
    <row r="181" spans="9:9" ht="11.1" customHeight="1" x14ac:dyDescent="0.2"/>
    <row r="182" spans="9:9" ht="11.1" customHeight="1" x14ac:dyDescent="0.2"/>
    <row r="183" spans="9:9" ht="11.1" customHeight="1" x14ac:dyDescent="0.2">
      <c r="I183" s="40"/>
    </row>
    <row r="184" spans="9:9" ht="11.1" customHeight="1" x14ac:dyDescent="0.2"/>
    <row r="185" spans="9:9" ht="11.1" customHeight="1" x14ac:dyDescent="0.2"/>
    <row r="186" spans="9:9" ht="11.1" customHeight="1" x14ac:dyDescent="0.2"/>
    <row r="187" spans="9:9" ht="11.1" customHeight="1" x14ac:dyDescent="0.2"/>
    <row r="188" spans="9:9" ht="11.1" customHeight="1" x14ac:dyDescent="0.2"/>
    <row r="189" spans="9:9" ht="11.1" customHeight="1" x14ac:dyDescent="0.2"/>
    <row r="190" spans="9:9" ht="11.1" customHeight="1" x14ac:dyDescent="0.2"/>
    <row r="191" spans="9:9" ht="11.1" customHeight="1" x14ac:dyDescent="0.2"/>
    <row r="192" spans="9:9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spans="9:9" ht="11.1" customHeight="1" x14ac:dyDescent="0.2"/>
    <row r="210" spans="9:9" ht="11.1" customHeight="1" x14ac:dyDescent="0.2"/>
    <row r="211" spans="9:9" ht="11.1" customHeight="1" x14ac:dyDescent="0.2"/>
    <row r="212" spans="9:9" ht="11.1" customHeight="1" x14ac:dyDescent="0.2"/>
    <row r="213" spans="9:9" ht="11.1" customHeight="1" x14ac:dyDescent="0.2"/>
    <row r="214" spans="9:9" ht="11.1" customHeight="1" x14ac:dyDescent="0.2">
      <c r="I214" s="40"/>
    </row>
    <row r="215" spans="9:9" ht="11.1" customHeight="1" x14ac:dyDescent="0.2"/>
    <row r="216" spans="9:9" ht="11.1" customHeight="1" x14ac:dyDescent="0.2"/>
    <row r="217" spans="9:9" ht="11.1" customHeight="1" x14ac:dyDescent="0.2"/>
    <row r="218" spans="9:9" ht="11.1" customHeight="1" x14ac:dyDescent="0.2"/>
    <row r="219" spans="9:9" ht="11.1" customHeight="1" x14ac:dyDescent="0.2"/>
    <row r="220" spans="9:9" ht="11.1" customHeight="1" x14ac:dyDescent="0.2"/>
    <row r="221" spans="9:9" ht="11.1" customHeight="1" x14ac:dyDescent="0.2"/>
    <row r="222" spans="9:9" ht="11.1" customHeight="1" x14ac:dyDescent="0.2"/>
    <row r="223" spans="9:9" ht="11.1" customHeight="1" x14ac:dyDescent="0.2"/>
    <row r="224" spans="9:9" ht="11.1" customHeight="1" x14ac:dyDescent="0.2"/>
    <row r="225" spans="9:9" ht="11.1" customHeight="1" x14ac:dyDescent="0.2"/>
    <row r="226" spans="9:9" ht="11.1" customHeight="1" x14ac:dyDescent="0.2"/>
    <row r="227" spans="9:9" ht="11.1" customHeight="1" x14ac:dyDescent="0.2">
      <c r="I227" s="40"/>
    </row>
    <row r="228" spans="9:9" ht="11.1" customHeight="1" x14ac:dyDescent="0.2"/>
    <row r="229" spans="9:9" ht="11.1" customHeight="1" x14ac:dyDescent="0.2"/>
    <row r="230" spans="9:9" ht="11.1" customHeight="1" x14ac:dyDescent="0.2"/>
    <row r="231" spans="9:9" ht="11.1" customHeight="1" x14ac:dyDescent="0.2"/>
    <row r="232" spans="9:9" ht="11.1" customHeight="1" x14ac:dyDescent="0.2"/>
    <row r="233" spans="9:9" ht="11.1" customHeight="1" x14ac:dyDescent="0.2"/>
    <row r="234" spans="9:9" ht="11.1" customHeight="1" x14ac:dyDescent="0.2"/>
    <row r="235" spans="9:9" ht="11.1" customHeight="1" x14ac:dyDescent="0.2"/>
    <row r="236" spans="9:9" ht="11.1" customHeight="1" x14ac:dyDescent="0.2"/>
    <row r="237" spans="9:9" ht="11.1" customHeight="1" x14ac:dyDescent="0.2"/>
    <row r="238" spans="9:9" ht="11.1" customHeight="1" x14ac:dyDescent="0.2"/>
    <row r="239" spans="9:9" ht="11.1" customHeight="1" x14ac:dyDescent="0.2"/>
    <row r="240" spans="9:9" ht="11.1" customHeight="1" x14ac:dyDescent="0.2"/>
    <row r="241" spans="9:9" ht="11.1" customHeight="1" x14ac:dyDescent="0.2"/>
    <row r="242" spans="9:9" ht="11.1" customHeight="1" x14ac:dyDescent="0.2"/>
    <row r="243" spans="9:9" ht="11.1" customHeight="1" x14ac:dyDescent="0.2"/>
    <row r="244" spans="9:9" ht="11.1" customHeight="1" x14ac:dyDescent="0.2"/>
    <row r="245" spans="9:9" ht="11.1" customHeight="1" x14ac:dyDescent="0.2">
      <c r="I245" s="40"/>
    </row>
    <row r="246" spans="9:9" ht="11.1" customHeight="1" x14ac:dyDescent="0.2"/>
    <row r="247" spans="9:9" ht="11.1" customHeight="1" x14ac:dyDescent="0.2"/>
    <row r="248" spans="9:9" ht="11.1" customHeight="1" x14ac:dyDescent="0.2"/>
    <row r="249" spans="9:9" ht="11.1" customHeight="1" x14ac:dyDescent="0.2"/>
    <row r="250" spans="9:9" ht="11.1" customHeight="1" x14ac:dyDescent="0.2"/>
    <row r="251" spans="9:9" ht="11.1" customHeight="1" x14ac:dyDescent="0.2"/>
    <row r="252" spans="9:9" ht="11.1" customHeight="1" x14ac:dyDescent="0.2"/>
    <row r="253" spans="9:9" ht="11.1" customHeight="1" x14ac:dyDescent="0.2"/>
    <row r="254" spans="9:9" ht="11.1" customHeight="1" x14ac:dyDescent="0.2"/>
    <row r="255" spans="9:9" ht="11.1" customHeight="1" x14ac:dyDescent="0.2"/>
  </sheetData>
  <pageMargins left="0" right="0" top="0" bottom="0" header="0.31496062992125984" footer="0.31496062992125984"/>
  <pageSetup paperSize="9" scale="8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617D-A6CD-4DB6-857B-528C67CF3A3F}">
  <sheetPr>
    <pageSetUpPr fitToPage="1"/>
  </sheetPr>
  <dimension ref="A1:M154"/>
  <sheetViews>
    <sheetView topLeftCell="A37" workbookViewId="0">
      <selection activeCell="F54" sqref="F54"/>
    </sheetView>
  </sheetViews>
  <sheetFormatPr defaultRowHeight="12.75" x14ac:dyDescent="0.2"/>
  <cols>
    <col min="1" max="1" width="2.28515625" style="13" customWidth="1"/>
    <col min="2" max="2" width="0.7109375" style="13" customWidth="1"/>
    <col min="3" max="3" width="7.5703125" style="13" customWidth="1"/>
    <col min="4" max="4" width="9.140625" style="13"/>
    <col min="5" max="5" width="19" style="13" customWidth="1"/>
    <col min="6" max="6" width="17.5703125" style="15" customWidth="1"/>
    <col min="7" max="7" width="16" style="13" customWidth="1"/>
    <col min="8" max="9" width="16" style="15" bestFit="1" customWidth="1"/>
    <col min="10" max="10" width="16.5703125" style="13" bestFit="1" customWidth="1"/>
    <col min="11" max="11" width="15.5703125" style="13" bestFit="1" customWidth="1"/>
    <col min="12" max="12" width="9.140625" style="13"/>
    <col min="13" max="13" width="16.5703125" style="13" bestFit="1" customWidth="1"/>
    <col min="14" max="256" width="9.140625" style="13"/>
    <col min="257" max="257" width="2.28515625" style="13" customWidth="1"/>
    <col min="258" max="258" width="0.7109375" style="13" customWidth="1"/>
    <col min="259" max="259" width="7.5703125" style="13" customWidth="1"/>
    <col min="260" max="260" width="9.140625" style="13"/>
    <col min="261" max="261" width="19" style="13" customWidth="1"/>
    <col min="262" max="262" width="17.5703125" style="13" customWidth="1"/>
    <col min="263" max="263" width="16" style="13" customWidth="1"/>
    <col min="264" max="265" width="16" style="13" bestFit="1" customWidth="1"/>
    <col min="266" max="266" width="16.5703125" style="13" bestFit="1" customWidth="1"/>
    <col min="267" max="267" width="15.5703125" style="13" bestFit="1" customWidth="1"/>
    <col min="268" max="268" width="9.140625" style="13"/>
    <col min="269" max="269" width="16.5703125" style="13" bestFit="1" customWidth="1"/>
    <col min="270" max="512" width="9.140625" style="13"/>
    <col min="513" max="513" width="2.28515625" style="13" customWidth="1"/>
    <col min="514" max="514" width="0.7109375" style="13" customWidth="1"/>
    <col min="515" max="515" width="7.5703125" style="13" customWidth="1"/>
    <col min="516" max="516" width="9.140625" style="13"/>
    <col min="517" max="517" width="19" style="13" customWidth="1"/>
    <col min="518" max="518" width="17.5703125" style="13" customWidth="1"/>
    <col min="519" max="519" width="16" style="13" customWidth="1"/>
    <col min="520" max="521" width="16" style="13" bestFit="1" customWidth="1"/>
    <col min="522" max="522" width="16.5703125" style="13" bestFit="1" customWidth="1"/>
    <col min="523" max="523" width="15.5703125" style="13" bestFit="1" customWidth="1"/>
    <col min="524" max="524" width="9.140625" style="13"/>
    <col min="525" max="525" width="16.5703125" style="13" bestFit="1" customWidth="1"/>
    <col min="526" max="768" width="9.140625" style="13"/>
    <col min="769" max="769" width="2.28515625" style="13" customWidth="1"/>
    <col min="770" max="770" width="0.7109375" style="13" customWidth="1"/>
    <col min="771" max="771" width="7.5703125" style="13" customWidth="1"/>
    <col min="772" max="772" width="9.140625" style="13"/>
    <col min="773" max="773" width="19" style="13" customWidth="1"/>
    <col min="774" max="774" width="17.5703125" style="13" customWidth="1"/>
    <col min="775" max="775" width="16" style="13" customWidth="1"/>
    <col min="776" max="777" width="16" style="13" bestFit="1" customWidth="1"/>
    <col min="778" max="778" width="16.5703125" style="13" bestFit="1" customWidth="1"/>
    <col min="779" max="779" width="15.5703125" style="13" bestFit="1" customWidth="1"/>
    <col min="780" max="780" width="9.140625" style="13"/>
    <col min="781" max="781" width="16.5703125" style="13" bestFit="1" customWidth="1"/>
    <col min="782" max="1024" width="9.140625" style="13"/>
    <col min="1025" max="1025" width="2.28515625" style="13" customWidth="1"/>
    <col min="1026" max="1026" width="0.7109375" style="13" customWidth="1"/>
    <col min="1027" max="1027" width="7.5703125" style="13" customWidth="1"/>
    <col min="1028" max="1028" width="9.140625" style="13"/>
    <col min="1029" max="1029" width="19" style="13" customWidth="1"/>
    <col min="1030" max="1030" width="17.5703125" style="13" customWidth="1"/>
    <col min="1031" max="1031" width="16" style="13" customWidth="1"/>
    <col min="1032" max="1033" width="16" style="13" bestFit="1" customWidth="1"/>
    <col min="1034" max="1034" width="16.5703125" style="13" bestFit="1" customWidth="1"/>
    <col min="1035" max="1035" width="15.5703125" style="13" bestFit="1" customWidth="1"/>
    <col min="1036" max="1036" width="9.140625" style="13"/>
    <col min="1037" max="1037" width="16.5703125" style="13" bestFit="1" customWidth="1"/>
    <col min="1038" max="1280" width="9.140625" style="13"/>
    <col min="1281" max="1281" width="2.28515625" style="13" customWidth="1"/>
    <col min="1282" max="1282" width="0.7109375" style="13" customWidth="1"/>
    <col min="1283" max="1283" width="7.5703125" style="13" customWidth="1"/>
    <col min="1284" max="1284" width="9.140625" style="13"/>
    <col min="1285" max="1285" width="19" style="13" customWidth="1"/>
    <col min="1286" max="1286" width="17.5703125" style="13" customWidth="1"/>
    <col min="1287" max="1287" width="16" style="13" customWidth="1"/>
    <col min="1288" max="1289" width="16" style="13" bestFit="1" customWidth="1"/>
    <col min="1290" max="1290" width="16.5703125" style="13" bestFit="1" customWidth="1"/>
    <col min="1291" max="1291" width="15.5703125" style="13" bestFit="1" customWidth="1"/>
    <col min="1292" max="1292" width="9.140625" style="13"/>
    <col min="1293" max="1293" width="16.5703125" style="13" bestFit="1" customWidth="1"/>
    <col min="1294" max="1536" width="9.140625" style="13"/>
    <col min="1537" max="1537" width="2.28515625" style="13" customWidth="1"/>
    <col min="1538" max="1538" width="0.7109375" style="13" customWidth="1"/>
    <col min="1539" max="1539" width="7.5703125" style="13" customWidth="1"/>
    <col min="1540" max="1540" width="9.140625" style="13"/>
    <col min="1541" max="1541" width="19" style="13" customWidth="1"/>
    <col min="1542" max="1542" width="17.5703125" style="13" customWidth="1"/>
    <col min="1543" max="1543" width="16" style="13" customWidth="1"/>
    <col min="1544" max="1545" width="16" style="13" bestFit="1" customWidth="1"/>
    <col min="1546" max="1546" width="16.5703125" style="13" bestFit="1" customWidth="1"/>
    <col min="1547" max="1547" width="15.5703125" style="13" bestFit="1" customWidth="1"/>
    <col min="1548" max="1548" width="9.140625" style="13"/>
    <col min="1549" max="1549" width="16.5703125" style="13" bestFit="1" customWidth="1"/>
    <col min="1550" max="1792" width="9.140625" style="13"/>
    <col min="1793" max="1793" width="2.28515625" style="13" customWidth="1"/>
    <col min="1794" max="1794" width="0.7109375" style="13" customWidth="1"/>
    <col min="1795" max="1795" width="7.5703125" style="13" customWidth="1"/>
    <col min="1796" max="1796" width="9.140625" style="13"/>
    <col min="1797" max="1797" width="19" style="13" customWidth="1"/>
    <col min="1798" max="1798" width="17.5703125" style="13" customWidth="1"/>
    <col min="1799" max="1799" width="16" style="13" customWidth="1"/>
    <col min="1800" max="1801" width="16" style="13" bestFit="1" customWidth="1"/>
    <col min="1802" max="1802" width="16.5703125" style="13" bestFit="1" customWidth="1"/>
    <col min="1803" max="1803" width="15.5703125" style="13" bestFit="1" customWidth="1"/>
    <col min="1804" max="1804" width="9.140625" style="13"/>
    <col min="1805" max="1805" width="16.5703125" style="13" bestFit="1" customWidth="1"/>
    <col min="1806" max="2048" width="9.140625" style="13"/>
    <col min="2049" max="2049" width="2.28515625" style="13" customWidth="1"/>
    <col min="2050" max="2050" width="0.7109375" style="13" customWidth="1"/>
    <col min="2051" max="2051" width="7.5703125" style="13" customWidth="1"/>
    <col min="2052" max="2052" width="9.140625" style="13"/>
    <col min="2053" max="2053" width="19" style="13" customWidth="1"/>
    <col min="2054" max="2054" width="17.5703125" style="13" customWidth="1"/>
    <col min="2055" max="2055" width="16" style="13" customWidth="1"/>
    <col min="2056" max="2057" width="16" style="13" bestFit="1" customWidth="1"/>
    <col min="2058" max="2058" width="16.5703125" style="13" bestFit="1" customWidth="1"/>
    <col min="2059" max="2059" width="15.5703125" style="13" bestFit="1" customWidth="1"/>
    <col min="2060" max="2060" width="9.140625" style="13"/>
    <col min="2061" max="2061" width="16.5703125" style="13" bestFit="1" customWidth="1"/>
    <col min="2062" max="2304" width="9.140625" style="13"/>
    <col min="2305" max="2305" width="2.28515625" style="13" customWidth="1"/>
    <col min="2306" max="2306" width="0.7109375" style="13" customWidth="1"/>
    <col min="2307" max="2307" width="7.5703125" style="13" customWidth="1"/>
    <col min="2308" max="2308" width="9.140625" style="13"/>
    <col min="2309" max="2309" width="19" style="13" customWidth="1"/>
    <col min="2310" max="2310" width="17.5703125" style="13" customWidth="1"/>
    <col min="2311" max="2311" width="16" style="13" customWidth="1"/>
    <col min="2312" max="2313" width="16" style="13" bestFit="1" customWidth="1"/>
    <col min="2314" max="2314" width="16.5703125" style="13" bestFit="1" customWidth="1"/>
    <col min="2315" max="2315" width="15.5703125" style="13" bestFit="1" customWidth="1"/>
    <col min="2316" max="2316" width="9.140625" style="13"/>
    <col min="2317" max="2317" width="16.5703125" style="13" bestFit="1" customWidth="1"/>
    <col min="2318" max="2560" width="9.140625" style="13"/>
    <col min="2561" max="2561" width="2.28515625" style="13" customWidth="1"/>
    <col min="2562" max="2562" width="0.7109375" style="13" customWidth="1"/>
    <col min="2563" max="2563" width="7.5703125" style="13" customWidth="1"/>
    <col min="2564" max="2564" width="9.140625" style="13"/>
    <col min="2565" max="2565" width="19" style="13" customWidth="1"/>
    <col min="2566" max="2566" width="17.5703125" style="13" customWidth="1"/>
    <col min="2567" max="2567" width="16" style="13" customWidth="1"/>
    <col min="2568" max="2569" width="16" style="13" bestFit="1" customWidth="1"/>
    <col min="2570" max="2570" width="16.5703125" style="13" bestFit="1" customWidth="1"/>
    <col min="2571" max="2571" width="15.5703125" style="13" bestFit="1" customWidth="1"/>
    <col min="2572" max="2572" width="9.140625" style="13"/>
    <col min="2573" max="2573" width="16.5703125" style="13" bestFit="1" customWidth="1"/>
    <col min="2574" max="2816" width="9.140625" style="13"/>
    <col min="2817" max="2817" width="2.28515625" style="13" customWidth="1"/>
    <col min="2818" max="2818" width="0.7109375" style="13" customWidth="1"/>
    <col min="2819" max="2819" width="7.5703125" style="13" customWidth="1"/>
    <col min="2820" max="2820" width="9.140625" style="13"/>
    <col min="2821" max="2821" width="19" style="13" customWidth="1"/>
    <col min="2822" max="2822" width="17.5703125" style="13" customWidth="1"/>
    <col min="2823" max="2823" width="16" style="13" customWidth="1"/>
    <col min="2824" max="2825" width="16" style="13" bestFit="1" customWidth="1"/>
    <col min="2826" max="2826" width="16.5703125" style="13" bestFit="1" customWidth="1"/>
    <col min="2827" max="2827" width="15.5703125" style="13" bestFit="1" customWidth="1"/>
    <col min="2828" max="2828" width="9.140625" style="13"/>
    <col min="2829" max="2829" width="16.5703125" style="13" bestFit="1" customWidth="1"/>
    <col min="2830" max="3072" width="9.140625" style="13"/>
    <col min="3073" max="3073" width="2.28515625" style="13" customWidth="1"/>
    <col min="3074" max="3074" width="0.7109375" style="13" customWidth="1"/>
    <col min="3075" max="3075" width="7.5703125" style="13" customWidth="1"/>
    <col min="3076" max="3076" width="9.140625" style="13"/>
    <col min="3077" max="3077" width="19" style="13" customWidth="1"/>
    <col min="3078" max="3078" width="17.5703125" style="13" customWidth="1"/>
    <col min="3079" max="3079" width="16" style="13" customWidth="1"/>
    <col min="3080" max="3081" width="16" style="13" bestFit="1" customWidth="1"/>
    <col min="3082" max="3082" width="16.5703125" style="13" bestFit="1" customWidth="1"/>
    <col min="3083" max="3083" width="15.5703125" style="13" bestFit="1" customWidth="1"/>
    <col min="3084" max="3084" width="9.140625" style="13"/>
    <col min="3085" max="3085" width="16.5703125" style="13" bestFit="1" customWidth="1"/>
    <col min="3086" max="3328" width="9.140625" style="13"/>
    <col min="3329" max="3329" width="2.28515625" style="13" customWidth="1"/>
    <col min="3330" max="3330" width="0.7109375" style="13" customWidth="1"/>
    <col min="3331" max="3331" width="7.5703125" style="13" customWidth="1"/>
    <col min="3332" max="3332" width="9.140625" style="13"/>
    <col min="3333" max="3333" width="19" style="13" customWidth="1"/>
    <col min="3334" max="3334" width="17.5703125" style="13" customWidth="1"/>
    <col min="3335" max="3335" width="16" style="13" customWidth="1"/>
    <col min="3336" max="3337" width="16" style="13" bestFit="1" customWidth="1"/>
    <col min="3338" max="3338" width="16.5703125" style="13" bestFit="1" customWidth="1"/>
    <col min="3339" max="3339" width="15.5703125" style="13" bestFit="1" customWidth="1"/>
    <col min="3340" max="3340" width="9.140625" style="13"/>
    <col min="3341" max="3341" width="16.5703125" style="13" bestFit="1" customWidth="1"/>
    <col min="3342" max="3584" width="9.140625" style="13"/>
    <col min="3585" max="3585" width="2.28515625" style="13" customWidth="1"/>
    <col min="3586" max="3586" width="0.7109375" style="13" customWidth="1"/>
    <col min="3587" max="3587" width="7.5703125" style="13" customWidth="1"/>
    <col min="3588" max="3588" width="9.140625" style="13"/>
    <col min="3589" max="3589" width="19" style="13" customWidth="1"/>
    <col min="3590" max="3590" width="17.5703125" style="13" customWidth="1"/>
    <col min="3591" max="3591" width="16" style="13" customWidth="1"/>
    <col min="3592" max="3593" width="16" style="13" bestFit="1" customWidth="1"/>
    <col min="3594" max="3594" width="16.5703125" style="13" bestFit="1" customWidth="1"/>
    <col min="3595" max="3595" width="15.5703125" style="13" bestFit="1" customWidth="1"/>
    <col min="3596" max="3596" width="9.140625" style="13"/>
    <col min="3597" max="3597" width="16.5703125" style="13" bestFit="1" customWidth="1"/>
    <col min="3598" max="3840" width="9.140625" style="13"/>
    <col min="3841" max="3841" width="2.28515625" style="13" customWidth="1"/>
    <col min="3842" max="3842" width="0.7109375" style="13" customWidth="1"/>
    <col min="3843" max="3843" width="7.5703125" style="13" customWidth="1"/>
    <col min="3844" max="3844" width="9.140625" style="13"/>
    <col min="3845" max="3845" width="19" style="13" customWidth="1"/>
    <col min="3846" max="3846" width="17.5703125" style="13" customWidth="1"/>
    <col min="3847" max="3847" width="16" style="13" customWidth="1"/>
    <col min="3848" max="3849" width="16" style="13" bestFit="1" customWidth="1"/>
    <col min="3850" max="3850" width="16.5703125" style="13" bestFit="1" customWidth="1"/>
    <col min="3851" max="3851" width="15.5703125" style="13" bestFit="1" customWidth="1"/>
    <col min="3852" max="3852" width="9.140625" style="13"/>
    <col min="3853" max="3853" width="16.5703125" style="13" bestFit="1" customWidth="1"/>
    <col min="3854" max="4096" width="9.140625" style="13"/>
    <col min="4097" max="4097" width="2.28515625" style="13" customWidth="1"/>
    <col min="4098" max="4098" width="0.7109375" style="13" customWidth="1"/>
    <col min="4099" max="4099" width="7.5703125" style="13" customWidth="1"/>
    <col min="4100" max="4100" width="9.140625" style="13"/>
    <col min="4101" max="4101" width="19" style="13" customWidth="1"/>
    <col min="4102" max="4102" width="17.5703125" style="13" customWidth="1"/>
    <col min="4103" max="4103" width="16" style="13" customWidth="1"/>
    <col min="4104" max="4105" width="16" style="13" bestFit="1" customWidth="1"/>
    <col min="4106" max="4106" width="16.5703125" style="13" bestFit="1" customWidth="1"/>
    <col min="4107" max="4107" width="15.5703125" style="13" bestFit="1" customWidth="1"/>
    <col min="4108" max="4108" width="9.140625" style="13"/>
    <col min="4109" max="4109" width="16.5703125" style="13" bestFit="1" customWidth="1"/>
    <col min="4110" max="4352" width="9.140625" style="13"/>
    <col min="4353" max="4353" width="2.28515625" style="13" customWidth="1"/>
    <col min="4354" max="4354" width="0.7109375" style="13" customWidth="1"/>
    <col min="4355" max="4355" width="7.5703125" style="13" customWidth="1"/>
    <col min="4356" max="4356" width="9.140625" style="13"/>
    <col min="4357" max="4357" width="19" style="13" customWidth="1"/>
    <col min="4358" max="4358" width="17.5703125" style="13" customWidth="1"/>
    <col min="4359" max="4359" width="16" style="13" customWidth="1"/>
    <col min="4360" max="4361" width="16" style="13" bestFit="1" customWidth="1"/>
    <col min="4362" max="4362" width="16.5703125" style="13" bestFit="1" customWidth="1"/>
    <col min="4363" max="4363" width="15.5703125" style="13" bestFit="1" customWidth="1"/>
    <col min="4364" max="4364" width="9.140625" style="13"/>
    <col min="4365" max="4365" width="16.5703125" style="13" bestFit="1" customWidth="1"/>
    <col min="4366" max="4608" width="9.140625" style="13"/>
    <col min="4609" max="4609" width="2.28515625" style="13" customWidth="1"/>
    <col min="4610" max="4610" width="0.7109375" style="13" customWidth="1"/>
    <col min="4611" max="4611" width="7.5703125" style="13" customWidth="1"/>
    <col min="4612" max="4612" width="9.140625" style="13"/>
    <col min="4613" max="4613" width="19" style="13" customWidth="1"/>
    <col min="4614" max="4614" width="17.5703125" style="13" customWidth="1"/>
    <col min="4615" max="4615" width="16" style="13" customWidth="1"/>
    <col min="4616" max="4617" width="16" style="13" bestFit="1" customWidth="1"/>
    <col min="4618" max="4618" width="16.5703125" style="13" bestFit="1" customWidth="1"/>
    <col min="4619" max="4619" width="15.5703125" style="13" bestFit="1" customWidth="1"/>
    <col min="4620" max="4620" width="9.140625" style="13"/>
    <col min="4621" max="4621" width="16.5703125" style="13" bestFit="1" customWidth="1"/>
    <col min="4622" max="4864" width="9.140625" style="13"/>
    <col min="4865" max="4865" width="2.28515625" style="13" customWidth="1"/>
    <col min="4866" max="4866" width="0.7109375" style="13" customWidth="1"/>
    <col min="4867" max="4867" width="7.5703125" style="13" customWidth="1"/>
    <col min="4868" max="4868" width="9.140625" style="13"/>
    <col min="4869" max="4869" width="19" style="13" customWidth="1"/>
    <col min="4870" max="4870" width="17.5703125" style="13" customWidth="1"/>
    <col min="4871" max="4871" width="16" style="13" customWidth="1"/>
    <col min="4872" max="4873" width="16" style="13" bestFit="1" customWidth="1"/>
    <col min="4874" max="4874" width="16.5703125" style="13" bestFit="1" customWidth="1"/>
    <col min="4875" max="4875" width="15.5703125" style="13" bestFit="1" customWidth="1"/>
    <col min="4876" max="4876" width="9.140625" style="13"/>
    <col min="4877" max="4877" width="16.5703125" style="13" bestFit="1" customWidth="1"/>
    <col min="4878" max="5120" width="9.140625" style="13"/>
    <col min="5121" max="5121" width="2.28515625" style="13" customWidth="1"/>
    <col min="5122" max="5122" width="0.7109375" style="13" customWidth="1"/>
    <col min="5123" max="5123" width="7.5703125" style="13" customWidth="1"/>
    <col min="5124" max="5124" width="9.140625" style="13"/>
    <col min="5125" max="5125" width="19" style="13" customWidth="1"/>
    <col min="5126" max="5126" width="17.5703125" style="13" customWidth="1"/>
    <col min="5127" max="5127" width="16" style="13" customWidth="1"/>
    <col min="5128" max="5129" width="16" style="13" bestFit="1" customWidth="1"/>
    <col min="5130" max="5130" width="16.5703125" style="13" bestFit="1" customWidth="1"/>
    <col min="5131" max="5131" width="15.5703125" style="13" bestFit="1" customWidth="1"/>
    <col min="5132" max="5132" width="9.140625" style="13"/>
    <col min="5133" max="5133" width="16.5703125" style="13" bestFit="1" customWidth="1"/>
    <col min="5134" max="5376" width="9.140625" style="13"/>
    <col min="5377" max="5377" width="2.28515625" style="13" customWidth="1"/>
    <col min="5378" max="5378" width="0.7109375" style="13" customWidth="1"/>
    <col min="5379" max="5379" width="7.5703125" style="13" customWidth="1"/>
    <col min="5380" max="5380" width="9.140625" style="13"/>
    <col min="5381" max="5381" width="19" style="13" customWidth="1"/>
    <col min="5382" max="5382" width="17.5703125" style="13" customWidth="1"/>
    <col min="5383" max="5383" width="16" style="13" customWidth="1"/>
    <col min="5384" max="5385" width="16" style="13" bestFit="1" customWidth="1"/>
    <col min="5386" max="5386" width="16.5703125" style="13" bestFit="1" customWidth="1"/>
    <col min="5387" max="5387" width="15.5703125" style="13" bestFit="1" customWidth="1"/>
    <col min="5388" max="5388" width="9.140625" style="13"/>
    <col min="5389" max="5389" width="16.5703125" style="13" bestFit="1" customWidth="1"/>
    <col min="5390" max="5632" width="9.140625" style="13"/>
    <col min="5633" max="5633" width="2.28515625" style="13" customWidth="1"/>
    <col min="5634" max="5634" width="0.7109375" style="13" customWidth="1"/>
    <col min="5635" max="5635" width="7.5703125" style="13" customWidth="1"/>
    <col min="5636" max="5636" width="9.140625" style="13"/>
    <col min="5637" max="5637" width="19" style="13" customWidth="1"/>
    <col min="5638" max="5638" width="17.5703125" style="13" customWidth="1"/>
    <col min="5639" max="5639" width="16" style="13" customWidth="1"/>
    <col min="5640" max="5641" width="16" style="13" bestFit="1" customWidth="1"/>
    <col min="5642" max="5642" width="16.5703125" style="13" bestFit="1" customWidth="1"/>
    <col min="5643" max="5643" width="15.5703125" style="13" bestFit="1" customWidth="1"/>
    <col min="5644" max="5644" width="9.140625" style="13"/>
    <col min="5645" max="5645" width="16.5703125" style="13" bestFit="1" customWidth="1"/>
    <col min="5646" max="5888" width="9.140625" style="13"/>
    <col min="5889" max="5889" width="2.28515625" style="13" customWidth="1"/>
    <col min="5890" max="5890" width="0.7109375" style="13" customWidth="1"/>
    <col min="5891" max="5891" width="7.5703125" style="13" customWidth="1"/>
    <col min="5892" max="5892" width="9.140625" style="13"/>
    <col min="5893" max="5893" width="19" style="13" customWidth="1"/>
    <col min="5894" max="5894" width="17.5703125" style="13" customWidth="1"/>
    <col min="5895" max="5895" width="16" style="13" customWidth="1"/>
    <col min="5896" max="5897" width="16" style="13" bestFit="1" customWidth="1"/>
    <col min="5898" max="5898" width="16.5703125" style="13" bestFit="1" customWidth="1"/>
    <col min="5899" max="5899" width="15.5703125" style="13" bestFit="1" customWidth="1"/>
    <col min="5900" max="5900" width="9.140625" style="13"/>
    <col min="5901" max="5901" width="16.5703125" style="13" bestFit="1" customWidth="1"/>
    <col min="5902" max="6144" width="9.140625" style="13"/>
    <col min="6145" max="6145" width="2.28515625" style="13" customWidth="1"/>
    <col min="6146" max="6146" width="0.7109375" style="13" customWidth="1"/>
    <col min="6147" max="6147" width="7.5703125" style="13" customWidth="1"/>
    <col min="6148" max="6148" width="9.140625" style="13"/>
    <col min="6149" max="6149" width="19" style="13" customWidth="1"/>
    <col min="6150" max="6150" width="17.5703125" style="13" customWidth="1"/>
    <col min="6151" max="6151" width="16" style="13" customWidth="1"/>
    <col min="6152" max="6153" width="16" style="13" bestFit="1" customWidth="1"/>
    <col min="6154" max="6154" width="16.5703125" style="13" bestFit="1" customWidth="1"/>
    <col min="6155" max="6155" width="15.5703125" style="13" bestFit="1" customWidth="1"/>
    <col min="6156" max="6156" width="9.140625" style="13"/>
    <col min="6157" max="6157" width="16.5703125" style="13" bestFit="1" customWidth="1"/>
    <col min="6158" max="6400" width="9.140625" style="13"/>
    <col min="6401" max="6401" width="2.28515625" style="13" customWidth="1"/>
    <col min="6402" max="6402" width="0.7109375" style="13" customWidth="1"/>
    <col min="6403" max="6403" width="7.5703125" style="13" customWidth="1"/>
    <col min="6404" max="6404" width="9.140625" style="13"/>
    <col min="6405" max="6405" width="19" style="13" customWidth="1"/>
    <col min="6406" max="6406" width="17.5703125" style="13" customWidth="1"/>
    <col min="6407" max="6407" width="16" style="13" customWidth="1"/>
    <col min="6408" max="6409" width="16" style="13" bestFit="1" customWidth="1"/>
    <col min="6410" max="6410" width="16.5703125" style="13" bestFit="1" customWidth="1"/>
    <col min="6411" max="6411" width="15.5703125" style="13" bestFit="1" customWidth="1"/>
    <col min="6412" max="6412" width="9.140625" style="13"/>
    <col min="6413" max="6413" width="16.5703125" style="13" bestFit="1" customWidth="1"/>
    <col min="6414" max="6656" width="9.140625" style="13"/>
    <col min="6657" max="6657" width="2.28515625" style="13" customWidth="1"/>
    <col min="6658" max="6658" width="0.7109375" style="13" customWidth="1"/>
    <col min="6659" max="6659" width="7.5703125" style="13" customWidth="1"/>
    <col min="6660" max="6660" width="9.140625" style="13"/>
    <col min="6661" max="6661" width="19" style="13" customWidth="1"/>
    <col min="6662" max="6662" width="17.5703125" style="13" customWidth="1"/>
    <col min="6663" max="6663" width="16" style="13" customWidth="1"/>
    <col min="6664" max="6665" width="16" style="13" bestFit="1" customWidth="1"/>
    <col min="6666" max="6666" width="16.5703125" style="13" bestFit="1" customWidth="1"/>
    <col min="6667" max="6667" width="15.5703125" style="13" bestFit="1" customWidth="1"/>
    <col min="6668" max="6668" width="9.140625" style="13"/>
    <col min="6669" max="6669" width="16.5703125" style="13" bestFit="1" customWidth="1"/>
    <col min="6670" max="6912" width="9.140625" style="13"/>
    <col min="6913" max="6913" width="2.28515625" style="13" customWidth="1"/>
    <col min="6914" max="6914" width="0.7109375" style="13" customWidth="1"/>
    <col min="6915" max="6915" width="7.5703125" style="13" customWidth="1"/>
    <col min="6916" max="6916" width="9.140625" style="13"/>
    <col min="6917" max="6917" width="19" style="13" customWidth="1"/>
    <col min="6918" max="6918" width="17.5703125" style="13" customWidth="1"/>
    <col min="6919" max="6919" width="16" style="13" customWidth="1"/>
    <col min="6920" max="6921" width="16" style="13" bestFit="1" customWidth="1"/>
    <col min="6922" max="6922" width="16.5703125" style="13" bestFit="1" customWidth="1"/>
    <col min="6923" max="6923" width="15.5703125" style="13" bestFit="1" customWidth="1"/>
    <col min="6924" max="6924" width="9.140625" style="13"/>
    <col min="6925" max="6925" width="16.5703125" style="13" bestFit="1" customWidth="1"/>
    <col min="6926" max="7168" width="9.140625" style="13"/>
    <col min="7169" max="7169" width="2.28515625" style="13" customWidth="1"/>
    <col min="7170" max="7170" width="0.7109375" style="13" customWidth="1"/>
    <col min="7171" max="7171" width="7.5703125" style="13" customWidth="1"/>
    <col min="7172" max="7172" width="9.140625" style="13"/>
    <col min="7173" max="7173" width="19" style="13" customWidth="1"/>
    <col min="7174" max="7174" width="17.5703125" style="13" customWidth="1"/>
    <col min="7175" max="7175" width="16" style="13" customWidth="1"/>
    <col min="7176" max="7177" width="16" style="13" bestFit="1" customWidth="1"/>
    <col min="7178" max="7178" width="16.5703125" style="13" bestFit="1" customWidth="1"/>
    <col min="7179" max="7179" width="15.5703125" style="13" bestFit="1" customWidth="1"/>
    <col min="7180" max="7180" width="9.140625" style="13"/>
    <col min="7181" max="7181" width="16.5703125" style="13" bestFit="1" customWidth="1"/>
    <col min="7182" max="7424" width="9.140625" style="13"/>
    <col min="7425" max="7425" width="2.28515625" style="13" customWidth="1"/>
    <col min="7426" max="7426" width="0.7109375" style="13" customWidth="1"/>
    <col min="7427" max="7427" width="7.5703125" style="13" customWidth="1"/>
    <col min="7428" max="7428" width="9.140625" style="13"/>
    <col min="7429" max="7429" width="19" style="13" customWidth="1"/>
    <col min="7430" max="7430" width="17.5703125" style="13" customWidth="1"/>
    <col min="7431" max="7431" width="16" style="13" customWidth="1"/>
    <col min="7432" max="7433" width="16" style="13" bestFit="1" customWidth="1"/>
    <col min="7434" max="7434" width="16.5703125" style="13" bestFit="1" customWidth="1"/>
    <col min="7435" max="7435" width="15.5703125" style="13" bestFit="1" customWidth="1"/>
    <col min="7436" max="7436" width="9.140625" style="13"/>
    <col min="7437" max="7437" width="16.5703125" style="13" bestFit="1" customWidth="1"/>
    <col min="7438" max="7680" width="9.140625" style="13"/>
    <col min="7681" max="7681" width="2.28515625" style="13" customWidth="1"/>
    <col min="7682" max="7682" width="0.7109375" style="13" customWidth="1"/>
    <col min="7683" max="7683" width="7.5703125" style="13" customWidth="1"/>
    <col min="7684" max="7684" width="9.140625" style="13"/>
    <col min="7685" max="7685" width="19" style="13" customWidth="1"/>
    <col min="7686" max="7686" width="17.5703125" style="13" customWidth="1"/>
    <col min="7687" max="7687" width="16" style="13" customWidth="1"/>
    <col min="7688" max="7689" width="16" style="13" bestFit="1" customWidth="1"/>
    <col min="7690" max="7690" width="16.5703125" style="13" bestFit="1" customWidth="1"/>
    <col min="7691" max="7691" width="15.5703125" style="13" bestFit="1" customWidth="1"/>
    <col min="7692" max="7692" width="9.140625" style="13"/>
    <col min="7693" max="7693" width="16.5703125" style="13" bestFit="1" customWidth="1"/>
    <col min="7694" max="7936" width="9.140625" style="13"/>
    <col min="7937" max="7937" width="2.28515625" style="13" customWidth="1"/>
    <col min="7938" max="7938" width="0.7109375" style="13" customWidth="1"/>
    <col min="7939" max="7939" width="7.5703125" style="13" customWidth="1"/>
    <col min="7940" max="7940" width="9.140625" style="13"/>
    <col min="7941" max="7941" width="19" style="13" customWidth="1"/>
    <col min="7942" max="7942" width="17.5703125" style="13" customWidth="1"/>
    <col min="7943" max="7943" width="16" style="13" customWidth="1"/>
    <col min="7944" max="7945" width="16" style="13" bestFit="1" customWidth="1"/>
    <col min="7946" max="7946" width="16.5703125" style="13" bestFit="1" customWidth="1"/>
    <col min="7947" max="7947" width="15.5703125" style="13" bestFit="1" customWidth="1"/>
    <col min="7948" max="7948" width="9.140625" style="13"/>
    <col min="7949" max="7949" width="16.5703125" style="13" bestFit="1" customWidth="1"/>
    <col min="7950" max="8192" width="9.140625" style="13"/>
    <col min="8193" max="8193" width="2.28515625" style="13" customWidth="1"/>
    <col min="8194" max="8194" width="0.7109375" style="13" customWidth="1"/>
    <col min="8195" max="8195" width="7.5703125" style="13" customWidth="1"/>
    <col min="8196" max="8196" width="9.140625" style="13"/>
    <col min="8197" max="8197" width="19" style="13" customWidth="1"/>
    <col min="8198" max="8198" width="17.5703125" style="13" customWidth="1"/>
    <col min="8199" max="8199" width="16" style="13" customWidth="1"/>
    <col min="8200" max="8201" width="16" style="13" bestFit="1" customWidth="1"/>
    <col min="8202" max="8202" width="16.5703125" style="13" bestFit="1" customWidth="1"/>
    <col min="8203" max="8203" width="15.5703125" style="13" bestFit="1" customWidth="1"/>
    <col min="8204" max="8204" width="9.140625" style="13"/>
    <col min="8205" max="8205" width="16.5703125" style="13" bestFit="1" customWidth="1"/>
    <col min="8206" max="8448" width="9.140625" style="13"/>
    <col min="8449" max="8449" width="2.28515625" style="13" customWidth="1"/>
    <col min="8450" max="8450" width="0.7109375" style="13" customWidth="1"/>
    <col min="8451" max="8451" width="7.5703125" style="13" customWidth="1"/>
    <col min="8452" max="8452" width="9.140625" style="13"/>
    <col min="8453" max="8453" width="19" style="13" customWidth="1"/>
    <col min="8454" max="8454" width="17.5703125" style="13" customWidth="1"/>
    <col min="8455" max="8455" width="16" style="13" customWidth="1"/>
    <col min="8456" max="8457" width="16" style="13" bestFit="1" customWidth="1"/>
    <col min="8458" max="8458" width="16.5703125" style="13" bestFit="1" customWidth="1"/>
    <col min="8459" max="8459" width="15.5703125" style="13" bestFit="1" customWidth="1"/>
    <col min="8460" max="8460" width="9.140625" style="13"/>
    <col min="8461" max="8461" width="16.5703125" style="13" bestFit="1" customWidth="1"/>
    <col min="8462" max="8704" width="9.140625" style="13"/>
    <col min="8705" max="8705" width="2.28515625" style="13" customWidth="1"/>
    <col min="8706" max="8706" width="0.7109375" style="13" customWidth="1"/>
    <col min="8707" max="8707" width="7.5703125" style="13" customWidth="1"/>
    <col min="8708" max="8708" width="9.140625" style="13"/>
    <col min="8709" max="8709" width="19" style="13" customWidth="1"/>
    <col min="8710" max="8710" width="17.5703125" style="13" customWidth="1"/>
    <col min="8711" max="8711" width="16" style="13" customWidth="1"/>
    <col min="8712" max="8713" width="16" style="13" bestFit="1" customWidth="1"/>
    <col min="8714" max="8714" width="16.5703125" style="13" bestFit="1" customWidth="1"/>
    <col min="8715" max="8715" width="15.5703125" style="13" bestFit="1" customWidth="1"/>
    <col min="8716" max="8716" width="9.140625" style="13"/>
    <col min="8717" max="8717" width="16.5703125" style="13" bestFit="1" customWidth="1"/>
    <col min="8718" max="8960" width="9.140625" style="13"/>
    <col min="8961" max="8961" width="2.28515625" style="13" customWidth="1"/>
    <col min="8962" max="8962" width="0.7109375" style="13" customWidth="1"/>
    <col min="8963" max="8963" width="7.5703125" style="13" customWidth="1"/>
    <col min="8964" max="8964" width="9.140625" style="13"/>
    <col min="8965" max="8965" width="19" style="13" customWidth="1"/>
    <col min="8966" max="8966" width="17.5703125" style="13" customWidth="1"/>
    <col min="8967" max="8967" width="16" style="13" customWidth="1"/>
    <col min="8968" max="8969" width="16" style="13" bestFit="1" customWidth="1"/>
    <col min="8970" max="8970" width="16.5703125" style="13" bestFit="1" customWidth="1"/>
    <col min="8971" max="8971" width="15.5703125" style="13" bestFit="1" customWidth="1"/>
    <col min="8972" max="8972" width="9.140625" style="13"/>
    <col min="8973" max="8973" width="16.5703125" style="13" bestFit="1" customWidth="1"/>
    <col min="8974" max="9216" width="9.140625" style="13"/>
    <col min="9217" max="9217" width="2.28515625" style="13" customWidth="1"/>
    <col min="9218" max="9218" width="0.7109375" style="13" customWidth="1"/>
    <col min="9219" max="9219" width="7.5703125" style="13" customWidth="1"/>
    <col min="9220" max="9220" width="9.140625" style="13"/>
    <col min="9221" max="9221" width="19" style="13" customWidth="1"/>
    <col min="9222" max="9222" width="17.5703125" style="13" customWidth="1"/>
    <col min="9223" max="9223" width="16" style="13" customWidth="1"/>
    <col min="9224" max="9225" width="16" style="13" bestFit="1" customWidth="1"/>
    <col min="9226" max="9226" width="16.5703125" style="13" bestFit="1" customWidth="1"/>
    <col min="9227" max="9227" width="15.5703125" style="13" bestFit="1" customWidth="1"/>
    <col min="9228" max="9228" width="9.140625" style="13"/>
    <col min="9229" max="9229" width="16.5703125" style="13" bestFit="1" customWidth="1"/>
    <col min="9230" max="9472" width="9.140625" style="13"/>
    <col min="9473" max="9473" width="2.28515625" style="13" customWidth="1"/>
    <col min="9474" max="9474" width="0.7109375" style="13" customWidth="1"/>
    <col min="9475" max="9475" width="7.5703125" style="13" customWidth="1"/>
    <col min="9476" max="9476" width="9.140625" style="13"/>
    <col min="9477" max="9477" width="19" style="13" customWidth="1"/>
    <col min="9478" max="9478" width="17.5703125" style="13" customWidth="1"/>
    <col min="9479" max="9479" width="16" style="13" customWidth="1"/>
    <col min="9480" max="9481" width="16" style="13" bestFit="1" customWidth="1"/>
    <col min="9482" max="9482" width="16.5703125" style="13" bestFit="1" customWidth="1"/>
    <col min="9483" max="9483" width="15.5703125" style="13" bestFit="1" customWidth="1"/>
    <col min="9484" max="9484" width="9.140625" style="13"/>
    <col min="9485" max="9485" width="16.5703125" style="13" bestFit="1" customWidth="1"/>
    <col min="9486" max="9728" width="9.140625" style="13"/>
    <col min="9729" max="9729" width="2.28515625" style="13" customWidth="1"/>
    <col min="9730" max="9730" width="0.7109375" style="13" customWidth="1"/>
    <col min="9731" max="9731" width="7.5703125" style="13" customWidth="1"/>
    <col min="9732" max="9732" width="9.140625" style="13"/>
    <col min="9733" max="9733" width="19" style="13" customWidth="1"/>
    <col min="9734" max="9734" width="17.5703125" style="13" customWidth="1"/>
    <col min="9735" max="9735" width="16" style="13" customWidth="1"/>
    <col min="9736" max="9737" width="16" style="13" bestFit="1" customWidth="1"/>
    <col min="9738" max="9738" width="16.5703125" style="13" bestFit="1" customWidth="1"/>
    <col min="9739" max="9739" width="15.5703125" style="13" bestFit="1" customWidth="1"/>
    <col min="9740" max="9740" width="9.140625" style="13"/>
    <col min="9741" max="9741" width="16.5703125" style="13" bestFit="1" customWidth="1"/>
    <col min="9742" max="9984" width="9.140625" style="13"/>
    <col min="9985" max="9985" width="2.28515625" style="13" customWidth="1"/>
    <col min="9986" max="9986" width="0.7109375" style="13" customWidth="1"/>
    <col min="9987" max="9987" width="7.5703125" style="13" customWidth="1"/>
    <col min="9988" max="9988" width="9.140625" style="13"/>
    <col min="9989" max="9989" width="19" style="13" customWidth="1"/>
    <col min="9990" max="9990" width="17.5703125" style="13" customWidth="1"/>
    <col min="9991" max="9991" width="16" style="13" customWidth="1"/>
    <col min="9992" max="9993" width="16" style="13" bestFit="1" customWidth="1"/>
    <col min="9994" max="9994" width="16.5703125" style="13" bestFit="1" customWidth="1"/>
    <col min="9995" max="9995" width="15.5703125" style="13" bestFit="1" customWidth="1"/>
    <col min="9996" max="9996" width="9.140625" style="13"/>
    <col min="9997" max="9997" width="16.5703125" style="13" bestFit="1" customWidth="1"/>
    <col min="9998" max="10240" width="9.140625" style="13"/>
    <col min="10241" max="10241" width="2.28515625" style="13" customWidth="1"/>
    <col min="10242" max="10242" width="0.7109375" style="13" customWidth="1"/>
    <col min="10243" max="10243" width="7.5703125" style="13" customWidth="1"/>
    <col min="10244" max="10244" width="9.140625" style="13"/>
    <col min="10245" max="10245" width="19" style="13" customWidth="1"/>
    <col min="10246" max="10246" width="17.5703125" style="13" customWidth="1"/>
    <col min="10247" max="10247" width="16" style="13" customWidth="1"/>
    <col min="10248" max="10249" width="16" style="13" bestFit="1" customWidth="1"/>
    <col min="10250" max="10250" width="16.5703125" style="13" bestFit="1" customWidth="1"/>
    <col min="10251" max="10251" width="15.5703125" style="13" bestFit="1" customWidth="1"/>
    <col min="10252" max="10252" width="9.140625" style="13"/>
    <col min="10253" max="10253" width="16.5703125" style="13" bestFit="1" customWidth="1"/>
    <col min="10254" max="10496" width="9.140625" style="13"/>
    <col min="10497" max="10497" width="2.28515625" style="13" customWidth="1"/>
    <col min="10498" max="10498" width="0.7109375" style="13" customWidth="1"/>
    <col min="10499" max="10499" width="7.5703125" style="13" customWidth="1"/>
    <col min="10500" max="10500" width="9.140625" style="13"/>
    <col min="10501" max="10501" width="19" style="13" customWidth="1"/>
    <col min="10502" max="10502" width="17.5703125" style="13" customWidth="1"/>
    <col min="10503" max="10503" width="16" style="13" customWidth="1"/>
    <col min="10504" max="10505" width="16" style="13" bestFit="1" customWidth="1"/>
    <col min="10506" max="10506" width="16.5703125" style="13" bestFit="1" customWidth="1"/>
    <col min="10507" max="10507" width="15.5703125" style="13" bestFit="1" customWidth="1"/>
    <col min="10508" max="10508" width="9.140625" style="13"/>
    <col min="10509" max="10509" width="16.5703125" style="13" bestFit="1" customWidth="1"/>
    <col min="10510" max="10752" width="9.140625" style="13"/>
    <col min="10753" max="10753" width="2.28515625" style="13" customWidth="1"/>
    <col min="10754" max="10754" width="0.7109375" style="13" customWidth="1"/>
    <col min="10755" max="10755" width="7.5703125" style="13" customWidth="1"/>
    <col min="10756" max="10756" width="9.140625" style="13"/>
    <col min="10757" max="10757" width="19" style="13" customWidth="1"/>
    <col min="10758" max="10758" width="17.5703125" style="13" customWidth="1"/>
    <col min="10759" max="10759" width="16" style="13" customWidth="1"/>
    <col min="10760" max="10761" width="16" style="13" bestFit="1" customWidth="1"/>
    <col min="10762" max="10762" width="16.5703125" style="13" bestFit="1" customWidth="1"/>
    <col min="10763" max="10763" width="15.5703125" style="13" bestFit="1" customWidth="1"/>
    <col min="10764" max="10764" width="9.140625" style="13"/>
    <col min="10765" max="10765" width="16.5703125" style="13" bestFit="1" customWidth="1"/>
    <col min="10766" max="11008" width="9.140625" style="13"/>
    <col min="11009" max="11009" width="2.28515625" style="13" customWidth="1"/>
    <col min="11010" max="11010" width="0.7109375" style="13" customWidth="1"/>
    <col min="11011" max="11011" width="7.5703125" style="13" customWidth="1"/>
    <col min="11012" max="11012" width="9.140625" style="13"/>
    <col min="11013" max="11013" width="19" style="13" customWidth="1"/>
    <col min="11014" max="11014" width="17.5703125" style="13" customWidth="1"/>
    <col min="11015" max="11015" width="16" style="13" customWidth="1"/>
    <col min="11016" max="11017" width="16" style="13" bestFit="1" customWidth="1"/>
    <col min="11018" max="11018" width="16.5703125" style="13" bestFit="1" customWidth="1"/>
    <col min="11019" max="11019" width="15.5703125" style="13" bestFit="1" customWidth="1"/>
    <col min="11020" max="11020" width="9.140625" style="13"/>
    <col min="11021" max="11021" width="16.5703125" style="13" bestFit="1" customWidth="1"/>
    <col min="11022" max="11264" width="9.140625" style="13"/>
    <col min="11265" max="11265" width="2.28515625" style="13" customWidth="1"/>
    <col min="11266" max="11266" width="0.7109375" style="13" customWidth="1"/>
    <col min="11267" max="11267" width="7.5703125" style="13" customWidth="1"/>
    <col min="11268" max="11268" width="9.140625" style="13"/>
    <col min="11269" max="11269" width="19" style="13" customWidth="1"/>
    <col min="11270" max="11270" width="17.5703125" style="13" customWidth="1"/>
    <col min="11271" max="11271" width="16" style="13" customWidth="1"/>
    <col min="11272" max="11273" width="16" style="13" bestFit="1" customWidth="1"/>
    <col min="11274" max="11274" width="16.5703125" style="13" bestFit="1" customWidth="1"/>
    <col min="11275" max="11275" width="15.5703125" style="13" bestFit="1" customWidth="1"/>
    <col min="11276" max="11276" width="9.140625" style="13"/>
    <col min="11277" max="11277" width="16.5703125" style="13" bestFit="1" customWidth="1"/>
    <col min="11278" max="11520" width="9.140625" style="13"/>
    <col min="11521" max="11521" width="2.28515625" style="13" customWidth="1"/>
    <col min="11522" max="11522" width="0.7109375" style="13" customWidth="1"/>
    <col min="11523" max="11523" width="7.5703125" style="13" customWidth="1"/>
    <col min="11524" max="11524" width="9.140625" style="13"/>
    <col min="11525" max="11525" width="19" style="13" customWidth="1"/>
    <col min="11526" max="11526" width="17.5703125" style="13" customWidth="1"/>
    <col min="11527" max="11527" width="16" style="13" customWidth="1"/>
    <col min="11528" max="11529" width="16" style="13" bestFit="1" customWidth="1"/>
    <col min="11530" max="11530" width="16.5703125" style="13" bestFit="1" customWidth="1"/>
    <col min="11531" max="11531" width="15.5703125" style="13" bestFit="1" customWidth="1"/>
    <col min="11532" max="11532" width="9.140625" style="13"/>
    <col min="11533" max="11533" width="16.5703125" style="13" bestFit="1" customWidth="1"/>
    <col min="11534" max="11776" width="9.140625" style="13"/>
    <col min="11777" max="11777" width="2.28515625" style="13" customWidth="1"/>
    <col min="11778" max="11778" width="0.7109375" style="13" customWidth="1"/>
    <col min="11779" max="11779" width="7.5703125" style="13" customWidth="1"/>
    <col min="11780" max="11780" width="9.140625" style="13"/>
    <col min="11781" max="11781" width="19" style="13" customWidth="1"/>
    <col min="11782" max="11782" width="17.5703125" style="13" customWidth="1"/>
    <col min="11783" max="11783" width="16" style="13" customWidth="1"/>
    <col min="11784" max="11785" width="16" style="13" bestFit="1" customWidth="1"/>
    <col min="11786" max="11786" width="16.5703125" style="13" bestFit="1" customWidth="1"/>
    <col min="11787" max="11787" width="15.5703125" style="13" bestFit="1" customWidth="1"/>
    <col min="11788" max="11788" width="9.140625" style="13"/>
    <col min="11789" max="11789" width="16.5703125" style="13" bestFit="1" customWidth="1"/>
    <col min="11790" max="12032" width="9.140625" style="13"/>
    <col min="12033" max="12033" width="2.28515625" style="13" customWidth="1"/>
    <col min="12034" max="12034" width="0.7109375" style="13" customWidth="1"/>
    <col min="12035" max="12035" width="7.5703125" style="13" customWidth="1"/>
    <col min="12036" max="12036" width="9.140625" style="13"/>
    <col min="12037" max="12037" width="19" style="13" customWidth="1"/>
    <col min="12038" max="12038" width="17.5703125" style="13" customWidth="1"/>
    <col min="12039" max="12039" width="16" style="13" customWidth="1"/>
    <col min="12040" max="12041" width="16" style="13" bestFit="1" customWidth="1"/>
    <col min="12042" max="12042" width="16.5703125" style="13" bestFit="1" customWidth="1"/>
    <col min="12043" max="12043" width="15.5703125" style="13" bestFit="1" customWidth="1"/>
    <col min="12044" max="12044" width="9.140625" style="13"/>
    <col min="12045" max="12045" width="16.5703125" style="13" bestFit="1" customWidth="1"/>
    <col min="12046" max="12288" width="9.140625" style="13"/>
    <col min="12289" max="12289" width="2.28515625" style="13" customWidth="1"/>
    <col min="12290" max="12290" width="0.7109375" style="13" customWidth="1"/>
    <col min="12291" max="12291" width="7.5703125" style="13" customWidth="1"/>
    <col min="12292" max="12292" width="9.140625" style="13"/>
    <col min="12293" max="12293" width="19" style="13" customWidth="1"/>
    <col min="12294" max="12294" width="17.5703125" style="13" customWidth="1"/>
    <col min="12295" max="12295" width="16" style="13" customWidth="1"/>
    <col min="12296" max="12297" width="16" style="13" bestFit="1" customWidth="1"/>
    <col min="12298" max="12298" width="16.5703125" style="13" bestFit="1" customWidth="1"/>
    <col min="12299" max="12299" width="15.5703125" style="13" bestFit="1" customWidth="1"/>
    <col min="12300" max="12300" width="9.140625" style="13"/>
    <col min="12301" max="12301" width="16.5703125" style="13" bestFit="1" customWidth="1"/>
    <col min="12302" max="12544" width="9.140625" style="13"/>
    <col min="12545" max="12545" width="2.28515625" style="13" customWidth="1"/>
    <col min="12546" max="12546" width="0.7109375" style="13" customWidth="1"/>
    <col min="12547" max="12547" width="7.5703125" style="13" customWidth="1"/>
    <col min="12548" max="12548" width="9.140625" style="13"/>
    <col min="12549" max="12549" width="19" style="13" customWidth="1"/>
    <col min="12550" max="12550" width="17.5703125" style="13" customWidth="1"/>
    <col min="12551" max="12551" width="16" style="13" customWidth="1"/>
    <col min="12552" max="12553" width="16" style="13" bestFit="1" customWidth="1"/>
    <col min="12554" max="12554" width="16.5703125" style="13" bestFit="1" customWidth="1"/>
    <col min="12555" max="12555" width="15.5703125" style="13" bestFit="1" customWidth="1"/>
    <col min="12556" max="12556" width="9.140625" style="13"/>
    <col min="12557" max="12557" width="16.5703125" style="13" bestFit="1" customWidth="1"/>
    <col min="12558" max="12800" width="9.140625" style="13"/>
    <col min="12801" max="12801" width="2.28515625" style="13" customWidth="1"/>
    <col min="12802" max="12802" width="0.7109375" style="13" customWidth="1"/>
    <col min="12803" max="12803" width="7.5703125" style="13" customWidth="1"/>
    <col min="12804" max="12804" width="9.140625" style="13"/>
    <col min="12805" max="12805" width="19" style="13" customWidth="1"/>
    <col min="12806" max="12806" width="17.5703125" style="13" customWidth="1"/>
    <col min="12807" max="12807" width="16" style="13" customWidth="1"/>
    <col min="12808" max="12809" width="16" style="13" bestFit="1" customWidth="1"/>
    <col min="12810" max="12810" width="16.5703125" style="13" bestFit="1" customWidth="1"/>
    <col min="12811" max="12811" width="15.5703125" style="13" bestFit="1" customWidth="1"/>
    <col min="12812" max="12812" width="9.140625" style="13"/>
    <col min="12813" max="12813" width="16.5703125" style="13" bestFit="1" customWidth="1"/>
    <col min="12814" max="13056" width="9.140625" style="13"/>
    <col min="13057" max="13057" width="2.28515625" style="13" customWidth="1"/>
    <col min="13058" max="13058" width="0.7109375" style="13" customWidth="1"/>
    <col min="13059" max="13059" width="7.5703125" style="13" customWidth="1"/>
    <col min="13060" max="13060" width="9.140625" style="13"/>
    <col min="13061" max="13061" width="19" style="13" customWidth="1"/>
    <col min="13062" max="13062" width="17.5703125" style="13" customWidth="1"/>
    <col min="13063" max="13063" width="16" style="13" customWidth="1"/>
    <col min="13064" max="13065" width="16" style="13" bestFit="1" customWidth="1"/>
    <col min="13066" max="13066" width="16.5703125" style="13" bestFit="1" customWidth="1"/>
    <col min="13067" max="13067" width="15.5703125" style="13" bestFit="1" customWidth="1"/>
    <col min="13068" max="13068" width="9.140625" style="13"/>
    <col min="13069" max="13069" width="16.5703125" style="13" bestFit="1" customWidth="1"/>
    <col min="13070" max="13312" width="9.140625" style="13"/>
    <col min="13313" max="13313" width="2.28515625" style="13" customWidth="1"/>
    <col min="13314" max="13314" width="0.7109375" style="13" customWidth="1"/>
    <col min="13315" max="13315" width="7.5703125" style="13" customWidth="1"/>
    <col min="13316" max="13316" width="9.140625" style="13"/>
    <col min="13317" max="13317" width="19" style="13" customWidth="1"/>
    <col min="13318" max="13318" width="17.5703125" style="13" customWidth="1"/>
    <col min="13319" max="13319" width="16" style="13" customWidth="1"/>
    <col min="13320" max="13321" width="16" style="13" bestFit="1" customWidth="1"/>
    <col min="13322" max="13322" width="16.5703125" style="13" bestFit="1" customWidth="1"/>
    <col min="13323" max="13323" width="15.5703125" style="13" bestFit="1" customWidth="1"/>
    <col min="13324" max="13324" width="9.140625" style="13"/>
    <col min="13325" max="13325" width="16.5703125" style="13" bestFit="1" customWidth="1"/>
    <col min="13326" max="13568" width="9.140625" style="13"/>
    <col min="13569" max="13569" width="2.28515625" style="13" customWidth="1"/>
    <col min="13570" max="13570" width="0.7109375" style="13" customWidth="1"/>
    <col min="13571" max="13571" width="7.5703125" style="13" customWidth="1"/>
    <col min="13572" max="13572" width="9.140625" style="13"/>
    <col min="13573" max="13573" width="19" style="13" customWidth="1"/>
    <col min="13574" max="13574" width="17.5703125" style="13" customWidth="1"/>
    <col min="13575" max="13575" width="16" style="13" customWidth="1"/>
    <col min="13576" max="13577" width="16" style="13" bestFit="1" customWidth="1"/>
    <col min="13578" max="13578" width="16.5703125" style="13" bestFit="1" customWidth="1"/>
    <col min="13579" max="13579" width="15.5703125" style="13" bestFit="1" customWidth="1"/>
    <col min="13580" max="13580" width="9.140625" style="13"/>
    <col min="13581" max="13581" width="16.5703125" style="13" bestFit="1" customWidth="1"/>
    <col min="13582" max="13824" width="9.140625" style="13"/>
    <col min="13825" max="13825" width="2.28515625" style="13" customWidth="1"/>
    <col min="13826" max="13826" width="0.7109375" style="13" customWidth="1"/>
    <col min="13827" max="13827" width="7.5703125" style="13" customWidth="1"/>
    <col min="13828" max="13828" width="9.140625" style="13"/>
    <col min="13829" max="13829" width="19" style="13" customWidth="1"/>
    <col min="13830" max="13830" width="17.5703125" style="13" customWidth="1"/>
    <col min="13831" max="13831" width="16" style="13" customWidth="1"/>
    <col min="13832" max="13833" width="16" style="13" bestFit="1" customWidth="1"/>
    <col min="13834" max="13834" width="16.5703125" style="13" bestFit="1" customWidth="1"/>
    <col min="13835" max="13835" width="15.5703125" style="13" bestFit="1" customWidth="1"/>
    <col min="13836" max="13836" width="9.140625" style="13"/>
    <col min="13837" max="13837" width="16.5703125" style="13" bestFit="1" customWidth="1"/>
    <col min="13838" max="14080" width="9.140625" style="13"/>
    <col min="14081" max="14081" width="2.28515625" style="13" customWidth="1"/>
    <col min="14082" max="14082" width="0.7109375" style="13" customWidth="1"/>
    <col min="14083" max="14083" width="7.5703125" style="13" customWidth="1"/>
    <col min="14084" max="14084" width="9.140625" style="13"/>
    <col min="14085" max="14085" width="19" style="13" customWidth="1"/>
    <col min="14086" max="14086" width="17.5703125" style="13" customWidth="1"/>
    <col min="14087" max="14087" width="16" style="13" customWidth="1"/>
    <col min="14088" max="14089" width="16" style="13" bestFit="1" customWidth="1"/>
    <col min="14090" max="14090" width="16.5703125" style="13" bestFit="1" customWidth="1"/>
    <col min="14091" max="14091" width="15.5703125" style="13" bestFit="1" customWidth="1"/>
    <col min="14092" max="14092" width="9.140625" style="13"/>
    <col min="14093" max="14093" width="16.5703125" style="13" bestFit="1" customWidth="1"/>
    <col min="14094" max="14336" width="9.140625" style="13"/>
    <col min="14337" max="14337" width="2.28515625" style="13" customWidth="1"/>
    <col min="14338" max="14338" width="0.7109375" style="13" customWidth="1"/>
    <col min="14339" max="14339" width="7.5703125" style="13" customWidth="1"/>
    <col min="14340" max="14340" width="9.140625" style="13"/>
    <col min="14341" max="14341" width="19" style="13" customWidth="1"/>
    <col min="14342" max="14342" width="17.5703125" style="13" customWidth="1"/>
    <col min="14343" max="14343" width="16" style="13" customWidth="1"/>
    <col min="14344" max="14345" width="16" style="13" bestFit="1" customWidth="1"/>
    <col min="14346" max="14346" width="16.5703125" style="13" bestFit="1" customWidth="1"/>
    <col min="14347" max="14347" width="15.5703125" style="13" bestFit="1" customWidth="1"/>
    <col min="14348" max="14348" width="9.140625" style="13"/>
    <col min="14349" max="14349" width="16.5703125" style="13" bestFit="1" customWidth="1"/>
    <col min="14350" max="14592" width="9.140625" style="13"/>
    <col min="14593" max="14593" width="2.28515625" style="13" customWidth="1"/>
    <col min="14594" max="14594" width="0.7109375" style="13" customWidth="1"/>
    <col min="14595" max="14595" width="7.5703125" style="13" customWidth="1"/>
    <col min="14596" max="14596" width="9.140625" style="13"/>
    <col min="14597" max="14597" width="19" style="13" customWidth="1"/>
    <col min="14598" max="14598" width="17.5703125" style="13" customWidth="1"/>
    <col min="14599" max="14599" width="16" style="13" customWidth="1"/>
    <col min="14600" max="14601" width="16" style="13" bestFit="1" customWidth="1"/>
    <col min="14602" max="14602" width="16.5703125" style="13" bestFit="1" customWidth="1"/>
    <col min="14603" max="14603" width="15.5703125" style="13" bestFit="1" customWidth="1"/>
    <col min="14604" max="14604" width="9.140625" style="13"/>
    <col min="14605" max="14605" width="16.5703125" style="13" bestFit="1" customWidth="1"/>
    <col min="14606" max="14848" width="9.140625" style="13"/>
    <col min="14849" max="14849" width="2.28515625" style="13" customWidth="1"/>
    <col min="14850" max="14850" width="0.7109375" style="13" customWidth="1"/>
    <col min="14851" max="14851" width="7.5703125" style="13" customWidth="1"/>
    <col min="14852" max="14852" width="9.140625" style="13"/>
    <col min="14853" max="14853" width="19" style="13" customWidth="1"/>
    <col min="14854" max="14854" width="17.5703125" style="13" customWidth="1"/>
    <col min="14855" max="14855" width="16" style="13" customWidth="1"/>
    <col min="14856" max="14857" width="16" style="13" bestFit="1" customWidth="1"/>
    <col min="14858" max="14858" width="16.5703125" style="13" bestFit="1" customWidth="1"/>
    <col min="14859" max="14859" width="15.5703125" style="13" bestFit="1" customWidth="1"/>
    <col min="14860" max="14860" width="9.140625" style="13"/>
    <col min="14861" max="14861" width="16.5703125" style="13" bestFit="1" customWidth="1"/>
    <col min="14862" max="15104" width="9.140625" style="13"/>
    <col min="15105" max="15105" width="2.28515625" style="13" customWidth="1"/>
    <col min="15106" max="15106" width="0.7109375" style="13" customWidth="1"/>
    <col min="15107" max="15107" width="7.5703125" style="13" customWidth="1"/>
    <col min="15108" max="15108" width="9.140625" style="13"/>
    <col min="15109" max="15109" width="19" style="13" customWidth="1"/>
    <col min="15110" max="15110" width="17.5703125" style="13" customWidth="1"/>
    <col min="15111" max="15111" width="16" style="13" customWidth="1"/>
    <col min="15112" max="15113" width="16" style="13" bestFit="1" customWidth="1"/>
    <col min="15114" max="15114" width="16.5703125" style="13" bestFit="1" customWidth="1"/>
    <col min="15115" max="15115" width="15.5703125" style="13" bestFit="1" customWidth="1"/>
    <col min="15116" max="15116" width="9.140625" style="13"/>
    <col min="15117" max="15117" width="16.5703125" style="13" bestFit="1" customWidth="1"/>
    <col min="15118" max="15360" width="9.140625" style="13"/>
    <col min="15361" max="15361" width="2.28515625" style="13" customWidth="1"/>
    <col min="15362" max="15362" width="0.7109375" style="13" customWidth="1"/>
    <col min="15363" max="15363" width="7.5703125" style="13" customWidth="1"/>
    <col min="15364" max="15364" width="9.140625" style="13"/>
    <col min="15365" max="15365" width="19" style="13" customWidth="1"/>
    <col min="15366" max="15366" width="17.5703125" style="13" customWidth="1"/>
    <col min="15367" max="15367" width="16" style="13" customWidth="1"/>
    <col min="15368" max="15369" width="16" style="13" bestFit="1" customWidth="1"/>
    <col min="15370" max="15370" width="16.5703125" style="13" bestFit="1" customWidth="1"/>
    <col min="15371" max="15371" width="15.5703125" style="13" bestFit="1" customWidth="1"/>
    <col min="15372" max="15372" width="9.140625" style="13"/>
    <col min="15373" max="15373" width="16.5703125" style="13" bestFit="1" customWidth="1"/>
    <col min="15374" max="15616" width="9.140625" style="13"/>
    <col min="15617" max="15617" width="2.28515625" style="13" customWidth="1"/>
    <col min="15618" max="15618" width="0.7109375" style="13" customWidth="1"/>
    <col min="15619" max="15619" width="7.5703125" style="13" customWidth="1"/>
    <col min="15620" max="15620" width="9.140625" style="13"/>
    <col min="15621" max="15621" width="19" style="13" customWidth="1"/>
    <col min="15622" max="15622" width="17.5703125" style="13" customWidth="1"/>
    <col min="15623" max="15623" width="16" style="13" customWidth="1"/>
    <col min="15624" max="15625" width="16" style="13" bestFit="1" customWidth="1"/>
    <col min="15626" max="15626" width="16.5703125" style="13" bestFit="1" customWidth="1"/>
    <col min="15627" max="15627" width="15.5703125" style="13" bestFit="1" customWidth="1"/>
    <col min="15628" max="15628" width="9.140625" style="13"/>
    <col min="15629" max="15629" width="16.5703125" style="13" bestFit="1" customWidth="1"/>
    <col min="15630" max="15872" width="9.140625" style="13"/>
    <col min="15873" max="15873" width="2.28515625" style="13" customWidth="1"/>
    <col min="15874" max="15874" width="0.7109375" style="13" customWidth="1"/>
    <col min="15875" max="15875" width="7.5703125" style="13" customWidth="1"/>
    <col min="15876" max="15876" width="9.140625" style="13"/>
    <col min="15877" max="15877" width="19" style="13" customWidth="1"/>
    <col min="15878" max="15878" width="17.5703125" style="13" customWidth="1"/>
    <col min="15879" max="15879" width="16" style="13" customWidth="1"/>
    <col min="15880" max="15881" width="16" style="13" bestFit="1" customWidth="1"/>
    <col min="15882" max="15882" width="16.5703125" style="13" bestFit="1" customWidth="1"/>
    <col min="15883" max="15883" width="15.5703125" style="13" bestFit="1" customWidth="1"/>
    <col min="15884" max="15884" width="9.140625" style="13"/>
    <col min="15885" max="15885" width="16.5703125" style="13" bestFit="1" customWidth="1"/>
    <col min="15886" max="16128" width="9.140625" style="13"/>
    <col min="16129" max="16129" width="2.28515625" style="13" customWidth="1"/>
    <col min="16130" max="16130" width="0.7109375" style="13" customWidth="1"/>
    <col min="16131" max="16131" width="7.5703125" style="13" customWidth="1"/>
    <col min="16132" max="16132" width="9.140625" style="13"/>
    <col min="16133" max="16133" width="19" style="13" customWidth="1"/>
    <col min="16134" max="16134" width="17.5703125" style="13" customWidth="1"/>
    <col min="16135" max="16135" width="16" style="13" customWidth="1"/>
    <col min="16136" max="16137" width="16" style="13" bestFit="1" customWidth="1"/>
    <col min="16138" max="16138" width="16.5703125" style="13" bestFit="1" customWidth="1"/>
    <col min="16139" max="16139" width="15.5703125" style="13" bestFit="1" customWidth="1"/>
    <col min="16140" max="16140" width="9.140625" style="13"/>
    <col min="16141" max="16141" width="16.5703125" style="13" bestFit="1" customWidth="1"/>
    <col min="16142" max="16384" width="9.140625" style="13"/>
  </cols>
  <sheetData>
    <row r="1" spans="1:10" ht="15" x14ac:dyDescent="0.25">
      <c r="C1" s="2" t="s">
        <v>2151</v>
      </c>
      <c r="D1" s="3"/>
      <c r="E1" s="3"/>
      <c r="F1" s="4"/>
      <c r="G1" s="5"/>
      <c r="H1" s="14"/>
    </row>
    <row r="2" spans="1:10" x14ac:dyDescent="0.2">
      <c r="C2" s="6" t="s">
        <v>2152</v>
      </c>
      <c r="D2" s="6"/>
      <c r="E2" s="6"/>
      <c r="F2" s="6"/>
      <c r="G2" s="6"/>
      <c r="H2" s="16"/>
    </row>
    <row r="3" spans="1:10" x14ac:dyDescent="0.2">
      <c r="C3" s="6" t="s">
        <v>2153</v>
      </c>
      <c r="D3" s="6"/>
      <c r="E3" s="6"/>
      <c r="F3" s="6"/>
      <c r="G3" s="6"/>
      <c r="H3" s="16"/>
    </row>
    <row r="4" spans="1:10" x14ac:dyDescent="0.2">
      <c r="C4" s="17"/>
      <c r="D4" s="17"/>
      <c r="E4" s="17"/>
      <c r="F4" s="18"/>
    </row>
    <row r="5" spans="1:10" ht="15" x14ac:dyDescent="0.25">
      <c r="C5" s="13" t="s">
        <v>2290</v>
      </c>
      <c r="D5" s="13" t="s">
        <v>2291</v>
      </c>
      <c r="E5" s="19" t="s">
        <v>2292</v>
      </c>
      <c r="F5" s="19"/>
      <c r="G5" s="19"/>
      <c r="H5"/>
      <c r="I5"/>
      <c r="J5" s="20"/>
    </row>
    <row r="6" spans="1:10" ht="15" x14ac:dyDescent="0.25">
      <c r="E6" s="19" t="s">
        <v>2356</v>
      </c>
      <c r="F6" s="19"/>
      <c r="G6" s="19"/>
      <c r="H6"/>
      <c r="I6"/>
      <c r="J6" s="20"/>
    </row>
    <row r="7" spans="1:10" x14ac:dyDescent="0.2">
      <c r="F7" s="21"/>
      <c r="G7" s="21"/>
      <c r="H7" s="21"/>
      <c r="I7" s="21"/>
      <c r="J7" s="20"/>
    </row>
    <row r="8" spans="1:10" ht="15" x14ac:dyDescent="0.25">
      <c r="G8" s="22">
        <v>45473</v>
      </c>
      <c r="H8" s="1"/>
      <c r="I8" s="13"/>
    </row>
    <row r="9" spans="1:10" ht="15" x14ac:dyDescent="0.25">
      <c r="G9" s="15"/>
      <c r="H9" s="1"/>
      <c r="I9" s="13"/>
    </row>
    <row r="10" spans="1:10" ht="15" x14ac:dyDescent="0.25">
      <c r="A10" s="23" t="s">
        <v>2293</v>
      </c>
      <c r="B10" s="23"/>
      <c r="C10" s="23"/>
      <c r="D10" s="23"/>
      <c r="G10" s="18">
        <f>F11+F12+F13</f>
        <v>1016869281.78</v>
      </c>
      <c r="H10" s="1"/>
      <c r="I10" s="13"/>
    </row>
    <row r="11" spans="1:10" ht="15" x14ac:dyDescent="0.25">
      <c r="B11" s="13" t="s">
        <v>2294</v>
      </c>
      <c r="F11" s="15">
        <v>989534600.13999999</v>
      </c>
      <c r="G11" s="15"/>
      <c r="H11" s="1"/>
      <c r="I11" s="13"/>
    </row>
    <row r="12" spans="1:10" ht="15" x14ac:dyDescent="0.25">
      <c r="B12" s="13" t="s">
        <v>2295</v>
      </c>
      <c r="G12" s="15"/>
      <c r="H12" s="1"/>
      <c r="I12" s="13"/>
    </row>
    <row r="13" spans="1:10" ht="15" x14ac:dyDescent="0.25">
      <c r="B13" s="13" t="s">
        <v>2296</v>
      </c>
      <c r="F13" s="15">
        <v>27334681.640000001</v>
      </c>
      <c r="G13" s="15"/>
      <c r="H13" s="1"/>
      <c r="I13" s="13"/>
    </row>
    <row r="14" spans="1:10" ht="15" x14ac:dyDescent="0.25">
      <c r="A14" s="23" t="s">
        <v>2297</v>
      </c>
      <c r="B14" s="23" t="s">
        <v>2298</v>
      </c>
      <c r="C14" s="23"/>
      <c r="D14" s="23"/>
      <c r="G14" s="18">
        <f>F15+F16</f>
        <v>-10360415.65</v>
      </c>
      <c r="H14" s="1"/>
      <c r="I14" s="13"/>
    </row>
    <row r="15" spans="1:10" ht="15" x14ac:dyDescent="0.25">
      <c r="B15" s="13" t="s">
        <v>2299</v>
      </c>
      <c r="F15" s="15">
        <v>-9172295.0999999996</v>
      </c>
      <c r="G15" s="15"/>
      <c r="H15" s="1"/>
      <c r="I15" s="13"/>
    </row>
    <row r="16" spans="1:10" ht="15" x14ac:dyDescent="0.25">
      <c r="B16" s="13" t="s">
        <v>2300</v>
      </c>
      <c r="F16" s="15">
        <v>-1188120.55</v>
      </c>
      <c r="G16" s="15"/>
      <c r="H16" s="1"/>
      <c r="I16" s="13"/>
    </row>
    <row r="17" spans="1:13" ht="15" x14ac:dyDescent="0.25">
      <c r="B17" s="13" t="s">
        <v>2301</v>
      </c>
      <c r="G17" s="15"/>
      <c r="H17" s="1"/>
      <c r="I17" s="13"/>
    </row>
    <row r="18" spans="1:13" ht="15" x14ac:dyDescent="0.25">
      <c r="A18" s="23" t="s">
        <v>2302</v>
      </c>
      <c r="B18" s="23" t="s">
        <v>2303</v>
      </c>
      <c r="C18" s="23"/>
      <c r="D18" s="23"/>
      <c r="G18" s="18">
        <f>G10+G14</f>
        <v>1006508866.13</v>
      </c>
      <c r="H18" s="1"/>
      <c r="I18" s="13"/>
    </row>
    <row r="19" spans="1:13" ht="15" x14ac:dyDescent="0.25">
      <c r="A19" s="23" t="s">
        <v>2304</v>
      </c>
      <c r="B19" s="23" t="s">
        <v>2305</v>
      </c>
      <c r="C19" s="23"/>
      <c r="D19" s="23"/>
      <c r="E19" s="23"/>
      <c r="G19" s="18">
        <f>F21+F22</f>
        <v>-949788581.83000004</v>
      </c>
      <c r="H19" s="1"/>
      <c r="I19" s="13"/>
    </row>
    <row r="20" spans="1:13" ht="15" x14ac:dyDescent="0.25">
      <c r="B20" s="13" t="s">
        <v>2306</v>
      </c>
      <c r="G20" s="15"/>
      <c r="H20" s="1"/>
      <c r="I20" s="13"/>
    </row>
    <row r="21" spans="1:13" ht="15" x14ac:dyDescent="0.25">
      <c r="B21" s="13" t="s">
        <v>2307</v>
      </c>
      <c r="F21" s="15">
        <v>-942132399.84000003</v>
      </c>
      <c r="G21" s="15"/>
      <c r="H21" s="1"/>
      <c r="I21" s="13"/>
    </row>
    <row r="22" spans="1:13" ht="15" x14ac:dyDescent="0.25">
      <c r="B22" s="13" t="s">
        <v>2308</v>
      </c>
      <c r="F22" s="15">
        <v>-7656181.9900000002</v>
      </c>
      <c r="G22" s="15"/>
      <c r="H22" s="1"/>
      <c r="I22" s="24"/>
      <c r="J22" s="24"/>
      <c r="K22" s="25"/>
    </row>
    <row r="23" spans="1:13" ht="15" x14ac:dyDescent="0.25">
      <c r="B23" s="13" t="s">
        <v>2309</v>
      </c>
      <c r="G23" s="15"/>
      <c r="H23" s="1"/>
      <c r="I23" s="13"/>
    </row>
    <row r="24" spans="1:13" ht="15" x14ac:dyDescent="0.25">
      <c r="B24" s="23" t="s">
        <v>2310</v>
      </c>
      <c r="C24" s="23"/>
      <c r="D24" s="23"/>
      <c r="E24" s="23"/>
      <c r="G24" s="18">
        <f>G18+G19</f>
        <v>56720284.299999952</v>
      </c>
      <c r="H24" s="1"/>
    </row>
    <row r="25" spans="1:13" ht="15" x14ac:dyDescent="0.25">
      <c r="A25" s="23" t="s">
        <v>2311</v>
      </c>
      <c r="B25" s="23" t="s">
        <v>2312</v>
      </c>
      <c r="C25" s="23"/>
      <c r="D25" s="23"/>
      <c r="E25" s="23"/>
      <c r="G25" s="18">
        <f>F27+F28</f>
        <v>-68661111.469999999</v>
      </c>
      <c r="H25" s="1"/>
    </row>
    <row r="26" spans="1:13" ht="15" x14ac:dyDescent="0.25">
      <c r="B26" s="13" t="s">
        <v>2313</v>
      </c>
      <c r="G26" s="15"/>
      <c r="H26" s="1"/>
    </row>
    <row r="27" spans="1:13" ht="15" x14ac:dyDescent="0.25">
      <c r="B27" s="13" t="s">
        <v>2314</v>
      </c>
      <c r="F27" s="15">
        <v>-59745710.030000001</v>
      </c>
      <c r="G27" s="15"/>
      <c r="H27" s="1"/>
      <c r="J27" s="24"/>
      <c r="K27" s="24"/>
      <c r="M27" s="24"/>
    </row>
    <row r="28" spans="1:13" ht="15" x14ac:dyDescent="0.25">
      <c r="B28" s="13" t="s">
        <v>2315</v>
      </c>
      <c r="F28" s="15">
        <v>-8915401.4399999995</v>
      </c>
      <c r="G28" s="15"/>
      <c r="H28" s="1"/>
      <c r="I28" s="24"/>
      <c r="J28" s="24"/>
      <c r="K28" s="25"/>
    </row>
    <row r="29" spans="1:13" ht="15" x14ac:dyDescent="0.25">
      <c r="A29" s="23"/>
      <c r="B29" s="23" t="s">
        <v>2316</v>
      </c>
      <c r="C29" s="23"/>
      <c r="D29" s="23"/>
      <c r="E29" s="23"/>
      <c r="G29" s="18">
        <f>G24+G25</f>
        <v>-11940827.170000046</v>
      </c>
      <c r="H29" s="1"/>
      <c r="I29" s="13"/>
    </row>
    <row r="30" spans="1:13" ht="15" x14ac:dyDescent="0.25">
      <c r="A30" s="23" t="s">
        <v>2317</v>
      </c>
      <c r="B30" s="23" t="s">
        <v>2318</v>
      </c>
      <c r="C30" s="23"/>
      <c r="D30" s="23"/>
      <c r="E30" s="23"/>
      <c r="G30" s="18">
        <f>F32+F33+F34+F35+F38+F37+F36</f>
        <v>41494971.100000001</v>
      </c>
      <c r="H30" s="1"/>
      <c r="I30" s="13"/>
    </row>
    <row r="31" spans="1:13" ht="15" x14ac:dyDescent="0.25">
      <c r="B31" s="13" t="s">
        <v>2319</v>
      </c>
      <c r="G31" s="15"/>
      <c r="H31" s="1"/>
      <c r="I31" s="13"/>
    </row>
    <row r="32" spans="1:13" ht="15" x14ac:dyDescent="0.25">
      <c r="B32" s="13" t="s">
        <v>2320</v>
      </c>
      <c r="G32" s="15"/>
      <c r="H32" s="1"/>
      <c r="I32" s="13"/>
    </row>
    <row r="33" spans="1:9" ht="15" x14ac:dyDescent="0.25">
      <c r="B33" s="13" t="s">
        <v>2321</v>
      </c>
      <c r="F33" s="15">
        <v>700644.39</v>
      </c>
      <c r="G33" s="15"/>
      <c r="H33" s="1"/>
      <c r="I33" s="13"/>
    </row>
    <row r="34" spans="1:9" ht="15" x14ac:dyDescent="0.25">
      <c r="B34" s="13" t="s">
        <v>2322</v>
      </c>
      <c r="G34" s="15"/>
      <c r="H34" s="1"/>
      <c r="I34" s="13"/>
    </row>
    <row r="35" spans="1:9" ht="15" x14ac:dyDescent="0.25">
      <c r="B35" s="13" t="s">
        <v>2323</v>
      </c>
      <c r="F35" s="15">
        <v>3849876.1</v>
      </c>
      <c r="G35" s="15"/>
      <c r="H35" s="1"/>
      <c r="I35" s="13"/>
    </row>
    <row r="36" spans="1:9" ht="15" x14ac:dyDescent="0.25">
      <c r="B36" s="13" t="s">
        <v>2324</v>
      </c>
      <c r="F36" s="15">
        <v>65020.87</v>
      </c>
      <c r="G36" s="15"/>
      <c r="H36" s="1"/>
      <c r="I36" s="13"/>
    </row>
    <row r="37" spans="1:9" ht="15" x14ac:dyDescent="0.25">
      <c r="B37" s="13" t="s">
        <v>2325</v>
      </c>
      <c r="F37" s="15">
        <v>36729612.450000003</v>
      </c>
      <c r="G37" s="15"/>
      <c r="H37" s="1"/>
      <c r="I37" s="13"/>
    </row>
    <row r="38" spans="1:9" ht="15" x14ac:dyDescent="0.25">
      <c r="B38" s="13" t="s">
        <v>2326</v>
      </c>
      <c r="F38" s="15">
        <v>149817.29</v>
      </c>
      <c r="G38" s="15"/>
      <c r="H38" s="1"/>
      <c r="I38" s="13"/>
    </row>
    <row r="39" spans="1:9" ht="15" x14ac:dyDescent="0.25">
      <c r="B39" s="13" t="s">
        <v>2327</v>
      </c>
      <c r="C39" s="13" t="s">
        <v>2328</v>
      </c>
      <c r="G39" s="15"/>
      <c r="H39" s="1"/>
      <c r="I39" s="13"/>
    </row>
    <row r="40" spans="1:9" ht="15" x14ac:dyDescent="0.25">
      <c r="A40" s="23" t="s">
        <v>2329</v>
      </c>
      <c r="B40" s="23" t="s">
        <v>2330</v>
      </c>
      <c r="C40" s="23"/>
      <c r="D40" s="23"/>
      <c r="E40" s="23"/>
      <c r="G40" s="18">
        <f>F42+F44+F43+F45</f>
        <v>-62574104.230000004</v>
      </c>
      <c r="H40" s="1"/>
      <c r="I40" s="13"/>
    </row>
    <row r="41" spans="1:9" ht="15" x14ac:dyDescent="0.25">
      <c r="B41" s="13" t="s">
        <v>2331</v>
      </c>
      <c r="G41" s="15"/>
      <c r="H41" s="1"/>
      <c r="I41" s="13"/>
    </row>
    <row r="42" spans="1:9" ht="15" x14ac:dyDescent="0.25">
      <c r="B42" s="13" t="s">
        <v>2332</v>
      </c>
      <c r="F42" s="15">
        <v>-31016200.32</v>
      </c>
      <c r="G42" s="15"/>
      <c r="H42" s="1"/>
      <c r="I42" s="13"/>
    </row>
    <row r="43" spans="1:9" ht="15" x14ac:dyDescent="0.25">
      <c r="B43" s="13" t="s">
        <v>2333</v>
      </c>
      <c r="F43" s="15">
        <v>-32646.99</v>
      </c>
      <c r="G43" s="15"/>
      <c r="H43" s="1"/>
      <c r="I43" s="13"/>
    </row>
    <row r="44" spans="1:9" ht="15" x14ac:dyDescent="0.25">
      <c r="B44" s="13" t="s">
        <v>2334</v>
      </c>
      <c r="G44" s="15"/>
      <c r="H44" s="1"/>
      <c r="I44" s="13"/>
    </row>
    <row r="45" spans="1:9" ht="15" x14ac:dyDescent="0.25">
      <c r="B45" s="13" t="s">
        <v>2353</v>
      </c>
      <c r="F45" s="15">
        <v>-31525256.920000002</v>
      </c>
      <c r="G45" s="15"/>
      <c r="H45" s="1"/>
      <c r="I45" s="13"/>
    </row>
    <row r="46" spans="1:9" ht="15" x14ac:dyDescent="0.25">
      <c r="B46" s="13" t="s">
        <v>2354</v>
      </c>
      <c r="G46" s="15"/>
      <c r="H46" s="1"/>
      <c r="I46" s="13"/>
    </row>
    <row r="47" spans="1:9" ht="15" x14ac:dyDescent="0.25">
      <c r="B47" s="13" t="s">
        <v>2355</v>
      </c>
      <c r="G47" s="15"/>
      <c r="H47" s="1"/>
      <c r="I47" s="13"/>
    </row>
    <row r="48" spans="1:9" ht="15" x14ac:dyDescent="0.25">
      <c r="A48" s="23" t="s">
        <v>2335</v>
      </c>
      <c r="B48" s="23" t="s">
        <v>2336</v>
      </c>
      <c r="C48" s="23"/>
      <c r="D48" s="23"/>
      <c r="E48" s="23"/>
      <c r="G48" s="18">
        <f>F49</f>
        <v>-16185592.4</v>
      </c>
      <c r="H48" s="1"/>
      <c r="I48" s="13"/>
    </row>
    <row r="49" spans="1:10" ht="15" x14ac:dyDescent="0.25">
      <c r="B49" s="13" t="s">
        <v>2337</v>
      </c>
      <c r="F49" s="15">
        <v>-16185592.4</v>
      </c>
      <c r="G49" s="15"/>
      <c r="H49" s="1"/>
      <c r="I49" s="13"/>
    </row>
    <row r="50" spans="1:10" ht="15" x14ac:dyDescent="0.25">
      <c r="B50" s="13" t="s">
        <v>2338</v>
      </c>
      <c r="G50" s="15"/>
      <c r="H50" s="1"/>
      <c r="I50" s="13"/>
    </row>
    <row r="51" spans="1:10" ht="15" x14ac:dyDescent="0.25">
      <c r="A51" s="23"/>
      <c r="B51" s="23" t="s">
        <v>2339</v>
      </c>
      <c r="C51" s="23"/>
      <c r="D51" s="23"/>
      <c r="E51" s="23"/>
      <c r="G51" s="18">
        <f>G29+G30+G48+G40</f>
        <v>-49205552.700000048</v>
      </c>
      <c r="H51" s="1"/>
      <c r="I51" s="13"/>
    </row>
    <row r="52" spans="1:10" ht="15" x14ac:dyDescent="0.25">
      <c r="A52" s="23" t="s">
        <v>2340</v>
      </c>
      <c r="B52" s="23" t="s">
        <v>2341</v>
      </c>
      <c r="C52" s="23"/>
      <c r="D52" s="23"/>
      <c r="E52" s="23"/>
      <c r="G52" s="18">
        <f>F54</f>
        <v>1018406.22</v>
      </c>
      <c r="H52" s="1"/>
      <c r="I52" s="13"/>
    </row>
    <row r="53" spans="1:10" ht="15" x14ac:dyDescent="0.25">
      <c r="B53" s="13" t="s">
        <v>2342</v>
      </c>
      <c r="G53" s="15"/>
      <c r="H53" s="1"/>
      <c r="I53" s="13"/>
    </row>
    <row r="54" spans="1:10" ht="15" x14ac:dyDescent="0.25">
      <c r="B54" s="13" t="s">
        <v>2343</v>
      </c>
      <c r="F54" s="15">
        <v>1018406.22</v>
      </c>
      <c r="G54" s="15"/>
      <c r="H54" s="1"/>
      <c r="I54" s="13"/>
    </row>
    <row r="55" spans="1:10" ht="15" x14ac:dyDescent="0.25">
      <c r="A55" s="23" t="s">
        <v>2344</v>
      </c>
      <c r="B55" s="23" t="s">
        <v>2345</v>
      </c>
      <c r="C55" s="23"/>
      <c r="D55" s="23"/>
      <c r="E55" s="23"/>
      <c r="G55" s="18">
        <f>F58</f>
        <v>0</v>
      </c>
      <c r="H55" s="1"/>
      <c r="I55" s="13"/>
    </row>
    <row r="56" spans="1:10" ht="15" x14ac:dyDescent="0.25">
      <c r="B56" s="13" t="s">
        <v>2346</v>
      </c>
      <c r="G56" s="18"/>
      <c r="H56" s="1"/>
      <c r="I56" s="13"/>
    </row>
    <row r="57" spans="1:10" ht="15" x14ac:dyDescent="0.25">
      <c r="B57" s="13" t="s">
        <v>2347</v>
      </c>
      <c r="G57" s="15"/>
      <c r="H57" s="1"/>
      <c r="I57" s="13"/>
    </row>
    <row r="58" spans="1:10" ht="15" x14ac:dyDescent="0.25">
      <c r="B58" s="13" t="s">
        <v>2348</v>
      </c>
      <c r="G58" s="15"/>
      <c r="H58" s="1"/>
      <c r="I58" s="13"/>
    </row>
    <row r="59" spans="1:10" ht="15" x14ac:dyDescent="0.25">
      <c r="B59" s="23" t="s">
        <v>2349</v>
      </c>
      <c r="C59" s="23"/>
      <c r="D59" s="23"/>
      <c r="E59" s="23"/>
      <c r="G59" s="18">
        <f>G51+G52+G55</f>
        <v>-48187146.480000049</v>
      </c>
      <c r="H59" s="1"/>
      <c r="I59" s="13"/>
    </row>
    <row r="60" spans="1:10" ht="15" x14ac:dyDescent="0.25">
      <c r="A60" s="23" t="s">
        <v>2350</v>
      </c>
      <c r="B60" s="23" t="s">
        <v>2351</v>
      </c>
      <c r="C60" s="23"/>
      <c r="D60" s="23"/>
      <c r="E60" s="23"/>
      <c r="G60" s="18">
        <v>0</v>
      </c>
      <c r="H60" s="1"/>
      <c r="I60" s="24"/>
    </row>
    <row r="61" spans="1:10" ht="15" x14ac:dyDescent="0.25">
      <c r="A61" s="23"/>
      <c r="B61" s="23" t="s">
        <v>2352</v>
      </c>
      <c r="C61" s="23"/>
      <c r="D61" s="23"/>
      <c r="E61" s="23"/>
      <c r="G61" s="18">
        <f>SUM(G59:G60)</f>
        <v>-48187146.480000049</v>
      </c>
      <c r="H61" s="1"/>
      <c r="I61" s="13"/>
    </row>
    <row r="62" spans="1:10" ht="15" x14ac:dyDescent="0.25">
      <c r="A62" s="23"/>
      <c r="B62" s="23"/>
      <c r="C62" s="23"/>
      <c r="D62" s="23"/>
      <c r="E62" s="23"/>
      <c r="F62"/>
      <c r="G62" s="15"/>
      <c r="H62"/>
      <c r="J62" s="1"/>
    </row>
    <row r="63" spans="1:10" ht="15" x14ac:dyDescent="0.25">
      <c r="G63" s="15"/>
      <c r="H63" s="1"/>
      <c r="I63" s="1"/>
      <c r="J63" s="1"/>
    </row>
    <row r="64" spans="1:10" ht="15" x14ac:dyDescent="0.25">
      <c r="G64" s="15"/>
      <c r="H64" s="1"/>
      <c r="I64" s="1"/>
      <c r="J64" s="1"/>
    </row>
    <row r="65" spans="7:10" ht="15" x14ac:dyDescent="0.25">
      <c r="G65" s="15"/>
      <c r="H65" s="1"/>
      <c r="I65" s="1"/>
      <c r="J65" s="1"/>
    </row>
    <row r="66" spans="7:10" ht="15" x14ac:dyDescent="0.25">
      <c r="G66" s="15"/>
      <c r="H66" s="1"/>
      <c r="I66" s="1"/>
      <c r="J66" s="1"/>
    </row>
    <row r="67" spans="7:10" ht="15" x14ac:dyDescent="0.25">
      <c r="G67" s="15"/>
      <c r="H67" s="1"/>
      <c r="I67" s="1"/>
      <c r="J67" s="1"/>
    </row>
    <row r="68" spans="7:10" ht="15" x14ac:dyDescent="0.25">
      <c r="H68" s="1"/>
      <c r="I68" s="1"/>
      <c r="J68" s="1"/>
    </row>
    <row r="69" spans="7:10" ht="15" x14ac:dyDescent="0.25">
      <c r="H69" s="1"/>
      <c r="I69" s="1"/>
      <c r="J69" s="1"/>
    </row>
    <row r="70" spans="7:10" ht="15" x14ac:dyDescent="0.25">
      <c r="H70" s="1"/>
      <c r="I70" s="1"/>
      <c r="J70" s="1"/>
    </row>
    <row r="71" spans="7:10" ht="15" x14ac:dyDescent="0.25">
      <c r="H71" s="1"/>
      <c r="I71" s="1"/>
      <c r="J71" s="1"/>
    </row>
    <row r="72" spans="7:10" ht="15" x14ac:dyDescent="0.25">
      <c r="H72" s="1"/>
      <c r="I72" s="1"/>
      <c r="J72" s="1"/>
    </row>
    <row r="73" spans="7:10" ht="15" x14ac:dyDescent="0.25">
      <c r="H73" s="1"/>
      <c r="I73" s="1"/>
      <c r="J73" s="1"/>
    </row>
    <row r="74" spans="7:10" ht="15" x14ac:dyDescent="0.25">
      <c r="H74" s="1"/>
      <c r="I74" s="1"/>
      <c r="J74" s="1"/>
    </row>
    <row r="75" spans="7:10" ht="15" x14ac:dyDescent="0.25">
      <c r="H75" s="1"/>
      <c r="I75" s="1"/>
      <c r="J75" s="1"/>
    </row>
    <row r="76" spans="7:10" ht="15" x14ac:dyDescent="0.25">
      <c r="H76" s="1"/>
      <c r="I76" s="1"/>
      <c r="J76" s="1"/>
    </row>
    <row r="77" spans="7:10" ht="15" x14ac:dyDescent="0.25">
      <c r="H77" s="1"/>
      <c r="I77" s="1"/>
      <c r="J77" s="1"/>
    </row>
    <row r="78" spans="7:10" ht="15" x14ac:dyDescent="0.25">
      <c r="H78" s="1"/>
      <c r="I78" s="1"/>
      <c r="J78" s="1"/>
    </row>
    <row r="79" spans="7:10" ht="15" x14ac:dyDescent="0.25">
      <c r="H79" s="1"/>
      <c r="I79" s="1"/>
      <c r="J79" s="1"/>
    </row>
    <row r="80" spans="7:10" ht="15" x14ac:dyDescent="0.25">
      <c r="H80" s="1"/>
      <c r="I80" s="1"/>
      <c r="J80" s="1"/>
    </row>
    <row r="81" spans="8:10" ht="15" x14ac:dyDescent="0.25">
      <c r="H81" s="1"/>
      <c r="I81" s="1"/>
      <c r="J81" s="1"/>
    </row>
    <row r="82" spans="8:10" ht="15" x14ac:dyDescent="0.25">
      <c r="H82"/>
      <c r="I82" s="1"/>
      <c r="J82" s="1"/>
    </row>
    <row r="83" spans="8:10" ht="15" x14ac:dyDescent="0.25">
      <c r="H83"/>
      <c r="I83" s="1"/>
      <c r="J83" s="1"/>
    </row>
    <row r="84" spans="8:10" ht="15" x14ac:dyDescent="0.25">
      <c r="H84" s="1"/>
      <c r="I84" s="1"/>
      <c r="J84" s="1"/>
    </row>
    <row r="85" spans="8:10" ht="15" x14ac:dyDescent="0.25">
      <c r="H85" s="1"/>
      <c r="I85" s="1"/>
      <c r="J85" s="1"/>
    </row>
    <row r="86" spans="8:10" ht="15" x14ac:dyDescent="0.25">
      <c r="H86" s="1"/>
      <c r="I86" s="1"/>
      <c r="J86" s="1"/>
    </row>
    <row r="87" spans="8:10" ht="15" x14ac:dyDescent="0.25">
      <c r="H87" s="1"/>
      <c r="I87" s="1"/>
      <c r="J87" s="1"/>
    </row>
    <row r="88" spans="8:10" ht="15" x14ac:dyDescent="0.25">
      <c r="H88" s="1"/>
      <c r="I88" s="1"/>
      <c r="J88" s="1"/>
    </row>
    <row r="89" spans="8:10" ht="15" x14ac:dyDescent="0.25">
      <c r="H89" s="1"/>
      <c r="I89" s="1"/>
      <c r="J89" s="1"/>
    </row>
    <row r="90" spans="8:10" ht="15" x14ac:dyDescent="0.25">
      <c r="H90" s="1"/>
      <c r="I90" s="1"/>
      <c r="J90" s="1"/>
    </row>
    <row r="91" spans="8:10" ht="15" x14ac:dyDescent="0.25">
      <c r="H91" s="1"/>
      <c r="I91" s="1"/>
      <c r="J91" s="1"/>
    </row>
    <row r="92" spans="8:10" ht="15" x14ac:dyDescent="0.25">
      <c r="H92" s="1"/>
      <c r="I92" s="1"/>
      <c r="J92" s="1"/>
    </row>
    <row r="93" spans="8:10" ht="15" x14ac:dyDescent="0.25">
      <c r="H93" s="1"/>
      <c r="I93" s="1"/>
      <c r="J93" s="1"/>
    </row>
    <row r="94" spans="8:10" ht="15" x14ac:dyDescent="0.25">
      <c r="H94" s="1"/>
      <c r="I94" s="1"/>
      <c r="J94" s="1"/>
    </row>
    <row r="95" spans="8:10" ht="15" x14ac:dyDescent="0.25">
      <c r="H95" s="1"/>
      <c r="I95" s="1"/>
      <c r="J95" s="1"/>
    </row>
    <row r="96" spans="8:10" ht="15" x14ac:dyDescent="0.25">
      <c r="H96" s="1"/>
      <c r="I96" s="1"/>
      <c r="J96" s="1"/>
    </row>
    <row r="97" spans="8:10" ht="15" x14ac:dyDescent="0.25">
      <c r="H97" s="1"/>
      <c r="I97" s="1"/>
      <c r="J97" s="1"/>
    </row>
    <row r="98" spans="8:10" ht="15" x14ac:dyDescent="0.25">
      <c r="H98" s="1"/>
      <c r="I98" s="1"/>
      <c r="J98" s="1"/>
    </row>
    <row r="99" spans="8:10" ht="15" x14ac:dyDescent="0.25">
      <c r="H99" s="1"/>
      <c r="I99" s="1"/>
      <c r="J99" s="1"/>
    </row>
    <row r="100" spans="8:10" ht="15" x14ac:dyDescent="0.25">
      <c r="H100" s="1"/>
      <c r="I100" s="1"/>
      <c r="J100" s="1"/>
    </row>
    <row r="101" spans="8:10" ht="15" x14ac:dyDescent="0.25">
      <c r="H101" s="1"/>
      <c r="I101" s="1"/>
      <c r="J101" s="1"/>
    </row>
    <row r="102" spans="8:10" ht="15" x14ac:dyDescent="0.25">
      <c r="H102" s="1"/>
      <c r="I102" s="1"/>
      <c r="J102" s="1"/>
    </row>
    <row r="103" spans="8:10" ht="15" x14ac:dyDescent="0.25">
      <c r="H103" s="1"/>
      <c r="I103" s="1"/>
      <c r="J103" s="1"/>
    </row>
    <row r="104" spans="8:10" ht="15" x14ac:dyDescent="0.25">
      <c r="H104" s="1"/>
      <c r="I104" s="1"/>
      <c r="J104" s="1"/>
    </row>
    <row r="105" spans="8:10" ht="15" x14ac:dyDescent="0.25">
      <c r="H105" s="1"/>
      <c r="I105" s="1"/>
      <c r="J105" s="1"/>
    </row>
    <row r="106" spans="8:10" ht="15" x14ac:dyDescent="0.25">
      <c r="H106" s="1"/>
      <c r="I106" s="1"/>
      <c r="J106" s="1"/>
    </row>
    <row r="107" spans="8:10" ht="15" x14ac:dyDescent="0.25">
      <c r="H107" s="1"/>
      <c r="I107" s="1"/>
      <c r="J107" s="1"/>
    </row>
    <row r="108" spans="8:10" ht="15" x14ac:dyDescent="0.25">
      <c r="H108" s="1"/>
      <c r="I108" s="1"/>
      <c r="J108" s="1"/>
    </row>
    <row r="109" spans="8:10" ht="15" x14ac:dyDescent="0.25">
      <c r="H109" s="1"/>
      <c r="I109" s="1"/>
      <c r="J109" s="1"/>
    </row>
    <row r="110" spans="8:10" ht="15" x14ac:dyDescent="0.25">
      <c r="H110" s="1"/>
      <c r="I110" s="1"/>
      <c r="J110" s="1"/>
    </row>
    <row r="111" spans="8:10" ht="15" x14ac:dyDescent="0.25">
      <c r="H111" s="1"/>
      <c r="I111" s="1"/>
      <c r="J111" s="1"/>
    </row>
    <row r="112" spans="8:10" ht="15" x14ac:dyDescent="0.25">
      <c r="H112" s="1"/>
      <c r="I112" s="1"/>
      <c r="J112" s="1"/>
    </row>
    <row r="113" spans="8:10" ht="15" x14ac:dyDescent="0.25">
      <c r="H113" s="1"/>
      <c r="I113" s="1"/>
      <c r="J113" s="1"/>
    </row>
    <row r="114" spans="8:10" ht="15" x14ac:dyDescent="0.25">
      <c r="H114" s="1"/>
      <c r="I114" s="1"/>
      <c r="J114" s="1"/>
    </row>
    <row r="115" spans="8:10" ht="15" x14ac:dyDescent="0.25">
      <c r="H115" s="1"/>
      <c r="I115" s="1"/>
      <c r="J115" s="1"/>
    </row>
    <row r="116" spans="8:10" ht="15" x14ac:dyDescent="0.25">
      <c r="H116" s="1"/>
      <c r="I116" s="1"/>
      <c r="J116" s="1"/>
    </row>
    <row r="117" spans="8:10" ht="15" x14ac:dyDescent="0.25">
      <c r="H117" s="1"/>
      <c r="I117" s="1"/>
      <c r="J117" s="1"/>
    </row>
    <row r="118" spans="8:10" ht="15" x14ac:dyDescent="0.25">
      <c r="H118" s="1"/>
      <c r="I118" s="1"/>
      <c r="J118" s="1"/>
    </row>
    <row r="119" spans="8:10" ht="15" x14ac:dyDescent="0.25">
      <c r="H119" s="1"/>
      <c r="I119" s="1"/>
      <c r="J119" s="1"/>
    </row>
    <row r="120" spans="8:10" ht="15" x14ac:dyDescent="0.25">
      <c r="H120" s="1"/>
      <c r="I120" s="1"/>
      <c r="J120" s="1"/>
    </row>
    <row r="121" spans="8:10" ht="15" x14ac:dyDescent="0.25">
      <c r="H121" s="1"/>
      <c r="I121" s="1"/>
      <c r="J121" s="1"/>
    </row>
    <row r="122" spans="8:10" ht="15" x14ac:dyDescent="0.25">
      <c r="H122" s="1"/>
      <c r="I122" s="1"/>
      <c r="J122" s="1"/>
    </row>
    <row r="123" spans="8:10" ht="15" x14ac:dyDescent="0.25">
      <c r="H123" s="1"/>
      <c r="I123" s="1"/>
      <c r="J123" s="1"/>
    </row>
    <row r="124" spans="8:10" ht="15" x14ac:dyDescent="0.25">
      <c r="H124" s="1"/>
      <c r="I124" s="1"/>
      <c r="J124" s="1"/>
    </row>
    <row r="125" spans="8:10" ht="15" x14ac:dyDescent="0.25">
      <c r="H125" s="1"/>
      <c r="I125" s="1"/>
      <c r="J125" s="1"/>
    </row>
    <row r="126" spans="8:10" ht="15" x14ac:dyDescent="0.25">
      <c r="H126" s="1"/>
      <c r="I126" s="1"/>
      <c r="J126" s="1"/>
    </row>
    <row r="127" spans="8:10" ht="15" x14ac:dyDescent="0.25">
      <c r="H127" s="1"/>
      <c r="I127" s="1"/>
      <c r="J127" s="1"/>
    </row>
    <row r="128" spans="8:10" ht="15" x14ac:dyDescent="0.25">
      <c r="H128" s="1"/>
      <c r="I128" s="1"/>
      <c r="J128" s="1"/>
    </row>
    <row r="129" spans="8:10" ht="15" x14ac:dyDescent="0.25">
      <c r="H129" s="1"/>
      <c r="I129" s="1"/>
      <c r="J129" s="1"/>
    </row>
    <row r="130" spans="8:10" ht="15" x14ac:dyDescent="0.25">
      <c r="H130" s="1"/>
      <c r="I130" s="1"/>
      <c r="J130" s="1"/>
    </row>
    <row r="131" spans="8:10" ht="15" x14ac:dyDescent="0.25">
      <c r="H131" s="1"/>
      <c r="I131" s="1"/>
      <c r="J131" s="1"/>
    </row>
    <row r="132" spans="8:10" ht="15" x14ac:dyDescent="0.25">
      <c r="H132" s="1"/>
      <c r="I132" s="1"/>
      <c r="J132" s="1"/>
    </row>
    <row r="133" spans="8:10" ht="15" x14ac:dyDescent="0.25">
      <c r="H133" s="1"/>
      <c r="I133" s="1"/>
      <c r="J133" s="1"/>
    </row>
    <row r="134" spans="8:10" ht="15" x14ac:dyDescent="0.25">
      <c r="H134" s="1"/>
      <c r="I134" s="1"/>
      <c r="J134" s="1"/>
    </row>
    <row r="135" spans="8:10" ht="15" x14ac:dyDescent="0.25">
      <c r="H135" s="1"/>
      <c r="I135" s="1"/>
      <c r="J135" s="1"/>
    </row>
    <row r="136" spans="8:10" ht="15" x14ac:dyDescent="0.25">
      <c r="H136" s="1"/>
      <c r="I136" s="1"/>
      <c r="J136" s="1"/>
    </row>
    <row r="137" spans="8:10" ht="15" x14ac:dyDescent="0.25">
      <c r="H137" s="1"/>
      <c r="I137" s="1"/>
      <c r="J137" s="1"/>
    </row>
    <row r="138" spans="8:10" ht="15" x14ac:dyDescent="0.25">
      <c r="H138" s="1"/>
      <c r="I138" s="1"/>
      <c r="J138" s="1"/>
    </row>
    <row r="139" spans="8:10" ht="15" x14ac:dyDescent="0.25">
      <c r="H139" s="1"/>
      <c r="I139" s="1"/>
      <c r="J139" s="1"/>
    </row>
    <row r="140" spans="8:10" ht="15" x14ac:dyDescent="0.25">
      <c r="H140" s="1"/>
      <c r="I140" s="1"/>
      <c r="J140" s="1"/>
    </row>
    <row r="141" spans="8:10" ht="15" x14ac:dyDescent="0.25">
      <c r="H141" s="1"/>
      <c r="I141" s="1"/>
      <c r="J141" s="1"/>
    </row>
    <row r="142" spans="8:10" ht="15" x14ac:dyDescent="0.25">
      <c r="H142" s="1"/>
      <c r="I142" s="1"/>
      <c r="J142" s="1"/>
    </row>
    <row r="143" spans="8:10" ht="15" x14ac:dyDescent="0.25">
      <c r="H143" s="1"/>
      <c r="I143" s="1"/>
      <c r="J143" s="1"/>
    </row>
    <row r="144" spans="8:10" ht="15" x14ac:dyDescent="0.25">
      <c r="H144" s="1"/>
      <c r="I144" s="1"/>
      <c r="J144" s="1"/>
    </row>
    <row r="145" spans="8:10" ht="15" x14ac:dyDescent="0.25">
      <c r="H145" s="1"/>
      <c r="I145" s="1"/>
      <c r="J145" s="1"/>
    </row>
    <row r="146" spans="8:10" ht="15" x14ac:dyDescent="0.25">
      <c r="H146" s="1"/>
      <c r="I146" s="1"/>
      <c r="J146" s="1"/>
    </row>
    <row r="147" spans="8:10" ht="15" x14ac:dyDescent="0.25">
      <c r="H147" s="1"/>
      <c r="I147" s="1"/>
      <c r="J147" s="1"/>
    </row>
    <row r="148" spans="8:10" ht="15" x14ac:dyDescent="0.25">
      <c r="H148" s="1"/>
      <c r="I148" s="1"/>
      <c r="J148" s="1"/>
    </row>
    <row r="149" spans="8:10" ht="15" x14ac:dyDescent="0.25">
      <c r="H149" s="1"/>
      <c r="I149" s="1"/>
      <c r="J149" s="1"/>
    </row>
    <row r="150" spans="8:10" ht="15" x14ac:dyDescent="0.25">
      <c r="H150" s="1"/>
      <c r="I150" s="1"/>
      <c r="J150" s="1"/>
    </row>
    <row r="151" spans="8:10" ht="15" x14ac:dyDescent="0.25">
      <c r="H151" s="1"/>
      <c r="I151" s="1"/>
      <c r="J151" s="1"/>
    </row>
    <row r="152" spans="8:10" ht="15" x14ac:dyDescent="0.25">
      <c r="H152" s="1"/>
      <c r="I152" s="1"/>
      <c r="J152" s="1"/>
    </row>
    <row r="153" spans="8:10" ht="15" x14ac:dyDescent="0.25">
      <c r="H153" s="1"/>
      <c r="I153" s="1"/>
      <c r="J153" s="1"/>
    </row>
    <row r="154" spans="8:10" ht="15" x14ac:dyDescent="0.25">
      <c r="J154" s="1"/>
    </row>
  </sheetData>
  <pageMargins left="0.70866141732283472" right="0.70866141732283472" top="0.15748031496062992" bottom="0.15748031496062992" header="0.31496062992125984" footer="0.31496062992125984"/>
  <pageSetup paperSize="9" scale="92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DA1A-6D05-4A70-8D67-FD5F7ACF9EC8}">
  <dimension ref="A1:I3918"/>
  <sheetViews>
    <sheetView topLeftCell="A3362" workbookViewId="0">
      <selection activeCell="G3373" sqref="G3373"/>
    </sheetView>
  </sheetViews>
  <sheetFormatPr defaultRowHeight="15" x14ac:dyDescent="0.25"/>
  <cols>
    <col min="1" max="1" width="79" bestFit="1" customWidth="1"/>
    <col min="2" max="4" width="19.28515625" bestFit="1" customWidth="1"/>
    <col min="7" max="7" width="12.7109375" bestFit="1" customWidth="1"/>
    <col min="8" max="8" width="11.5703125" bestFit="1" customWidth="1"/>
    <col min="9" max="9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4" spans="1:4" x14ac:dyDescent="0.25">
      <c r="A4" t="s">
        <v>5</v>
      </c>
    </row>
    <row r="6" spans="1:4" x14ac:dyDescent="0.25">
      <c r="A6" t="s">
        <v>6</v>
      </c>
    </row>
    <row r="8" spans="1:4" x14ac:dyDescent="0.25">
      <c r="A8" t="s">
        <v>7</v>
      </c>
      <c r="B8" s="1">
        <v>1388141.06</v>
      </c>
      <c r="C8" s="1">
        <v>1388115.88</v>
      </c>
      <c r="D8">
        <v>25.18</v>
      </c>
    </row>
    <row r="9" spans="1:4" x14ac:dyDescent="0.25">
      <c r="B9" t="s">
        <v>8</v>
      </c>
      <c r="C9" t="s">
        <v>8</v>
      </c>
      <c r="D9" t="s">
        <v>8</v>
      </c>
    </row>
    <row r="10" spans="1:4" x14ac:dyDescent="0.25">
      <c r="A10" t="s">
        <v>9</v>
      </c>
      <c r="B10" s="1">
        <v>1388141.06</v>
      </c>
      <c r="C10" s="1">
        <v>1388115.88</v>
      </c>
      <c r="D10">
        <v>25.18</v>
      </c>
    </row>
    <row r="12" spans="1:4" x14ac:dyDescent="0.25">
      <c r="A12" t="s">
        <v>10</v>
      </c>
    </row>
    <row r="13" spans="1:4" x14ac:dyDescent="0.25">
      <c r="B13" t="s">
        <v>8</v>
      </c>
      <c r="C13" t="s">
        <v>8</v>
      </c>
      <c r="D13" t="s">
        <v>8</v>
      </c>
    </row>
    <row r="14" spans="1:4" x14ac:dyDescent="0.25">
      <c r="A14" t="s">
        <v>11</v>
      </c>
    </row>
    <row r="16" spans="1:4" x14ac:dyDescent="0.25">
      <c r="B16" t="s">
        <v>8</v>
      </c>
      <c r="C16" t="s">
        <v>8</v>
      </c>
      <c r="D16" t="s">
        <v>8</v>
      </c>
    </row>
    <row r="17" spans="1:4" x14ac:dyDescent="0.25">
      <c r="A17" t="s">
        <v>12</v>
      </c>
      <c r="B17" s="1">
        <v>1388141.06</v>
      </c>
      <c r="C17" s="1">
        <v>1388115.88</v>
      </c>
      <c r="D17">
        <v>25.18</v>
      </c>
    </row>
    <row r="19" spans="1:4" x14ac:dyDescent="0.25">
      <c r="A19" t="s">
        <v>13</v>
      </c>
    </row>
    <row r="21" spans="1:4" x14ac:dyDescent="0.25">
      <c r="A21" t="s">
        <v>14</v>
      </c>
    </row>
    <row r="23" spans="1:4" x14ac:dyDescent="0.25">
      <c r="A23" t="s">
        <v>15</v>
      </c>
      <c r="B23" s="1">
        <v>475606188.91000003</v>
      </c>
      <c r="C23" s="1">
        <v>443592348.16000003</v>
      </c>
      <c r="D23" s="1">
        <v>32013840.75</v>
      </c>
    </row>
    <row r="24" spans="1:4" x14ac:dyDescent="0.25">
      <c r="B24" t="s">
        <v>8</v>
      </c>
      <c r="C24" t="s">
        <v>8</v>
      </c>
      <c r="D24" t="s">
        <v>8</v>
      </c>
    </row>
    <row r="25" spans="1:4" x14ac:dyDescent="0.25">
      <c r="A25" t="s">
        <v>16</v>
      </c>
      <c r="B25" s="1">
        <v>475606188.91000003</v>
      </c>
      <c r="C25" s="1">
        <v>443592348.16000003</v>
      </c>
      <c r="D25" s="1">
        <v>32013840.75</v>
      </c>
    </row>
    <row r="27" spans="1:4" x14ac:dyDescent="0.25">
      <c r="A27" t="s">
        <v>17</v>
      </c>
    </row>
    <row r="28" spans="1:4" x14ac:dyDescent="0.25">
      <c r="B28" t="s">
        <v>8</v>
      </c>
      <c r="C28" t="s">
        <v>8</v>
      </c>
      <c r="D28" t="s">
        <v>8</v>
      </c>
    </row>
    <row r="29" spans="1:4" x14ac:dyDescent="0.25">
      <c r="A29" t="s">
        <v>18</v>
      </c>
    </row>
    <row r="31" spans="1:4" x14ac:dyDescent="0.25">
      <c r="A31" t="s">
        <v>19</v>
      </c>
    </row>
    <row r="33" spans="1:4" x14ac:dyDescent="0.25">
      <c r="A33" t="s">
        <v>20</v>
      </c>
      <c r="B33" s="1">
        <v>73159439.140000001</v>
      </c>
      <c r="C33" s="1">
        <v>62411732.560000002</v>
      </c>
      <c r="D33" s="1">
        <v>10747706.58</v>
      </c>
    </row>
    <row r="34" spans="1:4" x14ac:dyDescent="0.25">
      <c r="A34" t="s">
        <v>21</v>
      </c>
      <c r="B34" s="1">
        <v>47104458.240000002</v>
      </c>
      <c r="C34" s="1">
        <v>41762926.710000001</v>
      </c>
      <c r="D34" s="1">
        <v>5341531.53</v>
      </c>
    </row>
    <row r="35" spans="1:4" x14ac:dyDescent="0.25">
      <c r="A35" t="s">
        <v>22</v>
      </c>
      <c r="B35" s="1">
        <v>101047509.64</v>
      </c>
      <c r="C35" s="1">
        <v>89883784.079999998</v>
      </c>
      <c r="D35" s="1">
        <v>11163725.560000001</v>
      </c>
    </row>
    <row r="36" spans="1:4" x14ac:dyDescent="0.25">
      <c r="A36" t="s">
        <v>23</v>
      </c>
      <c r="B36" s="1">
        <v>50939155.189999998</v>
      </c>
      <c r="C36" s="1">
        <v>39134159.649999999</v>
      </c>
      <c r="D36" s="1">
        <v>11804995.539999999</v>
      </c>
    </row>
    <row r="37" spans="1:4" x14ac:dyDescent="0.25">
      <c r="A37" t="s">
        <v>24</v>
      </c>
      <c r="B37" s="1">
        <v>79660599.680000007</v>
      </c>
      <c r="C37" s="1">
        <v>62912211.880000003</v>
      </c>
      <c r="D37" s="1">
        <v>16748387.800000001</v>
      </c>
    </row>
    <row r="38" spans="1:4" x14ac:dyDescent="0.25">
      <c r="A38" t="s">
        <v>25</v>
      </c>
      <c r="B38" s="1">
        <v>6237568.0300000003</v>
      </c>
      <c r="C38" s="1">
        <v>4294568.03</v>
      </c>
      <c r="D38" s="1">
        <v>1943000</v>
      </c>
    </row>
    <row r="39" spans="1:4" x14ac:dyDescent="0.25">
      <c r="A39" t="s">
        <v>26</v>
      </c>
      <c r="B39" s="1">
        <v>48496169.670000002</v>
      </c>
      <c r="C39" s="1">
        <v>44741229.670000002</v>
      </c>
      <c r="D39" s="1">
        <v>3754940</v>
      </c>
    </row>
    <row r="40" spans="1:4" x14ac:dyDescent="0.25">
      <c r="A40" t="s">
        <v>27</v>
      </c>
      <c r="B40" s="1">
        <v>58754292.18</v>
      </c>
      <c r="C40" s="1">
        <v>56264292.18</v>
      </c>
      <c r="D40" s="1">
        <v>2490000</v>
      </c>
    </row>
    <row r="41" spans="1:4" x14ac:dyDescent="0.25">
      <c r="A41" t="s">
        <v>28</v>
      </c>
      <c r="B41" s="1">
        <v>16113481.9</v>
      </c>
      <c r="C41" s="1">
        <v>15637856.9</v>
      </c>
      <c r="D41" s="1">
        <v>475625</v>
      </c>
    </row>
    <row r="42" spans="1:4" x14ac:dyDescent="0.25">
      <c r="A42" t="s">
        <v>29</v>
      </c>
      <c r="B42" s="1">
        <v>7105952.1100000003</v>
      </c>
      <c r="C42" s="1">
        <v>3329242.41</v>
      </c>
      <c r="D42" s="1">
        <v>3776709.7</v>
      </c>
    </row>
    <row r="43" spans="1:4" x14ac:dyDescent="0.25">
      <c r="A43" t="s">
        <v>30</v>
      </c>
      <c r="B43" s="1">
        <v>2795000</v>
      </c>
      <c r="C43" s="1">
        <v>2795000</v>
      </c>
    </row>
    <row r="44" spans="1:4" x14ac:dyDescent="0.25">
      <c r="A44" t="s">
        <v>31</v>
      </c>
      <c r="B44" s="1">
        <v>1167768</v>
      </c>
      <c r="C44" s="1">
        <v>1167768</v>
      </c>
    </row>
    <row r="45" spans="1:4" x14ac:dyDescent="0.25">
      <c r="B45" t="s">
        <v>8</v>
      </c>
      <c r="C45" t="s">
        <v>8</v>
      </c>
      <c r="D45" t="s">
        <v>8</v>
      </c>
    </row>
    <row r="46" spans="1:4" x14ac:dyDescent="0.25">
      <c r="A46" t="s">
        <v>32</v>
      </c>
      <c r="B46" s="1">
        <v>492581393.77999997</v>
      </c>
      <c r="C46" s="1">
        <v>424334772.06999999</v>
      </c>
      <c r="D46" s="1">
        <v>68246621.709999993</v>
      </c>
    </row>
    <row r="48" spans="1:4" x14ac:dyDescent="0.25">
      <c r="A48" t="s">
        <v>33</v>
      </c>
    </row>
    <row r="49" spans="1:4" x14ac:dyDescent="0.25">
      <c r="B49" t="s">
        <v>8</v>
      </c>
      <c r="C49" t="s">
        <v>8</v>
      </c>
      <c r="D49" t="s">
        <v>8</v>
      </c>
    </row>
    <row r="50" spans="1:4" x14ac:dyDescent="0.25">
      <c r="A50" t="s">
        <v>34</v>
      </c>
    </row>
    <row r="52" spans="1:4" x14ac:dyDescent="0.25">
      <c r="A52" t="s">
        <v>35</v>
      </c>
    </row>
    <row r="54" spans="1:4" x14ac:dyDescent="0.25">
      <c r="A54" t="s">
        <v>36</v>
      </c>
      <c r="B54" s="1">
        <v>272724.49</v>
      </c>
      <c r="C54" s="1">
        <v>272724.49</v>
      </c>
    </row>
    <row r="55" spans="1:4" x14ac:dyDescent="0.25">
      <c r="B55" t="s">
        <v>8</v>
      </c>
      <c r="C55" t="s">
        <v>8</v>
      </c>
      <c r="D55" t="s">
        <v>8</v>
      </c>
    </row>
    <row r="56" spans="1:4" x14ac:dyDescent="0.25">
      <c r="A56" t="s">
        <v>37</v>
      </c>
      <c r="B56" s="1">
        <v>272724.49</v>
      </c>
      <c r="C56" s="1">
        <v>272724.49</v>
      </c>
    </row>
    <row r="58" spans="1:4" x14ac:dyDescent="0.25">
      <c r="A58" t="s">
        <v>38</v>
      </c>
    </row>
    <row r="59" spans="1:4" x14ac:dyDescent="0.25">
      <c r="B59" t="s">
        <v>8</v>
      </c>
      <c r="C59" t="s">
        <v>8</v>
      </c>
      <c r="D59" t="s">
        <v>8</v>
      </c>
    </row>
    <row r="60" spans="1:4" x14ac:dyDescent="0.25">
      <c r="A60" t="s">
        <v>39</v>
      </c>
    </row>
    <row r="62" spans="1:4" x14ac:dyDescent="0.25">
      <c r="A62" t="s">
        <v>40</v>
      </c>
    </row>
    <row r="63" spans="1:4" x14ac:dyDescent="0.25">
      <c r="B63" t="s">
        <v>8</v>
      </c>
      <c r="C63" t="s">
        <v>8</v>
      </c>
      <c r="D63" t="s">
        <v>8</v>
      </c>
    </row>
    <row r="64" spans="1:4" x14ac:dyDescent="0.25">
      <c r="A64" t="s">
        <v>41</v>
      </c>
    </row>
    <row r="66" spans="1:4" x14ac:dyDescent="0.25">
      <c r="A66" t="s">
        <v>42</v>
      </c>
    </row>
    <row r="68" spans="1:4" x14ac:dyDescent="0.25">
      <c r="A68" t="s">
        <v>43</v>
      </c>
      <c r="B68" s="1">
        <v>3854719.16</v>
      </c>
      <c r="C68" s="1">
        <v>3854719.16</v>
      </c>
    </row>
    <row r="69" spans="1:4" x14ac:dyDescent="0.25">
      <c r="B69" t="s">
        <v>8</v>
      </c>
      <c r="C69" t="s">
        <v>8</v>
      </c>
      <c r="D69" t="s">
        <v>8</v>
      </c>
    </row>
    <row r="70" spans="1:4" x14ac:dyDescent="0.25">
      <c r="A70" t="s">
        <v>44</v>
      </c>
      <c r="B70" s="1">
        <v>3854719.16</v>
      </c>
      <c r="C70" s="1">
        <v>3854719.16</v>
      </c>
    </row>
    <row r="72" spans="1:4" x14ac:dyDescent="0.25">
      <c r="A72" t="s">
        <v>45</v>
      </c>
    </row>
    <row r="74" spans="1:4" x14ac:dyDescent="0.25">
      <c r="A74" t="s">
        <v>2358</v>
      </c>
      <c r="B74" s="1">
        <v>2165000</v>
      </c>
      <c r="C74" s="1">
        <v>2165000</v>
      </c>
    </row>
    <row r="75" spans="1:4" x14ac:dyDescent="0.25">
      <c r="B75" t="s">
        <v>8</v>
      </c>
      <c r="C75" t="s">
        <v>8</v>
      </c>
      <c r="D75" t="s">
        <v>8</v>
      </c>
    </row>
    <row r="76" spans="1:4" x14ac:dyDescent="0.25">
      <c r="A76" t="s">
        <v>46</v>
      </c>
      <c r="B76" s="1">
        <v>2165000</v>
      </c>
      <c r="C76" s="1">
        <v>2165000</v>
      </c>
    </row>
    <row r="78" spans="1:4" x14ac:dyDescent="0.25">
      <c r="B78" t="s">
        <v>8</v>
      </c>
      <c r="C78" t="s">
        <v>8</v>
      </c>
      <c r="D78" t="s">
        <v>8</v>
      </c>
    </row>
    <row r="79" spans="1:4" x14ac:dyDescent="0.25">
      <c r="A79" t="s">
        <v>47</v>
      </c>
      <c r="B79" s="1">
        <v>974480026.34000003</v>
      </c>
      <c r="C79" s="1">
        <v>874219563.88</v>
      </c>
      <c r="D79" s="1">
        <v>100260462.45999999</v>
      </c>
    </row>
    <row r="81" spans="1:4" x14ac:dyDescent="0.25">
      <c r="A81" t="s">
        <v>48</v>
      </c>
    </row>
    <row r="83" spans="1:4" x14ac:dyDescent="0.25">
      <c r="A83" t="s">
        <v>49</v>
      </c>
    </row>
    <row r="85" spans="1:4" x14ac:dyDescent="0.25">
      <c r="A85" t="s">
        <v>50</v>
      </c>
      <c r="B85" s="1">
        <v>551996.88</v>
      </c>
      <c r="C85" s="1">
        <v>551996.88</v>
      </c>
    </row>
    <row r="86" spans="1:4" x14ac:dyDescent="0.25">
      <c r="B86" t="s">
        <v>8</v>
      </c>
      <c r="C86" t="s">
        <v>8</v>
      </c>
      <c r="D86" t="s">
        <v>8</v>
      </c>
    </row>
    <row r="87" spans="1:4" x14ac:dyDescent="0.25">
      <c r="A87" t="s">
        <v>51</v>
      </c>
      <c r="B87" s="1">
        <v>551996.88</v>
      </c>
      <c r="C87" s="1">
        <v>551996.88</v>
      </c>
    </row>
    <row r="89" spans="1:4" x14ac:dyDescent="0.25">
      <c r="A89" t="s">
        <v>52</v>
      </c>
    </row>
    <row r="91" spans="1:4" x14ac:dyDescent="0.25">
      <c r="A91" t="s">
        <v>53</v>
      </c>
      <c r="B91" s="1">
        <v>1000000</v>
      </c>
      <c r="C91" s="1">
        <v>1000000</v>
      </c>
    </row>
    <row r="92" spans="1:4" x14ac:dyDescent="0.25">
      <c r="A92" t="s">
        <v>54</v>
      </c>
      <c r="B92" s="1">
        <v>205001.97</v>
      </c>
      <c r="C92" s="1">
        <v>205000</v>
      </c>
      <c r="D92">
        <v>1.97</v>
      </c>
    </row>
    <row r="93" spans="1:4" x14ac:dyDescent="0.25">
      <c r="A93" t="s">
        <v>55</v>
      </c>
      <c r="B93" s="1">
        <v>40368583.079999998</v>
      </c>
      <c r="C93" s="1">
        <v>39323450.079999998</v>
      </c>
      <c r="D93" s="1">
        <v>1045133</v>
      </c>
    </row>
    <row r="94" spans="1:4" x14ac:dyDescent="0.25">
      <c r="A94" t="s">
        <v>56</v>
      </c>
      <c r="B94" s="1">
        <v>1000000</v>
      </c>
      <c r="C94" s="1">
        <v>1000000</v>
      </c>
    </row>
    <row r="95" spans="1:4" x14ac:dyDescent="0.25">
      <c r="B95" t="s">
        <v>8</v>
      </c>
      <c r="C95" t="s">
        <v>8</v>
      </c>
      <c r="D95" t="s">
        <v>8</v>
      </c>
    </row>
    <row r="96" spans="1:4" x14ac:dyDescent="0.25">
      <c r="A96" t="s">
        <v>57</v>
      </c>
      <c r="B96" s="1">
        <v>42573585.049999997</v>
      </c>
      <c r="C96" s="1">
        <v>41528450.079999998</v>
      </c>
      <c r="D96" s="1">
        <v>1045134.97</v>
      </c>
    </row>
    <row r="98" spans="1:4" x14ac:dyDescent="0.25">
      <c r="A98" t="s">
        <v>58</v>
      </c>
    </row>
    <row r="100" spans="1:4" x14ac:dyDescent="0.25">
      <c r="A100" t="s">
        <v>59</v>
      </c>
      <c r="B100" s="1">
        <v>4102229.75</v>
      </c>
      <c r="C100" s="1">
        <v>4102229.75</v>
      </c>
    </row>
    <row r="101" spans="1:4" x14ac:dyDescent="0.25">
      <c r="A101" t="s">
        <v>60</v>
      </c>
      <c r="B101" s="1">
        <v>152994137.28999999</v>
      </c>
      <c r="C101" s="1">
        <v>152603956.09999999</v>
      </c>
      <c r="D101" s="1">
        <v>390181.19</v>
      </c>
    </row>
    <row r="102" spans="1:4" x14ac:dyDescent="0.25">
      <c r="A102" t="s">
        <v>61</v>
      </c>
      <c r="B102" s="1">
        <v>12493205.380000001</v>
      </c>
      <c r="C102" s="1">
        <v>12493205.380000001</v>
      </c>
    </row>
    <row r="103" spans="1:4" x14ac:dyDescent="0.25">
      <c r="B103" t="s">
        <v>8</v>
      </c>
      <c r="C103" t="s">
        <v>8</v>
      </c>
      <c r="D103" t="s">
        <v>8</v>
      </c>
    </row>
    <row r="104" spans="1:4" x14ac:dyDescent="0.25">
      <c r="A104" t="s">
        <v>62</v>
      </c>
      <c r="B104" s="1">
        <v>169589572.41999999</v>
      </c>
      <c r="C104" s="1">
        <v>169199391.22999999</v>
      </c>
      <c r="D104" s="1">
        <v>390181.19</v>
      </c>
    </row>
    <row r="106" spans="1:4" x14ac:dyDescent="0.25">
      <c r="A106" t="s">
        <v>63</v>
      </c>
    </row>
    <row r="107" spans="1:4" x14ac:dyDescent="0.25">
      <c r="B107" t="s">
        <v>8</v>
      </c>
      <c r="C107" t="s">
        <v>8</v>
      </c>
      <c r="D107" t="s">
        <v>8</v>
      </c>
    </row>
    <row r="108" spans="1:4" x14ac:dyDescent="0.25">
      <c r="A108" t="s">
        <v>64</v>
      </c>
    </row>
    <row r="110" spans="1:4" x14ac:dyDescent="0.25">
      <c r="A110" t="s">
        <v>65</v>
      </c>
    </row>
    <row r="112" spans="1:4" x14ac:dyDescent="0.25">
      <c r="A112" t="s">
        <v>66</v>
      </c>
      <c r="B112" s="1">
        <v>369771789.87</v>
      </c>
      <c r="C112" s="1">
        <v>369687046.93000001</v>
      </c>
      <c r="D112" s="1">
        <v>84742.94</v>
      </c>
    </row>
    <row r="113" spans="1:4" x14ac:dyDescent="0.25">
      <c r="A113" t="s">
        <v>67</v>
      </c>
      <c r="B113" s="1">
        <v>38249502.590000004</v>
      </c>
      <c r="C113" s="1">
        <v>38249502.590000004</v>
      </c>
    </row>
    <row r="114" spans="1:4" x14ac:dyDescent="0.25">
      <c r="A114" t="s">
        <v>68</v>
      </c>
      <c r="B114" s="1">
        <v>14592402.42</v>
      </c>
      <c r="C114" s="1">
        <v>14592402.42</v>
      </c>
    </row>
    <row r="115" spans="1:4" x14ac:dyDescent="0.25">
      <c r="A115" t="s">
        <v>69</v>
      </c>
      <c r="B115" s="1">
        <v>18272090.52</v>
      </c>
      <c r="C115" s="1">
        <v>18272090.280000001</v>
      </c>
      <c r="D115">
        <v>0.24</v>
      </c>
    </row>
    <row r="116" spans="1:4" x14ac:dyDescent="0.25">
      <c r="A116" t="s">
        <v>70</v>
      </c>
      <c r="B116" s="1">
        <v>5538250.9400000004</v>
      </c>
      <c r="C116" s="1">
        <v>5538250.9400000004</v>
      </c>
    </row>
    <row r="117" spans="1:4" x14ac:dyDescent="0.25">
      <c r="A117" t="s">
        <v>71</v>
      </c>
      <c r="B117" s="1">
        <v>21581440.16</v>
      </c>
      <c r="C117" s="1">
        <v>21581440.16</v>
      </c>
    </row>
    <row r="118" spans="1:4" x14ac:dyDescent="0.25">
      <c r="A118" t="s">
        <v>2359</v>
      </c>
      <c r="B118" s="1">
        <v>77060167.840000004</v>
      </c>
      <c r="C118" s="1">
        <v>77060167.840000004</v>
      </c>
    </row>
    <row r="119" spans="1:4" x14ac:dyDescent="0.25">
      <c r="B119" t="s">
        <v>8</v>
      </c>
      <c r="C119" t="s">
        <v>8</v>
      </c>
      <c r="D119" t="s">
        <v>8</v>
      </c>
    </row>
    <row r="120" spans="1:4" x14ac:dyDescent="0.25">
      <c r="A120" t="s">
        <v>72</v>
      </c>
      <c r="B120" s="1">
        <v>545065644.34000003</v>
      </c>
      <c r="C120" s="1">
        <v>544980901.15999997</v>
      </c>
      <c r="D120" s="1">
        <v>84743.18</v>
      </c>
    </row>
    <row r="122" spans="1:4" x14ac:dyDescent="0.25">
      <c r="A122" t="s">
        <v>73</v>
      </c>
    </row>
    <row r="124" spans="1:4" x14ac:dyDescent="0.25">
      <c r="A124" t="s">
        <v>74</v>
      </c>
      <c r="B124" s="1">
        <v>302079679.41000003</v>
      </c>
      <c r="C124" s="1">
        <v>301243639.88</v>
      </c>
      <c r="D124" s="1">
        <v>836039.53</v>
      </c>
    </row>
    <row r="125" spans="1:4" x14ac:dyDescent="0.25">
      <c r="A125" t="s">
        <v>75</v>
      </c>
      <c r="B125" s="1">
        <v>23789750</v>
      </c>
      <c r="C125" s="1">
        <v>23789750</v>
      </c>
    </row>
    <row r="126" spans="1:4" x14ac:dyDescent="0.25">
      <c r="A126" t="s">
        <v>76</v>
      </c>
      <c r="B126" s="1">
        <v>19524.78</v>
      </c>
      <c r="C126" s="1">
        <v>19524.78</v>
      </c>
    </row>
    <row r="127" spans="1:4" x14ac:dyDescent="0.25">
      <c r="A127" t="s">
        <v>77</v>
      </c>
      <c r="B127" s="1">
        <v>558274.32999999996</v>
      </c>
      <c r="C127" s="1">
        <v>187354.68</v>
      </c>
      <c r="D127" s="1">
        <v>370919.65</v>
      </c>
    </row>
    <row r="128" spans="1:4" x14ac:dyDescent="0.25">
      <c r="A128" t="s">
        <v>78</v>
      </c>
      <c r="B128" s="1">
        <v>100605.51</v>
      </c>
      <c r="D128" s="1">
        <v>100605.51</v>
      </c>
    </row>
    <row r="129" spans="1:4" x14ac:dyDescent="0.25">
      <c r="A129" t="s">
        <v>79</v>
      </c>
      <c r="B129" s="1">
        <v>12680000</v>
      </c>
      <c r="C129" s="1">
        <v>12680000</v>
      </c>
    </row>
    <row r="130" spans="1:4" x14ac:dyDescent="0.25">
      <c r="A130" t="s">
        <v>80</v>
      </c>
      <c r="B130" s="1">
        <v>4000000</v>
      </c>
      <c r="C130" s="1">
        <v>4000000</v>
      </c>
    </row>
    <row r="131" spans="1:4" x14ac:dyDescent="0.25">
      <c r="B131" t="s">
        <v>8</v>
      </c>
      <c r="C131" t="s">
        <v>8</v>
      </c>
      <c r="D131" t="s">
        <v>8</v>
      </c>
    </row>
    <row r="132" spans="1:4" x14ac:dyDescent="0.25">
      <c r="A132" t="s">
        <v>81</v>
      </c>
      <c r="B132" s="1">
        <v>343227834.02999997</v>
      </c>
      <c r="C132" s="1">
        <v>341920269.33999997</v>
      </c>
      <c r="D132" s="1">
        <v>1307564.69</v>
      </c>
    </row>
    <row r="134" spans="1:4" x14ac:dyDescent="0.25">
      <c r="A134" t="s">
        <v>82</v>
      </c>
    </row>
    <row r="136" spans="1:4" x14ac:dyDescent="0.25">
      <c r="A136" t="s">
        <v>83</v>
      </c>
      <c r="B136" s="1">
        <v>434967170.18000001</v>
      </c>
      <c r="C136" s="1">
        <v>434716793.39999998</v>
      </c>
      <c r="D136" s="1">
        <v>250376.78</v>
      </c>
    </row>
    <row r="137" spans="1:4" x14ac:dyDescent="0.25">
      <c r="A137" t="s">
        <v>84</v>
      </c>
      <c r="B137" s="1">
        <v>258107152.5</v>
      </c>
      <c r="C137" s="1">
        <v>254607152.5</v>
      </c>
      <c r="D137" s="1">
        <v>3500000</v>
      </c>
    </row>
    <row r="138" spans="1:4" x14ac:dyDescent="0.25">
      <c r="A138" t="s">
        <v>85</v>
      </c>
      <c r="B138" s="1">
        <v>5113160.8899999997</v>
      </c>
      <c r="C138" s="1">
        <v>5113160.8899999997</v>
      </c>
    </row>
    <row r="139" spans="1:4" x14ac:dyDescent="0.25">
      <c r="A139" t="s">
        <v>2360</v>
      </c>
      <c r="B139" s="1">
        <v>380000</v>
      </c>
      <c r="C139" s="1">
        <v>380000</v>
      </c>
    </row>
    <row r="140" spans="1:4" x14ac:dyDescent="0.25">
      <c r="B140" t="s">
        <v>8</v>
      </c>
      <c r="C140" t="s">
        <v>8</v>
      </c>
      <c r="D140" t="s">
        <v>8</v>
      </c>
    </row>
    <row r="141" spans="1:4" x14ac:dyDescent="0.25">
      <c r="A141" t="s">
        <v>86</v>
      </c>
      <c r="B141" s="1">
        <v>698567483.57000005</v>
      </c>
      <c r="C141" s="1">
        <v>694817106.78999996</v>
      </c>
      <c r="D141" s="1">
        <v>3750376.78</v>
      </c>
    </row>
    <row r="143" spans="1:4" x14ac:dyDescent="0.25">
      <c r="A143" t="s">
        <v>87</v>
      </c>
    </row>
    <row r="145" spans="1:4" x14ac:dyDescent="0.25">
      <c r="A145" t="s">
        <v>88</v>
      </c>
      <c r="B145" s="1">
        <v>7888004.3799999999</v>
      </c>
      <c r="C145" s="1">
        <v>7884086.8600000003</v>
      </c>
      <c r="D145" s="1">
        <v>3917.52</v>
      </c>
    </row>
    <row r="146" spans="1:4" x14ac:dyDescent="0.25">
      <c r="A146" t="s">
        <v>89</v>
      </c>
      <c r="B146" s="1">
        <v>7418642.3700000001</v>
      </c>
      <c r="C146" s="1">
        <v>7418642.3700000001</v>
      </c>
    </row>
    <row r="147" spans="1:4" x14ac:dyDescent="0.25">
      <c r="B147" t="s">
        <v>8</v>
      </c>
      <c r="C147" t="s">
        <v>8</v>
      </c>
      <c r="D147" t="s">
        <v>8</v>
      </c>
    </row>
    <row r="148" spans="1:4" x14ac:dyDescent="0.25">
      <c r="A148" t="s">
        <v>90</v>
      </c>
      <c r="B148" s="1">
        <v>15306646.75</v>
      </c>
      <c r="C148" s="1">
        <v>15302729.23</v>
      </c>
      <c r="D148" s="1">
        <v>3917.52</v>
      </c>
    </row>
    <row r="150" spans="1:4" x14ac:dyDescent="0.25">
      <c r="A150" t="s">
        <v>91</v>
      </c>
    </row>
    <row r="151" spans="1:4" x14ac:dyDescent="0.25">
      <c r="B151" t="s">
        <v>8</v>
      </c>
      <c r="C151" t="s">
        <v>8</v>
      </c>
      <c r="D151" t="s">
        <v>8</v>
      </c>
    </row>
    <row r="152" spans="1:4" x14ac:dyDescent="0.25">
      <c r="A152" t="s">
        <v>92</v>
      </c>
    </row>
    <row r="154" spans="1:4" x14ac:dyDescent="0.25">
      <c r="A154" t="s">
        <v>93</v>
      </c>
    </row>
    <row r="155" spans="1:4" x14ac:dyDescent="0.25">
      <c r="B155" t="s">
        <v>8</v>
      </c>
      <c r="C155" t="s">
        <v>8</v>
      </c>
      <c r="D155" t="s">
        <v>8</v>
      </c>
    </row>
    <row r="156" spans="1:4" x14ac:dyDescent="0.25">
      <c r="A156" t="s">
        <v>94</v>
      </c>
    </row>
    <row r="158" spans="1:4" x14ac:dyDescent="0.25">
      <c r="A158" t="s">
        <v>95</v>
      </c>
    </row>
    <row r="160" spans="1:4" x14ac:dyDescent="0.25">
      <c r="A160" t="s">
        <v>96</v>
      </c>
      <c r="B160" s="1">
        <v>145417439.40000001</v>
      </c>
      <c r="C160" s="1">
        <v>144256340.44999999</v>
      </c>
      <c r="D160" s="1">
        <v>1161098.95</v>
      </c>
    </row>
    <row r="161" spans="1:4" x14ac:dyDescent="0.25">
      <c r="A161" t="s">
        <v>97</v>
      </c>
      <c r="B161" s="1">
        <v>27283671.859999999</v>
      </c>
      <c r="C161" s="1">
        <v>27283657.84</v>
      </c>
      <c r="D161">
        <v>14.02</v>
      </c>
    </row>
    <row r="162" spans="1:4" x14ac:dyDescent="0.25">
      <c r="A162" t="s">
        <v>98</v>
      </c>
      <c r="B162" s="1">
        <v>39418129.149999999</v>
      </c>
      <c r="C162" s="1">
        <v>39418129.149999999</v>
      </c>
    </row>
    <row r="163" spans="1:4" x14ac:dyDescent="0.25">
      <c r="A163" t="s">
        <v>99</v>
      </c>
      <c r="B163" s="1">
        <v>1271818.04</v>
      </c>
      <c r="C163" s="1">
        <v>1271816.04</v>
      </c>
      <c r="D163">
        <v>2</v>
      </c>
    </row>
    <row r="164" spans="1:4" x14ac:dyDescent="0.25">
      <c r="A164" t="s">
        <v>100</v>
      </c>
      <c r="B164" s="1">
        <v>5562950.8600000003</v>
      </c>
      <c r="C164" s="1">
        <v>5562950.5199999996</v>
      </c>
      <c r="D164">
        <v>0.34</v>
      </c>
    </row>
    <row r="165" spans="1:4" x14ac:dyDescent="0.25">
      <c r="A165" t="s">
        <v>101</v>
      </c>
      <c r="B165" s="1">
        <v>1298735.3500000001</v>
      </c>
      <c r="C165" s="1">
        <v>1298735.1499999999</v>
      </c>
      <c r="D165">
        <v>0.2</v>
      </c>
    </row>
    <row r="166" spans="1:4" x14ac:dyDescent="0.25">
      <c r="A166" t="s">
        <v>102</v>
      </c>
      <c r="B166" s="1">
        <v>1181605.51</v>
      </c>
      <c r="C166" s="1">
        <v>1181605.1200000001</v>
      </c>
      <c r="D166">
        <v>0.39</v>
      </c>
    </row>
    <row r="167" spans="1:4" x14ac:dyDescent="0.25">
      <c r="A167" t="s">
        <v>103</v>
      </c>
      <c r="B167" s="1">
        <v>7205111.9400000004</v>
      </c>
      <c r="C167" s="1">
        <v>7205110.2199999997</v>
      </c>
      <c r="D167">
        <v>1.72</v>
      </c>
    </row>
    <row r="168" spans="1:4" x14ac:dyDescent="0.25">
      <c r="A168" t="s">
        <v>104</v>
      </c>
      <c r="B168" s="1">
        <v>3309375.5</v>
      </c>
      <c r="C168" s="1">
        <v>3309369</v>
      </c>
      <c r="D168">
        <v>6.5</v>
      </c>
    </row>
    <row r="169" spans="1:4" x14ac:dyDescent="0.25">
      <c r="A169" t="s">
        <v>105</v>
      </c>
      <c r="B169" s="1">
        <v>5338601.07</v>
      </c>
      <c r="C169" s="1">
        <v>5338597.3099999996</v>
      </c>
      <c r="D169">
        <v>3.76</v>
      </c>
    </row>
    <row r="170" spans="1:4" x14ac:dyDescent="0.25">
      <c r="A170" t="s">
        <v>106</v>
      </c>
      <c r="B170" s="1">
        <v>2866925.03</v>
      </c>
      <c r="C170" s="1">
        <v>2866924.5</v>
      </c>
      <c r="D170">
        <v>0.53</v>
      </c>
    </row>
    <row r="171" spans="1:4" x14ac:dyDescent="0.25">
      <c r="A171" t="s">
        <v>2361</v>
      </c>
      <c r="B171" s="1">
        <v>10361124.49</v>
      </c>
      <c r="C171" s="1">
        <v>9591124.4900000002</v>
      </c>
      <c r="D171" s="1">
        <v>770000</v>
      </c>
    </row>
    <row r="172" spans="1:4" x14ac:dyDescent="0.25">
      <c r="B172" t="s">
        <v>8</v>
      </c>
      <c r="C172" t="s">
        <v>8</v>
      </c>
      <c r="D172" t="s">
        <v>8</v>
      </c>
    </row>
    <row r="173" spans="1:4" x14ac:dyDescent="0.25">
      <c r="A173" t="s">
        <v>107</v>
      </c>
      <c r="B173" s="1">
        <v>250515488.19999999</v>
      </c>
      <c r="C173" s="1">
        <v>248584359.78999999</v>
      </c>
      <c r="D173" s="1">
        <v>1931128.41</v>
      </c>
    </row>
    <row r="175" spans="1:4" x14ac:dyDescent="0.25">
      <c r="A175" t="s">
        <v>108</v>
      </c>
    </row>
    <row r="176" spans="1:4" x14ac:dyDescent="0.25">
      <c r="B176" t="s">
        <v>8</v>
      </c>
      <c r="C176" t="s">
        <v>8</v>
      </c>
      <c r="D176" t="s">
        <v>8</v>
      </c>
    </row>
    <row r="177" spans="1:4" x14ac:dyDescent="0.25">
      <c r="A177" t="s">
        <v>109</v>
      </c>
    </row>
    <row r="179" spans="1:4" x14ac:dyDescent="0.25">
      <c r="A179" t="s">
        <v>110</v>
      </c>
    </row>
    <row r="180" spans="1:4" x14ac:dyDescent="0.25">
      <c r="B180" t="s">
        <v>8</v>
      </c>
      <c r="C180" t="s">
        <v>8</v>
      </c>
      <c r="D180" t="s">
        <v>8</v>
      </c>
    </row>
    <row r="181" spans="1:4" x14ac:dyDescent="0.25">
      <c r="A181" t="s">
        <v>111</v>
      </c>
    </row>
    <row r="183" spans="1:4" x14ac:dyDescent="0.25">
      <c r="A183" t="s">
        <v>112</v>
      </c>
    </row>
    <row r="184" spans="1:4" x14ac:dyDescent="0.25">
      <c r="B184" t="s">
        <v>8</v>
      </c>
      <c r="C184" t="s">
        <v>8</v>
      </c>
      <c r="D184" t="s">
        <v>8</v>
      </c>
    </row>
    <row r="185" spans="1:4" x14ac:dyDescent="0.25">
      <c r="A185" t="s">
        <v>113</v>
      </c>
    </row>
    <row r="187" spans="1:4" x14ac:dyDescent="0.25">
      <c r="A187" t="s">
        <v>114</v>
      </c>
    </row>
    <row r="189" spans="1:4" x14ac:dyDescent="0.25">
      <c r="A189" t="s">
        <v>115</v>
      </c>
      <c r="B189" s="1">
        <v>300496178.95999998</v>
      </c>
      <c r="C189" s="1">
        <v>300402577.11000001</v>
      </c>
      <c r="D189" s="1">
        <v>93601.85</v>
      </c>
    </row>
    <row r="190" spans="1:4" x14ac:dyDescent="0.25">
      <c r="A190" t="s">
        <v>116</v>
      </c>
      <c r="B190" s="1">
        <v>6750000</v>
      </c>
      <c r="C190" s="1">
        <v>6750000</v>
      </c>
    </row>
    <row r="191" spans="1:4" x14ac:dyDescent="0.25">
      <c r="A191" t="s">
        <v>117</v>
      </c>
      <c r="B191" s="1">
        <v>4000000</v>
      </c>
      <c r="C191" s="1">
        <v>4000000</v>
      </c>
    </row>
    <row r="192" spans="1:4" x14ac:dyDescent="0.25">
      <c r="A192" t="s">
        <v>118</v>
      </c>
      <c r="B192" s="1">
        <v>7263170.8499999996</v>
      </c>
      <c r="C192" s="1">
        <v>7263170.8499999996</v>
      </c>
    </row>
    <row r="193" spans="1:4" x14ac:dyDescent="0.25">
      <c r="B193" t="s">
        <v>8</v>
      </c>
      <c r="C193" t="s">
        <v>8</v>
      </c>
      <c r="D193" t="s">
        <v>8</v>
      </c>
    </row>
    <row r="194" spans="1:4" x14ac:dyDescent="0.25">
      <c r="A194" t="s">
        <v>119</v>
      </c>
      <c r="B194" s="1">
        <v>318509349.81</v>
      </c>
      <c r="C194" s="1">
        <v>318415747.95999998</v>
      </c>
      <c r="D194" s="1">
        <v>93601.85</v>
      </c>
    </row>
    <row r="196" spans="1:4" x14ac:dyDescent="0.25">
      <c r="A196" t="s">
        <v>120</v>
      </c>
    </row>
    <row r="198" spans="1:4" x14ac:dyDescent="0.25">
      <c r="A198" t="s">
        <v>121</v>
      </c>
      <c r="B198" s="1">
        <v>102351103.36</v>
      </c>
      <c r="C198" s="1">
        <v>101397132.31999999</v>
      </c>
      <c r="D198" s="1">
        <v>953971.04</v>
      </c>
    </row>
    <row r="199" spans="1:4" x14ac:dyDescent="0.25">
      <c r="A199" t="s">
        <v>122</v>
      </c>
      <c r="B199" s="1">
        <v>5931588.8600000003</v>
      </c>
      <c r="C199" s="1">
        <v>5931588.8600000003</v>
      </c>
    </row>
    <row r="200" spans="1:4" x14ac:dyDescent="0.25">
      <c r="B200" t="s">
        <v>8</v>
      </c>
      <c r="C200" t="s">
        <v>8</v>
      </c>
      <c r="D200" t="s">
        <v>8</v>
      </c>
    </row>
    <row r="201" spans="1:4" x14ac:dyDescent="0.25">
      <c r="A201" t="s">
        <v>123</v>
      </c>
      <c r="B201" s="1">
        <v>108282692.22</v>
      </c>
      <c r="C201" s="1">
        <v>107328721.18000001</v>
      </c>
      <c r="D201" s="1">
        <v>953971.04</v>
      </c>
    </row>
    <row r="203" spans="1:4" x14ac:dyDescent="0.25">
      <c r="A203" t="s">
        <v>124</v>
      </c>
    </row>
    <row r="205" spans="1:4" x14ac:dyDescent="0.25">
      <c r="A205" t="s">
        <v>125</v>
      </c>
      <c r="B205" s="1">
        <v>300313182.5</v>
      </c>
      <c r="C205" s="1">
        <v>299389218.25999999</v>
      </c>
      <c r="D205" s="1">
        <v>923964.24</v>
      </c>
    </row>
    <row r="206" spans="1:4" x14ac:dyDescent="0.25">
      <c r="A206" t="s">
        <v>126</v>
      </c>
      <c r="B206" s="1">
        <v>78922379.480000004</v>
      </c>
      <c r="C206" s="1">
        <v>77122379.480000004</v>
      </c>
      <c r="D206" s="1">
        <v>1800000</v>
      </c>
    </row>
    <row r="207" spans="1:4" x14ac:dyDescent="0.25">
      <c r="A207" t="s">
        <v>127</v>
      </c>
      <c r="B207" s="1">
        <v>8286449.6399999997</v>
      </c>
      <c r="C207" s="1">
        <v>8286449.6399999997</v>
      </c>
    </row>
    <row r="208" spans="1:4" x14ac:dyDescent="0.25">
      <c r="A208" t="s">
        <v>128</v>
      </c>
      <c r="B208" s="1">
        <v>89221731.189999998</v>
      </c>
      <c r="C208" s="1">
        <v>89221731.189999998</v>
      </c>
    </row>
    <row r="209" spans="1:4" x14ac:dyDescent="0.25">
      <c r="A209" t="s">
        <v>2362</v>
      </c>
      <c r="B209" s="1">
        <v>59827.87</v>
      </c>
      <c r="C209" s="1">
        <v>59827.87</v>
      </c>
    </row>
    <row r="210" spans="1:4" x14ac:dyDescent="0.25">
      <c r="B210" t="s">
        <v>8</v>
      </c>
      <c r="C210" t="s">
        <v>8</v>
      </c>
      <c r="D210" t="s">
        <v>8</v>
      </c>
    </row>
    <row r="211" spans="1:4" x14ac:dyDescent="0.25">
      <c r="A211" t="s">
        <v>129</v>
      </c>
      <c r="B211" s="1">
        <v>476803570.68000001</v>
      </c>
      <c r="C211" s="1">
        <v>474079606.44</v>
      </c>
      <c r="D211" s="1">
        <v>2723964.24</v>
      </c>
    </row>
    <row r="213" spans="1:4" x14ac:dyDescent="0.25">
      <c r="A213" t="s">
        <v>130</v>
      </c>
    </row>
    <row r="214" spans="1:4" x14ac:dyDescent="0.25">
      <c r="B214" t="s">
        <v>8</v>
      </c>
      <c r="C214" t="s">
        <v>8</v>
      </c>
      <c r="D214" t="s">
        <v>8</v>
      </c>
    </row>
    <row r="215" spans="1:4" x14ac:dyDescent="0.25">
      <c r="A215" t="s">
        <v>131</v>
      </c>
    </row>
    <row r="217" spans="1:4" x14ac:dyDescent="0.25">
      <c r="A217" t="s">
        <v>132</v>
      </c>
    </row>
    <row r="218" spans="1:4" x14ac:dyDescent="0.25">
      <c r="B218" t="s">
        <v>8</v>
      </c>
      <c r="C218" t="s">
        <v>8</v>
      </c>
      <c r="D218" t="s">
        <v>8</v>
      </c>
    </row>
    <row r="219" spans="1:4" x14ac:dyDescent="0.25">
      <c r="A219" t="s">
        <v>133</v>
      </c>
    </row>
    <row r="221" spans="1:4" x14ac:dyDescent="0.25">
      <c r="A221" t="s">
        <v>134</v>
      </c>
    </row>
    <row r="223" spans="1:4" x14ac:dyDescent="0.25">
      <c r="A223" t="s">
        <v>135</v>
      </c>
      <c r="B223" s="1">
        <v>49382201.759999998</v>
      </c>
      <c r="C223" s="1">
        <v>48937022.289999999</v>
      </c>
      <c r="D223" s="1">
        <v>445179.47</v>
      </c>
    </row>
    <row r="224" spans="1:4" x14ac:dyDescent="0.25">
      <c r="A224" t="s">
        <v>2363</v>
      </c>
      <c r="B224" s="1">
        <v>4860000</v>
      </c>
      <c r="C224" s="1">
        <v>2960000</v>
      </c>
      <c r="D224" s="1">
        <v>1900000</v>
      </c>
    </row>
    <row r="225" spans="1:4" x14ac:dyDescent="0.25">
      <c r="B225" t="s">
        <v>8</v>
      </c>
      <c r="C225" t="s">
        <v>8</v>
      </c>
      <c r="D225" t="s">
        <v>8</v>
      </c>
    </row>
    <row r="226" spans="1:4" x14ac:dyDescent="0.25">
      <c r="A226" t="s">
        <v>136</v>
      </c>
      <c r="B226" s="1">
        <v>54242201.759999998</v>
      </c>
      <c r="C226" s="1">
        <v>51897022.289999999</v>
      </c>
      <c r="D226" s="1">
        <v>2345179.4700000002</v>
      </c>
    </row>
    <row r="228" spans="1:4" x14ac:dyDescent="0.25">
      <c r="A228" t="s">
        <v>137</v>
      </c>
    </row>
    <row r="230" spans="1:4" x14ac:dyDescent="0.25">
      <c r="A230" t="s">
        <v>138</v>
      </c>
      <c r="B230" s="1">
        <v>15757365.539999999</v>
      </c>
      <c r="C230" s="1">
        <v>15723668.220000001</v>
      </c>
      <c r="D230" s="1">
        <v>33697.32</v>
      </c>
    </row>
    <row r="231" spans="1:4" x14ac:dyDescent="0.25">
      <c r="B231" t="s">
        <v>8</v>
      </c>
      <c r="C231" t="s">
        <v>8</v>
      </c>
      <c r="D231" t="s">
        <v>8</v>
      </c>
    </row>
    <row r="232" spans="1:4" x14ac:dyDescent="0.25">
      <c r="A232" t="s">
        <v>139</v>
      </c>
      <c r="B232" s="1">
        <v>15757365.539999999</v>
      </c>
      <c r="C232" s="1">
        <v>15723668.220000001</v>
      </c>
      <c r="D232" s="1">
        <v>33697.32</v>
      </c>
    </row>
    <row r="234" spans="1:4" x14ac:dyDescent="0.25">
      <c r="A234" t="s">
        <v>140</v>
      </c>
    </row>
    <row r="236" spans="1:4" x14ac:dyDescent="0.25">
      <c r="A236" t="s">
        <v>141</v>
      </c>
      <c r="B236" s="1">
        <v>11603135.449999999</v>
      </c>
      <c r="C236" s="1">
        <v>11599539.98</v>
      </c>
      <c r="D236" s="1">
        <v>3595.47</v>
      </c>
    </row>
    <row r="237" spans="1:4" x14ac:dyDescent="0.25">
      <c r="B237" t="s">
        <v>8</v>
      </c>
      <c r="C237" t="s">
        <v>8</v>
      </c>
      <c r="D237" t="s">
        <v>8</v>
      </c>
    </row>
    <row r="238" spans="1:4" x14ac:dyDescent="0.25">
      <c r="A238" t="s">
        <v>142</v>
      </c>
      <c r="B238" s="1">
        <v>11603135.449999999</v>
      </c>
      <c r="C238" s="1">
        <v>11599539.98</v>
      </c>
      <c r="D238" s="1">
        <v>3595.47</v>
      </c>
    </row>
    <row r="240" spans="1:4" x14ac:dyDescent="0.25">
      <c r="A240" t="s">
        <v>143</v>
      </c>
    </row>
    <row r="241" spans="1:4" x14ac:dyDescent="0.25">
      <c r="B241" t="s">
        <v>8</v>
      </c>
      <c r="C241" t="s">
        <v>8</v>
      </c>
      <c r="D241" t="s">
        <v>8</v>
      </c>
    </row>
    <row r="242" spans="1:4" x14ac:dyDescent="0.25">
      <c r="A242" t="s">
        <v>144</v>
      </c>
    </row>
    <row r="244" spans="1:4" x14ac:dyDescent="0.25">
      <c r="A244" t="s">
        <v>145</v>
      </c>
    </row>
    <row r="246" spans="1:4" x14ac:dyDescent="0.25">
      <c r="A246" t="s">
        <v>146</v>
      </c>
      <c r="B246" s="1">
        <v>8959394.6699999999</v>
      </c>
      <c r="C246" s="1">
        <v>8959394.6699999999</v>
      </c>
    </row>
    <row r="247" spans="1:4" x14ac:dyDescent="0.25">
      <c r="A247" t="s">
        <v>147</v>
      </c>
      <c r="B247" s="1">
        <v>3747918.76</v>
      </c>
      <c r="C247" s="1">
        <v>3747918.76</v>
      </c>
    </row>
    <row r="248" spans="1:4" x14ac:dyDescent="0.25">
      <c r="A248" t="s">
        <v>148</v>
      </c>
      <c r="B248" s="1">
        <v>3203340.44</v>
      </c>
      <c r="C248" s="1">
        <v>3202431.24</v>
      </c>
      <c r="D248">
        <v>909.2</v>
      </c>
    </row>
    <row r="249" spans="1:4" x14ac:dyDescent="0.25">
      <c r="A249" t="s">
        <v>149</v>
      </c>
      <c r="B249" s="1">
        <v>5025092.1399999997</v>
      </c>
      <c r="C249" s="1">
        <v>5025073.68</v>
      </c>
      <c r="D249">
        <v>18.46</v>
      </c>
    </row>
    <row r="250" spans="1:4" x14ac:dyDescent="0.25">
      <c r="B250" t="s">
        <v>8</v>
      </c>
      <c r="C250" t="s">
        <v>8</v>
      </c>
      <c r="D250" t="s">
        <v>8</v>
      </c>
    </row>
    <row r="251" spans="1:4" x14ac:dyDescent="0.25">
      <c r="A251" t="s">
        <v>150</v>
      </c>
      <c r="B251" s="1">
        <v>20935746.010000002</v>
      </c>
      <c r="C251" s="1">
        <v>20934818.350000001</v>
      </c>
      <c r="D251">
        <v>927.66</v>
      </c>
    </row>
    <row r="253" spans="1:4" x14ac:dyDescent="0.25">
      <c r="A253" t="s">
        <v>151</v>
      </c>
    </row>
    <row r="255" spans="1:4" x14ac:dyDescent="0.25">
      <c r="A255" t="s">
        <v>152</v>
      </c>
      <c r="B255" s="1">
        <v>50304549.549999997</v>
      </c>
      <c r="C255" s="1">
        <v>50302541.670000002</v>
      </c>
      <c r="D255" s="1">
        <v>2007.88</v>
      </c>
    </row>
    <row r="256" spans="1:4" x14ac:dyDescent="0.25">
      <c r="B256" t="s">
        <v>8</v>
      </c>
      <c r="C256" t="s">
        <v>8</v>
      </c>
      <c r="D256" t="s">
        <v>8</v>
      </c>
    </row>
    <row r="257" spans="1:4" x14ac:dyDescent="0.25">
      <c r="A257" t="s">
        <v>153</v>
      </c>
      <c r="B257" s="1">
        <v>50304549.549999997</v>
      </c>
      <c r="C257" s="1">
        <v>50302541.670000002</v>
      </c>
      <c r="D257" s="1">
        <v>2007.88</v>
      </c>
    </row>
    <row r="259" spans="1:4" x14ac:dyDescent="0.25">
      <c r="A259" t="s">
        <v>154</v>
      </c>
    </row>
    <row r="261" spans="1:4" x14ac:dyDescent="0.25">
      <c r="A261" t="s">
        <v>155</v>
      </c>
      <c r="B261" s="1">
        <v>14439822.75</v>
      </c>
      <c r="C261" s="1">
        <v>14408745.470000001</v>
      </c>
      <c r="D261" s="1">
        <v>31077.279999999999</v>
      </c>
    </row>
    <row r="262" spans="1:4" x14ac:dyDescent="0.25">
      <c r="A262" t="s">
        <v>156</v>
      </c>
      <c r="B262">
        <v>250</v>
      </c>
      <c r="D262">
        <v>250</v>
      </c>
    </row>
    <row r="263" spans="1:4" x14ac:dyDescent="0.25">
      <c r="B263" t="s">
        <v>8</v>
      </c>
      <c r="C263" t="s">
        <v>8</v>
      </c>
      <c r="D263" t="s">
        <v>8</v>
      </c>
    </row>
    <row r="264" spans="1:4" x14ac:dyDescent="0.25">
      <c r="A264" t="s">
        <v>157</v>
      </c>
      <c r="B264" s="1">
        <v>14440072.75</v>
      </c>
      <c r="C264" s="1">
        <v>14408745.470000001</v>
      </c>
      <c r="D264" s="1">
        <v>31327.279999999999</v>
      </c>
    </row>
    <row r="266" spans="1:4" x14ac:dyDescent="0.25">
      <c r="A266" t="s">
        <v>158</v>
      </c>
    </row>
    <row r="268" spans="1:4" x14ac:dyDescent="0.25">
      <c r="A268" t="s">
        <v>159</v>
      </c>
      <c r="B268" s="1">
        <v>20918870.77</v>
      </c>
      <c r="C268" s="1">
        <v>20916871.489999998</v>
      </c>
      <c r="D268" s="1">
        <v>1999.28</v>
      </c>
    </row>
    <row r="269" spans="1:4" x14ac:dyDescent="0.25">
      <c r="A269" t="s">
        <v>160</v>
      </c>
      <c r="B269" s="1">
        <v>261954.56</v>
      </c>
      <c r="C269" s="1">
        <v>261954.56</v>
      </c>
    </row>
    <row r="270" spans="1:4" x14ac:dyDescent="0.25">
      <c r="A270" t="s">
        <v>161</v>
      </c>
      <c r="B270" s="1">
        <v>23913738.710000001</v>
      </c>
      <c r="C270" s="1">
        <v>23913737.91</v>
      </c>
      <c r="D270">
        <v>0.8</v>
      </c>
    </row>
    <row r="271" spans="1:4" x14ac:dyDescent="0.25">
      <c r="B271" t="s">
        <v>8</v>
      </c>
      <c r="C271" t="s">
        <v>8</v>
      </c>
      <c r="D271" t="s">
        <v>8</v>
      </c>
    </row>
    <row r="272" spans="1:4" x14ac:dyDescent="0.25">
      <c r="A272" t="s">
        <v>162</v>
      </c>
      <c r="B272" s="1">
        <v>45094564.039999999</v>
      </c>
      <c r="C272" s="1">
        <v>45092563.960000001</v>
      </c>
      <c r="D272" s="1">
        <v>2000.08</v>
      </c>
    </row>
    <row r="274" spans="1:4" x14ac:dyDescent="0.25">
      <c r="A274" t="s">
        <v>163</v>
      </c>
    </row>
    <row r="276" spans="1:4" x14ac:dyDescent="0.25">
      <c r="A276" t="s">
        <v>164</v>
      </c>
      <c r="B276" s="1">
        <v>63948964.289999999</v>
      </c>
      <c r="C276" s="1">
        <v>63948592.170000002</v>
      </c>
      <c r="D276">
        <v>372.12</v>
      </c>
    </row>
    <row r="277" spans="1:4" x14ac:dyDescent="0.25">
      <c r="A277" t="s">
        <v>165</v>
      </c>
      <c r="B277" s="1">
        <v>9162805.0099999998</v>
      </c>
      <c r="C277" s="1">
        <v>9162805.0099999998</v>
      </c>
    </row>
    <row r="278" spans="1:4" x14ac:dyDescent="0.25">
      <c r="A278" t="s">
        <v>166</v>
      </c>
      <c r="B278" s="1">
        <v>11287214.720000001</v>
      </c>
      <c r="C278" s="1">
        <v>11287214.720000001</v>
      </c>
    </row>
    <row r="279" spans="1:4" x14ac:dyDescent="0.25">
      <c r="B279" t="s">
        <v>8</v>
      </c>
      <c r="C279" t="s">
        <v>8</v>
      </c>
      <c r="D279" t="s">
        <v>8</v>
      </c>
    </row>
    <row r="280" spans="1:4" x14ac:dyDescent="0.25">
      <c r="A280" t="s">
        <v>167</v>
      </c>
      <c r="B280" s="1">
        <v>84398984.019999996</v>
      </c>
      <c r="C280" s="1">
        <v>84398611.900000006</v>
      </c>
      <c r="D280">
        <v>372.12</v>
      </c>
    </row>
    <row r="282" spans="1:4" x14ac:dyDescent="0.25">
      <c r="A282" t="s">
        <v>168</v>
      </c>
    </row>
    <row r="284" spans="1:4" x14ac:dyDescent="0.25">
      <c r="A284" t="s">
        <v>169</v>
      </c>
      <c r="B284" s="1">
        <v>1217213.6599999999</v>
      </c>
      <c r="C284" s="1">
        <v>1217213.6599999999</v>
      </c>
    </row>
    <row r="285" spans="1:4" x14ac:dyDescent="0.25">
      <c r="A285" t="s">
        <v>170</v>
      </c>
      <c r="B285" s="1">
        <v>19825128.050000001</v>
      </c>
      <c r="C285" s="1">
        <v>19824336.73</v>
      </c>
      <c r="D285">
        <v>791.32</v>
      </c>
    </row>
    <row r="286" spans="1:4" x14ac:dyDescent="0.25">
      <c r="B286" t="s">
        <v>8</v>
      </c>
      <c r="C286" t="s">
        <v>8</v>
      </c>
      <c r="D286" t="s">
        <v>8</v>
      </c>
    </row>
    <row r="287" spans="1:4" x14ac:dyDescent="0.25">
      <c r="A287" t="s">
        <v>171</v>
      </c>
      <c r="B287" s="1">
        <v>21042341.710000001</v>
      </c>
      <c r="C287" s="1">
        <v>21041550.390000001</v>
      </c>
      <c r="D287">
        <v>791.32</v>
      </c>
    </row>
    <row r="289" spans="1:4" x14ac:dyDescent="0.25">
      <c r="A289" t="s">
        <v>172</v>
      </c>
    </row>
    <row r="291" spans="1:4" x14ac:dyDescent="0.25">
      <c r="A291" t="s">
        <v>173</v>
      </c>
      <c r="B291" s="1">
        <v>35406643.369999997</v>
      </c>
      <c r="C291" s="1">
        <v>35405760.649999999</v>
      </c>
      <c r="D291">
        <v>882.72</v>
      </c>
    </row>
    <row r="292" spans="1:4" x14ac:dyDescent="0.25">
      <c r="A292" t="s">
        <v>174</v>
      </c>
      <c r="B292" s="1">
        <v>38954.239999999998</v>
      </c>
      <c r="C292" s="1">
        <v>38954.239999999998</v>
      </c>
    </row>
    <row r="293" spans="1:4" x14ac:dyDescent="0.25">
      <c r="A293" t="s">
        <v>175</v>
      </c>
      <c r="B293" s="1">
        <v>28474927.739999998</v>
      </c>
      <c r="C293" s="1">
        <v>28474526.489999998</v>
      </c>
      <c r="D293">
        <v>401.25</v>
      </c>
    </row>
    <row r="294" spans="1:4" x14ac:dyDescent="0.25">
      <c r="B294" t="s">
        <v>8</v>
      </c>
      <c r="C294" t="s">
        <v>8</v>
      </c>
      <c r="D294" t="s">
        <v>8</v>
      </c>
    </row>
    <row r="295" spans="1:4" x14ac:dyDescent="0.25">
      <c r="A295" t="s">
        <v>176</v>
      </c>
      <c r="B295" s="1">
        <v>63920525.350000001</v>
      </c>
      <c r="C295" s="1">
        <v>63919241.380000003</v>
      </c>
      <c r="D295" s="1">
        <v>1283.97</v>
      </c>
    </row>
    <row r="297" spans="1:4" x14ac:dyDescent="0.25">
      <c r="A297" t="s">
        <v>177</v>
      </c>
    </row>
    <row r="299" spans="1:4" x14ac:dyDescent="0.25">
      <c r="A299" t="s">
        <v>178</v>
      </c>
      <c r="B299" s="1">
        <v>116882.98</v>
      </c>
      <c r="C299" s="1">
        <v>115050</v>
      </c>
      <c r="D299" s="1">
        <v>1832.98</v>
      </c>
    </row>
    <row r="300" spans="1:4" x14ac:dyDescent="0.25">
      <c r="B300" t="s">
        <v>8</v>
      </c>
      <c r="C300" t="s">
        <v>8</v>
      </c>
      <c r="D300" t="s">
        <v>8</v>
      </c>
    </row>
    <row r="301" spans="1:4" x14ac:dyDescent="0.25">
      <c r="A301" t="s">
        <v>179</v>
      </c>
      <c r="B301" s="1">
        <v>116882.98</v>
      </c>
      <c r="C301" s="1">
        <v>115050</v>
      </c>
      <c r="D301" s="1">
        <v>1832.98</v>
      </c>
    </row>
    <row r="303" spans="1:4" x14ac:dyDescent="0.25">
      <c r="A303" t="s">
        <v>180</v>
      </c>
    </row>
    <row r="304" spans="1:4" x14ac:dyDescent="0.25">
      <c r="B304" t="s">
        <v>8</v>
      </c>
      <c r="C304" t="s">
        <v>8</v>
      </c>
      <c r="D304" t="s">
        <v>8</v>
      </c>
    </row>
    <row r="305" spans="1:4" x14ac:dyDescent="0.25">
      <c r="A305" t="s">
        <v>181</v>
      </c>
    </row>
    <row r="307" spans="1:4" x14ac:dyDescent="0.25">
      <c r="A307" t="s">
        <v>182</v>
      </c>
    </row>
    <row r="308" spans="1:4" x14ac:dyDescent="0.25">
      <c r="B308" t="s">
        <v>8</v>
      </c>
      <c r="C308" t="s">
        <v>8</v>
      </c>
      <c r="D308" t="s">
        <v>8</v>
      </c>
    </row>
    <row r="309" spans="1:4" x14ac:dyDescent="0.25">
      <c r="A309" t="s">
        <v>183</v>
      </c>
    </row>
    <row r="311" spans="1:4" x14ac:dyDescent="0.25">
      <c r="A311" t="s">
        <v>184</v>
      </c>
    </row>
    <row r="312" spans="1:4" x14ac:dyDescent="0.25">
      <c r="B312" t="s">
        <v>8</v>
      </c>
      <c r="C312" t="s">
        <v>8</v>
      </c>
      <c r="D312" t="s">
        <v>8</v>
      </c>
    </row>
    <row r="313" spans="1:4" x14ac:dyDescent="0.25">
      <c r="A313" t="s">
        <v>185</v>
      </c>
    </row>
    <row r="315" spans="1:4" x14ac:dyDescent="0.25">
      <c r="A315" t="s">
        <v>186</v>
      </c>
    </row>
    <row r="316" spans="1:4" x14ac:dyDescent="0.25">
      <c r="B316" t="s">
        <v>8</v>
      </c>
      <c r="C316" t="s">
        <v>8</v>
      </c>
      <c r="D316" t="s">
        <v>8</v>
      </c>
    </row>
    <row r="317" spans="1:4" x14ac:dyDescent="0.25">
      <c r="A317" t="s">
        <v>187</v>
      </c>
    </row>
    <row r="319" spans="1:4" x14ac:dyDescent="0.25">
      <c r="B319" t="s">
        <v>8</v>
      </c>
      <c r="C319" t="s">
        <v>8</v>
      </c>
      <c r="D319" t="s">
        <v>8</v>
      </c>
    </row>
    <row r="320" spans="1:4" x14ac:dyDescent="0.25">
      <c r="A320" t="s">
        <v>188</v>
      </c>
      <c r="B320" s="1">
        <v>3350850233.1100001</v>
      </c>
      <c r="C320" s="1">
        <v>3336142633.6900001</v>
      </c>
      <c r="D320" s="1">
        <v>14707599.42</v>
      </c>
    </row>
    <row r="322" spans="1:4" x14ac:dyDescent="0.25">
      <c r="A322" t="s">
        <v>189</v>
      </c>
    </row>
    <row r="324" spans="1:4" x14ac:dyDescent="0.25">
      <c r="A324" t="s">
        <v>190</v>
      </c>
    </row>
    <row r="325" spans="1:4" x14ac:dyDescent="0.25">
      <c r="B325" t="s">
        <v>8</v>
      </c>
      <c r="C325" t="s">
        <v>8</v>
      </c>
      <c r="D325" t="s">
        <v>8</v>
      </c>
    </row>
    <row r="326" spans="1:4" x14ac:dyDescent="0.25">
      <c r="A326" t="s">
        <v>191</v>
      </c>
    </row>
    <row r="328" spans="1:4" x14ac:dyDescent="0.25">
      <c r="A328" t="s">
        <v>192</v>
      </c>
    </row>
    <row r="329" spans="1:4" x14ac:dyDescent="0.25">
      <c r="B329" t="s">
        <v>8</v>
      </c>
      <c r="C329" t="s">
        <v>8</v>
      </c>
      <c r="D329" t="s">
        <v>8</v>
      </c>
    </row>
    <row r="330" spans="1:4" x14ac:dyDescent="0.25">
      <c r="A330" t="s">
        <v>193</v>
      </c>
    </row>
    <row r="332" spans="1:4" x14ac:dyDescent="0.25">
      <c r="A332" t="s">
        <v>194</v>
      </c>
    </row>
    <row r="333" spans="1:4" x14ac:dyDescent="0.25">
      <c r="B333" t="s">
        <v>8</v>
      </c>
      <c r="C333" t="s">
        <v>8</v>
      </c>
      <c r="D333" t="s">
        <v>8</v>
      </c>
    </row>
    <row r="334" spans="1:4" x14ac:dyDescent="0.25">
      <c r="A334" t="s">
        <v>195</v>
      </c>
    </row>
    <row r="336" spans="1:4" x14ac:dyDescent="0.25">
      <c r="B336" t="s">
        <v>8</v>
      </c>
      <c r="C336" t="s">
        <v>8</v>
      </c>
      <c r="D336" t="s">
        <v>8</v>
      </c>
    </row>
    <row r="337" spans="1:4" x14ac:dyDescent="0.25">
      <c r="A337" t="s">
        <v>196</v>
      </c>
    </row>
    <row r="339" spans="1:4" x14ac:dyDescent="0.25">
      <c r="A339" t="s">
        <v>197</v>
      </c>
    </row>
    <row r="341" spans="1:4" x14ac:dyDescent="0.25">
      <c r="A341" t="s">
        <v>198</v>
      </c>
    </row>
    <row r="342" spans="1:4" x14ac:dyDescent="0.25">
      <c r="B342" t="s">
        <v>8</v>
      </c>
      <c r="C342" t="s">
        <v>8</v>
      </c>
      <c r="D342" t="s">
        <v>8</v>
      </c>
    </row>
    <row r="343" spans="1:4" x14ac:dyDescent="0.25">
      <c r="A343" t="s">
        <v>199</v>
      </c>
    </row>
    <row r="345" spans="1:4" x14ac:dyDescent="0.25">
      <c r="A345" t="s">
        <v>200</v>
      </c>
    </row>
    <row r="346" spans="1:4" x14ac:dyDescent="0.25">
      <c r="B346" t="s">
        <v>8</v>
      </c>
      <c r="C346" t="s">
        <v>8</v>
      </c>
      <c r="D346" t="s">
        <v>8</v>
      </c>
    </row>
    <row r="347" spans="1:4" x14ac:dyDescent="0.25">
      <c r="A347" t="s">
        <v>201</v>
      </c>
    </row>
    <row r="349" spans="1:4" x14ac:dyDescent="0.25">
      <c r="A349" t="s">
        <v>202</v>
      </c>
    </row>
    <row r="351" spans="1:4" x14ac:dyDescent="0.25">
      <c r="A351" t="s">
        <v>203</v>
      </c>
      <c r="B351" s="1">
        <v>8852426.2100000009</v>
      </c>
      <c r="C351" s="1">
        <v>8846836.6500000004</v>
      </c>
      <c r="D351" s="1">
        <v>5589.56</v>
      </c>
    </row>
    <row r="352" spans="1:4" x14ac:dyDescent="0.25">
      <c r="A352" t="s">
        <v>204</v>
      </c>
      <c r="B352" s="1">
        <v>8985792.4000000004</v>
      </c>
      <c r="C352" s="1">
        <v>8985692.3900000006</v>
      </c>
      <c r="D352">
        <v>100.01</v>
      </c>
    </row>
    <row r="353" spans="1:4" x14ac:dyDescent="0.25">
      <c r="A353" t="s">
        <v>205</v>
      </c>
      <c r="B353" s="1">
        <v>4311997.74</v>
      </c>
      <c r="C353" s="1">
        <v>4311997.74</v>
      </c>
    </row>
    <row r="354" spans="1:4" x14ac:dyDescent="0.25">
      <c r="A354" t="s">
        <v>206</v>
      </c>
      <c r="B354" s="1">
        <v>31207751.640000001</v>
      </c>
      <c r="C354" s="1">
        <v>30885370.059999999</v>
      </c>
      <c r="D354" s="1">
        <v>322381.58</v>
      </c>
    </row>
    <row r="355" spans="1:4" x14ac:dyDescent="0.25">
      <c r="A355" t="s">
        <v>207</v>
      </c>
      <c r="B355" s="1">
        <v>289601.51</v>
      </c>
      <c r="C355" s="1">
        <v>289601.51</v>
      </c>
    </row>
    <row r="356" spans="1:4" x14ac:dyDescent="0.25">
      <c r="A356" t="s">
        <v>2364</v>
      </c>
      <c r="B356" s="1">
        <v>483156.38</v>
      </c>
      <c r="C356" s="1">
        <v>55613.87</v>
      </c>
      <c r="D356" s="1">
        <v>427542.51</v>
      </c>
    </row>
    <row r="357" spans="1:4" x14ac:dyDescent="0.25">
      <c r="B357" t="s">
        <v>8</v>
      </c>
      <c r="C357" t="s">
        <v>8</v>
      </c>
      <c r="D357" t="s">
        <v>8</v>
      </c>
    </row>
    <row r="358" spans="1:4" x14ac:dyDescent="0.25">
      <c r="A358" t="s">
        <v>208</v>
      </c>
      <c r="B358" s="1">
        <v>54130725.880000003</v>
      </c>
      <c r="C358" s="1">
        <v>53375112.219999999</v>
      </c>
      <c r="D358" s="1">
        <v>755613.66</v>
      </c>
    </row>
    <row r="360" spans="1:4" x14ac:dyDescent="0.25">
      <c r="A360" t="s">
        <v>209</v>
      </c>
    </row>
    <row r="361" spans="1:4" x14ac:dyDescent="0.25">
      <c r="B361" t="s">
        <v>8</v>
      </c>
      <c r="C361" t="s">
        <v>8</v>
      </c>
      <c r="D361" t="s">
        <v>8</v>
      </c>
    </row>
    <row r="362" spans="1:4" x14ac:dyDescent="0.25">
      <c r="A362" t="s">
        <v>210</v>
      </c>
    </row>
    <row r="364" spans="1:4" x14ac:dyDescent="0.25">
      <c r="A364" t="s">
        <v>211</v>
      </c>
    </row>
    <row r="366" spans="1:4" x14ac:dyDescent="0.25">
      <c r="A366" t="s">
        <v>212</v>
      </c>
      <c r="B366" s="1">
        <v>6000633.2000000002</v>
      </c>
      <c r="C366" s="1">
        <v>6000633.2000000002</v>
      </c>
    </row>
    <row r="367" spans="1:4" x14ac:dyDescent="0.25">
      <c r="B367" t="s">
        <v>8</v>
      </c>
      <c r="C367" t="s">
        <v>8</v>
      </c>
      <c r="D367" t="s">
        <v>8</v>
      </c>
    </row>
    <row r="368" spans="1:4" x14ac:dyDescent="0.25">
      <c r="A368" t="s">
        <v>213</v>
      </c>
      <c r="B368" s="1">
        <v>6000633.2000000002</v>
      </c>
      <c r="C368" s="1">
        <v>6000633.2000000002</v>
      </c>
    </row>
    <row r="370" spans="1:4" x14ac:dyDescent="0.25">
      <c r="B370" t="s">
        <v>8</v>
      </c>
      <c r="C370" t="s">
        <v>8</v>
      </c>
      <c r="D370" t="s">
        <v>8</v>
      </c>
    </row>
    <row r="371" spans="1:4" x14ac:dyDescent="0.25">
      <c r="A371" t="s">
        <v>214</v>
      </c>
      <c r="B371" s="1">
        <v>60131359.079999998</v>
      </c>
      <c r="C371" s="1">
        <v>59375745.420000002</v>
      </c>
      <c r="D371" s="1">
        <v>755613.66</v>
      </c>
    </row>
    <row r="373" spans="1:4" x14ac:dyDescent="0.25">
      <c r="A373" t="s">
        <v>215</v>
      </c>
    </row>
    <row r="374" spans="1:4" x14ac:dyDescent="0.25">
      <c r="B374" t="s">
        <v>8</v>
      </c>
      <c r="C374" t="s">
        <v>8</v>
      </c>
      <c r="D374" t="s">
        <v>8</v>
      </c>
    </row>
    <row r="375" spans="1:4" x14ac:dyDescent="0.25">
      <c r="A375" t="s">
        <v>216</v>
      </c>
    </row>
    <row r="377" spans="1:4" x14ac:dyDescent="0.25">
      <c r="A377" t="s">
        <v>217</v>
      </c>
    </row>
    <row r="378" spans="1:4" x14ac:dyDescent="0.25">
      <c r="B378" t="s">
        <v>8</v>
      </c>
      <c r="C378" t="s">
        <v>8</v>
      </c>
      <c r="D378" t="s">
        <v>8</v>
      </c>
    </row>
    <row r="379" spans="1:4" x14ac:dyDescent="0.25">
      <c r="A379" t="s">
        <v>218</v>
      </c>
    </row>
    <row r="381" spans="1:4" x14ac:dyDescent="0.25">
      <c r="A381" t="s">
        <v>219</v>
      </c>
    </row>
    <row r="382" spans="1:4" x14ac:dyDescent="0.25">
      <c r="B382" t="s">
        <v>8</v>
      </c>
      <c r="C382" t="s">
        <v>8</v>
      </c>
      <c r="D382" t="s">
        <v>8</v>
      </c>
    </row>
    <row r="383" spans="1:4" x14ac:dyDescent="0.25">
      <c r="A383" t="s">
        <v>220</v>
      </c>
    </row>
    <row r="385" spans="1:4" x14ac:dyDescent="0.25">
      <c r="A385" t="s">
        <v>221</v>
      </c>
    </row>
    <row r="387" spans="1:4" x14ac:dyDescent="0.25">
      <c r="A387" t="s">
        <v>222</v>
      </c>
    </row>
    <row r="389" spans="1:4" x14ac:dyDescent="0.25">
      <c r="A389" t="s">
        <v>223</v>
      </c>
      <c r="B389" s="1">
        <v>162574250.88999999</v>
      </c>
      <c r="C389" s="1">
        <v>141430378.96000001</v>
      </c>
      <c r="D389" s="1">
        <v>21143871.93</v>
      </c>
    </row>
    <row r="390" spans="1:4" x14ac:dyDescent="0.25">
      <c r="A390" t="s">
        <v>224</v>
      </c>
      <c r="B390" s="1">
        <v>111021345.17</v>
      </c>
      <c r="C390" s="1">
        <v>90005598.109999999</v>
      </c>
      <c r="D390" s="1">
        <v>21015747.059999999</v>
      </c>
    </row>
    <row r="391" spans="1:4" x14ac:dyDescent="0.25">
      <c r="A391" t="s">
        <v>225</v>
      </c>
      <c r="B391" s="1">
        <v>18202506.399999999</v>
      </c>
      <c r="C391" s="1">
        <v>6615730.0099999998</v>
      </c>
      <c r="D391" s="1">
        <v>11586776.390000001</v>
      </c>
    </row>
    <row r="392" spans="1:4" x14ac:dyDescent="0.25">
      <c r="A392" t="s">
        <v>226</v>
      </c>
      <c r="B392" s="1">
        <v>822001.48</v>
      </c>
      <c r="C392" s="1">
        <v>822001.48</v>
      </c>
    </row>
    <row r="393" spans="1:4" x14ac:dyDescent="0.25">
      <c r="A393" t="s">
        <v>227</v>
      </c>
      <c r="B393" s="1">
        <v>5313280.07</v>
      </c>
      <c r="C393" s="1">
        <v>5313280.07</v>
      </c>
    </row>
    <row r="394" spans="1:4" x14ac:dyDescent="0.25">
      <c r="A394" t="s">
        <v>228</v>
      </c>
      <c r="B394" s="1">
        <v>76187608.730000004</v>
      </c>
      <c r="C394" s="1">
        <v>49003460.390000001</v>
      </c>
      <c r="D394" s="1">
        <v>27184148.34</v>
      </c>
    </row>
    <row r="395" spans="1:4" x14ac:dyDescent="0.25">
      <c r="A395" t="s">
        <v>229</v>
      </c>
      <c r="B395" s="1">
        <v>6850106.5300000003</v>
      </c>
      <c r="C395" s="1">
        <v>6850106.5300000003</v>
      </c>
    </row>
    <row r="396" spans="1:4" x14ac:dyDescent="0.25">
      <c r="A396" t="s">
        <v>230</v>
      </c>
      <c r="B396" s="1">
        <v>18157202.420000002</v>
      </c>
      <c r="C396" s="1">
        <v>18157202.420000002</v>
      </c>
    </row>
    <row r="397" spans="1:4" x14ac:dyDescent="0.25">
      <c r="B397" t="s">
        <v>8</v>
      </c>
      <c r="C397" t="s">
        <v>8</v>
      </c>
      <c r="D397" t="s">
        <v>8</v>
      </c>
    </row>
    <row r="398" spans="1:4" x14ac:dyDescent="0.25">
      <c r="A398" t="s">
        <v>231</v>
      </c>
      <c r="B398" s="1">
        <v>399128301.69</v>
      </c>
      <c r="C398" s="1">
        <v>318197757.97000003</v>
      </c>
      <c r="D398" s="1">
        <v>80930543.719999999</v>
      </c>
    </row>
    <row r="400" spans="1:4" x14ac:dyDescent="0.25">
      <c r="A400" t="s">
        <v>232</v>
      </c>
    </row>
    <row r="401" spans="1:4" x14ac:dyDescent="0.25">
      <c r="B401" t="s">
        <v>8</v>
      </c>
      <c r="C401" t="s">
        <v>8</v>
      </c>
      <c r="D401" t="s">
        <v>8</v>
      </c>
    </row>
    <row r="402" spans="1:4" x14ac:dyDescent="0.25">
      <c r="A402" t="s">
        <v>233</v>
      </c>
    </row>
    <row r="404" spans="1:4" x14ac:dyDescent="0.25">
      <c r="B404" t="s">
        <v>8</v>
      </c>
      <c r="C404" t="s">
        <v>8</v>
      </c>
      <c r="D404" t="s">
        <v>8</v>
      </c>
    </row>
    <row r="405" spans="1:4" x14ac:dyDescent="0.25">
      <c r="A405" t="s">
        <v>234</v>
      </c>
      <c r="B405" s="1">
        <v>399128301.69</v>
      </c>
      <c r="C405" s="1">
        <v>318197757.97000003</v>
      </c>
      <c r="D405" s="1">
        <v>80930543.719999999</v>
      </c>
    </row>
    <row r="407" spans="1:4" x14ac:dyDescent="0.25">
      <c r="A407" t="s">
        <v>235</v>
      </c>
    </row>
    <row r="408" spans="1:4" x14ac:dyDescent="0.25">
      <c r="B408" t="s">
        <v>8</v>
      </c>
      <c r="C408" t="s">
        <v>8</v>
      </c>
      <c r="D408" t="s">
        <v>8</v>
      </c>
    </row>
    <row r="409" spans="1:4" x14ac:dyDescent="0.25">
      <c r="A409" t="s">
        <v>236</v>
      </c>
    </row>
    <row r="411" spans="1:4" x14ac:dyDescent="0.25">
      <c r="A411" t="s">
        <v>237</v>
      </c>
    </row>
    <row r="413" spans="1:4" x14ac:dyDescent="0.25">
      <c r="A413" t="s">
        <v>238</v>
      </c>
    </row>
    <row r="415" spans="1:4" x14ac:dyDescent="0.25">
      <c r="A415" t="s">
        <v>239</v>
      </c>
      <c r="B415" s="1">
        <v>1379582073.03</v>
      </c>
      <c r="C415" s="1">
        <v>1273324538.51</v>
      </c>
      <c r="D415" s="1">
        <v>106257534.52</v>
      </c>
    </row>
    <row r="416" spans="1:4" x14ac:dyDescent="0.25">
      <c r="B416" t="s">
        <v>8</v>
      </c>
      <c r="C416" t="s">
        <v>8</v>
      </c>
      <c r="D416" t="s">
        <v>8</v>
      </c>
    </row>
    <row r="417" spans="1:4" x14ac:dyDescent="0.25">
      <c r="A417" t="s">
        <v>240</v>
      </c>
      <c r="B417" s="1">
        <v>1379582073.03</v>
      </c>
      <c r="C417" s="1">
        <v>1273324538.51</v>
      </c>
      <c r="D417" s="1">
        <v>106257534.52</v>
      </c>
    </row>
    <row r="419" spans="1:4" x14ac:dyDescent="0.25">
      <c r="A419" t="s">
        <v>241</v>
      </c>
    </row>
    <row r="420" spans="1:4" x14ac:dyDescent="0.25">
      <c r="B420" t="s">
        <v>8</v>
      </c>
      <c r="C420" t="s">
        <v>8</v>
      </c>
      <c r="D420" t="s">
        <v>8</v>
      </c>
    </row>
    <row r="421" spans="1:4" x14ac:dyDescent="0.25">
      <c r="A421" t="s">
        <v>242</v>
      </c>
    </row>
    <row r="423" spans="1:4" x14ac:dyDescent="0.25">
      <c r="B423" t="s">
        <v>8</v>
      </c>
      <c r="C423" t="s">
        <v>8</v>
      </c>
      <c r="D423" t="s">
        <v>8</v>
      </c>
    </row>
    <row r="424" spans="1:4" x14ac:dyDescent="0.25">
      <c r="A424" t="s">
        <v>243</v>
      </c>
      <c r="B424" s="1">
        <v>1379582073.03</v>
      </c>
      <c r="C424" s="1">
        <v>1273324538.51</v>
      </c>
      <c r="D424" s="1">
        <v>106257534.52</v>
      </c>
    </row>
    <row r="426" spans="1:4" x14ac:dyDescent="0.25">
      <c r="A426" t="s">
        <v>244</v>
      </c>
    </row>
    <row r="428" spans="1:4" x14ac:dyDescent="0.25">
      <c r="A428" t="s">
        <v>245</v>
      </c>
    </row>
    <row r="430" spans="1:4" x14ac:dyDescent="0.25">
      <c r="A430" t="s">
        <v>246</v>
      </c>
      <c r="B430" s="1">
        <v>1062482</v>
      </c>
      <c r="C430" s="1">
        <v>1062482</v>
      </c>
    </row>
    <row r="431" spans="1:4" x14ac:dyDescent="0.25">
      <c r="B431" t="s">
        <v>8</v>
      </c>
      <c r="C431" t="s">
        <v>8</v>
      </c>
      <c r="D431" t="s">
        <v>8</v>
      </c>
    </row>
    <row r="432" spans="1:4" x14ac:dyDescent="0.25">
      <c r="A432" t="s">
        <v>247</v>
      </c>
      <c r="B432" s="1">
        <v>1062482</v>
      </c>
      <c r="C432" s="1">
        <v>1062482</v>
      </c>
    </row>
    <row r="434" spans="1:4" x14ac:dyDescent="0.25">
      <c r="A434" t="s">
        <v>248</v>
      </c>
    </row>
    <row r="435" spans="1:4" x14ac:dyDescent="0.25">
      <c r="B435" t="s">
        <v>8</v>
      </c>
      <c r="C435" t="s">
        <v>8</v>
      </c>
      <c r="D435" t="s">
        <v>8</v>
      </c>
    </row>
    <row r="436" spans="1:4" x14ac:dyDescent="0.25">
      <c r="A436" t="s">
        <v>249</v>
      </c>
    </row>
    <row r="438" spans="1:4" x14ac:dyDescent="0.25">
      <c r="A438" t="s">
        <v>250</v>
      </c>
    </row>
    <row r="439" spans="1:4" x14ac:dyDescent="0.25">
      <c r="B439" t="s">
        <v>8</v>
      </c>
      <c r="C439" t="s">
        <v>8</v>
      </c>
      <c r="D439" t="s">
        <v>8</v>
      </c>
    </row>
    <row r="440" spans="1:4" x14ac:dyDescent="0.25">
      <c r="A440" t="s">
        <v>251</v>
      </c>
    </row>
    <row r="442" spans="1:4" x14ac:dyDescent="0.25">
      <c r="A442" t="s">
        <v>252</v>
      </c>
    </row>
    <row r="443" spans="1:4" x14ac:dyDescent="0.25">
      <c r="B443" t="s">
        <v>8</v>
      </c>
      <c r="C443" t="s">
        <v>8</v>
      </c>
      <c r="D443" t="s">
        <v>8</v>
      </c>
    </row>
    <row r="444" spans="1:4" x14ac:dyDescent="0.25">
      <c r="A444" t="s">
        <v>253</v>
      </c>
    </row>
    <row r="446" spans="1:4" x14ac:dyDescent="0.25">
      <c r="A446" t="s">
        <v>254</v>
      </c>
    </row>
    <row r="447" spans="1:4" x14ac:dyDescent="0.25">
      <c r="B447" t="s">
        <v>8</v>
      </c>
      <c r="C447" t="s">
        <v>8</v>
      </c>
      <c r="D447" t="s">
        <v>8</v>
      </c>
    </row>
    <row r="448" spans="1:4" x14ac:dyDescent="0.25">
      <c r="A448" t="s">
        <v>255</v>
      </c>
    </row>
    <row r="450" spans="1:4" x14ac:dyDescent="0.25">
      <c r="A450" t="s">
        <v>256</v>
      </c>
    </row>
    <row r="452" spans="1:4" x14ac:dyDescent="0.25">
      <c r="A452" t="s">
        <v>257</v>
      </c>
    </row>
    <row r="453" spans="1:4" x14ac:dyDescent="0.25">
      <c r="B453" t="s">
        <v>8</v>
      </c>
      <c r="C453" t="s">
        <v>8</v>
      </c>
      <c r="D453" t="s">
        <v>8</v>
      </c>
    </row>
    <row r="454" spans="1:4" x14ac:dyDescent="0.25">
      <c r="A454" t="s">
        <v>258</v>
      </c>
    </row>
    <row r="456" spans="1:4" x14ac:dyDescent="0.25">
      <c r="B456" t="s">
        <v>8</v>
      </c>
      <c r="C456" t="s">
        <v>8</v>
      </c>
      <c r="D456" t="s">
        <v>8</v>
      </c>
    </row>
    <row r="457" spans="1:4" x14ac:dyDescent="0.25">
      <c r="A457" t="s">
        <v>259</v>
      </c>
    </row>
    <row r="459" spans="1:4" x14ac:dyDescent="0.25">
      <c r="A459" t="s">
        <v>260</v>
      </c>
    </row>
    <row r="461" spans="1:4" x14ac:dyDescent="0.25">
      <c r="A461" t="s">
        <v>261</v>
      </c>
      <c r="B461" s="1">
        <v>157237429.69999999</v>
      </c>
      <c r="C461" s="1">
        <v>157237429.69999999</v>
      </c>
    </row>
    <row r="462" spans="1:4" x14ac:dyDescent="0.25">
      <c r="B462" t="s">
        <v>8</v>
      </c>
      <c r="C462" t="s">
        <v>8</v>
      </c>
      <c r="D462" t="s">
        <v>8</v>
      </c>
    </row>
    <row r="463" spans="1:4" x14ac:dyDescent="0.25">
      <c r="A463" t="s">
        <v>262</v>
      </c>
      <c r="B463" s="1">
        <v>157237429.69999999</v>
      </c>
      <c r="C463" s="1">
        <v>157237429.69999999</v>
      </c>
    </row>
    <row r="465" spans="1:4" x14ac:dyDescent="0.25">
      <c r="B465" t="s">
        <v>8</v>
      </c>
      <c r="C465" t="s">
        <v>8</v>
      </c>
      <c r="D465" t="s">
        <v>8</v>
      </c>
    </row>
    <row r="466" spans="1:4" x14ac:dyDescent="0.25">
      <c r="A466" t="s">
        <v>263</v>
      </c>
      <c r="B466" s="1">
        <v>158299911.69999999</v>
      </c>
      <c r="C466" s="1">
        <v>158299911.69999999</v>
      </c>
    </row>
    <row r="468" spans="1:4" x14ac:dyDescent="0.25">
      <c r="A468" t="s">
        <v>264</v>
      </c>
    </row>
    <row r="470" spans="1:4" x14ac:dyDescent="0.25">
      <c r="A470" t="s">
        <v>265</v>
      </c>
    </row>
    <row r="472" spans="1:4" x14ac:dyDescent="0.25">
      <c r="A472" t="s">
        <v>266</v>
      </c>
      <c r="B472" s="1">
        <v>30361433.129999999</v>
      </c>
      <c r="C472" s="1">
        <v>37176036.939999998</v>
      </c>
      <c r="D472" s="1">
        <v>-6814603.8099999996</v>
      </c>
    </row>
    <row r="473" spans="1:4" x14ac:dyDescent="0.25">
      <c r="B473" t="s">
        <v>8</v>
      </c>
      <c r="C473" t="s">
        <v>8</v>
      </c>
      <c r="D473" t="s">
        <v>8</v>
      </c>
    </row>
    <row r="474" spans="1:4" x14ac:dyDescent="0.25">
      <c r="A474" t="s">
        <v>267</v>
      </c>
      <c r="B474" s="1">
        <v>30361433.129999999</v>
      </c>
      <c r="C474" s="1">
        <v>37176036.939999998</v>
      </c>
      <c r="D474" s="1">
        <v>-6814603.8099999996</v>
      </c>
    </row>
    <row r="476" spans="1:4" x14ac:dyDescent="0.25">
      <c r="B476" t="s">
        <v>8</v>
      </c>
      <c r="C476" t="s">
        <v>8</v>
      </c>
      <c r="D476" t="s">
        <v>8</v>
      </c>
    </row>
    <row r="477" spans="1:4" x14ac:dyDescent="0.25">
      <c r="A477" t="s">
        <v>268</v>
      </c>
      <c r="B477" s="1">
        <v>30361433.129999999</v>
      </c>
      <c r="C477" s="1">
        <v>37176036.939999998</v>
      </c>
      <c r="D477" s="1">
        <v>-6814603.8099999996</v>
      </c>
    </row>
    <row r="479" spans="1:4" x14ac:dyDescent="0.25">
      <c r="A479" t="s">
        <v>269</v>
      </c>
    </row>
    <row r="481" spans="1:4" x14ac:dyDescent="0.25">
      <c r="A481" t="s">
        <v>270</v>
      </c>
    </row>
    <row r="482" spans="1:4" x14ac:dyDescent="0.25">
      <c r="B482" t="s">
        <v>8</v>
      </c>
      <c r="C482" t="s">
        <v>8</v>
      </c>
      <c r="D482" t="s">
        <v>8</v>
      </c>
    </row>
    <row r="483" spans="1:4" x14ac:dyDescent="0.25">
      <c r="A483" t="s">
        <v>271</v>
      </c>
    </row>
    <row r="485" spans="1:4" x14ac:dyDescent="0.25">
      <c r="B485" t="s">
        <v>8</v>
      </c>
      <c r="C485" t="s">
        <v>8</v>
      </c>
      <c r="D485" t="s">
        <v>8</v>
      </c>
    </row>
    <row r="486" spans="1:4" x14ac:dyDescent="0.25">
      <c r="A486" t="s">
        <v>272</v>
      </c>
    </row>
    <row r="488" spans="1:4" x14ac:dyDescent="0.25">
      <c r="A488" t="s">
        <v>273</v>
      </c>
    </row>
    <row r="490" spans="1:4" x14ac:dyDescent="0.25">
      <c r="A490" t="s">
        <v>274</v>
      </c>
    </row>
    <row r="492" spans="1:4" x14ac:dyDescent="0.25">
      <c r="A492" t="s">
        <v>275</v>
      </c>
      <c r="B492" s="1">
        <v>1974.22</v>
      </c>
      <c r="D492" s="1">
        <v>1974.22</v>
      </c>
    </row>
    <row r="493" spans="1:4" x14ac:dyDescent="0.25">
      <c r="A493" t="s">
        <v>276</v>
      </c>
      <c r="B493" s="1">
        <v>9127.39</v>
      </c>
      <c r="D493" s="1">
        <v>9127.39</v>
      </c>
    </row>
    <row r="494" spans="1:4" x14ac:dyDescent="0.25">
      <c r="A494" t="s">
        <v>277</v>
      </c>
      <c r="B494" s="1">
        <v>7176.39</v>
      </c>
      <c r="D494" s="1">
        <v>7176.39</v>
      </c>
    </row>
    <row r="495" spans="1:4" x14ac:dyDescent="0.25">
      <c r="A495" t="s">
        <v>278</v>
      </c>
      <c r="B495" s="1">
        <v>40307.17</v>
      </c>
      <c r="D495" s="1">
        <v>40307.17</v>
      </c>
    </row>
    <row r="496" spans="1:4" x14ac:dyDescent="0.25">
      <c r="A496" t="s">
        <v>279</v>
      </c>
      <c r="B496" s="1">
        <v>15036.91</v>
      </c>
      <c r="D496" s="1">
        <v>15036.91</v>
      </c>
    </row>
    <row r="497" spans="1:4" x14ac:dyDescent="0.25">
      <c r="A497" t="s">
        <v>280</v>
      </c>
      <c r="B497" s="1">
        <v>2001.32</v>
      </c>
      <c r="D497" s="1">
        <v>2001.32</v>
      </c>
    </row>
    <row r="498" spans="1:4" x14ac:dyDescent="0.25">
      <c r="A498" t="s">
        <v>281</v>
      </c>
      <c r="B498">
        <v>549.30999999999995</v>
      </c>
      <c r="D498">
        <v>549.30999999999995</v>
      </c>
    </row>
    <row r="499" spans="1:4" x14ac:dyDescent="0.25">
      <c r="A499" t="s">
        <v>282</v>
      </c>
      <c r="B499" s="1">
        <v>84443.94</v>
      </c>
      <c r="D499" s="1">
        <v>84443.94</v>
      </c>
    </row>
    <row r="500" spans="1:4" x14ac:dyDescent="0.25">
      <c r="A500" t="s">
        <v>283</v>
      </c>
      <c r="B500">
        <v>348.28</v>
      </c>
      <c r="D500">
        <v>348.28</v>
      </c>
    </row>
    <row r="501" spans="1:4" x14ac:dyDescent="0.25">
      <c r="A501" t="s">
        <v>284</v>
      </c>
      <c r="B501" s="1">
        <v>11118.7</v>
      </c>
      <c r="D501" s="1">
        <v>11118.7</v>
      </c>
    </row>
    <row r="502" spans="1:4" x14ac:dyDescent="0.25">
      <c r="A502" t="s">
        <v>285</v>
      </c>
      <c r="B502" s="1">
        <v>11444.38</v>
      </c>
      <c r="D502" s="1">
        <v>11444.38</v>
      </c>
    </row>
    <row r="503" spans="1:4" x14ac:dyDescent="0.25">
      <c r="A503" t="s">
        <v>286</v>
      </c>
      <c r="B503" s="1">
        <v>15290</v>
      </c>
      <c r="D503" s="1">
        <v>15290</v>
      </c>
    </row>
    <row r="504" spans="1:4" x14ac:dyDescent="0.25">
      <c r="A504" t="s">
        <v>287</v>
      </c>
      <c r="B504" s="1">
        <v>4124.21</v>
      </c>
      <c r="D504" s="1">
        <v>4124.21</v>
      </c>
    </row>
    <row r="505" spans="1:4" x14ac:dyDescent="0.25">
      <c r="A505" t="s">
        <v>288</v>
      </c>
      <c r="B505" s="1">
        <v>143618.26999999999</v>
      </c>
      <c r="D505" s="1">
        <v>143618.26999999999</v>
      </c>
    </row>
    <row r="506" spans="1:4" x14ac:dyDescent="0.25">
      <c r="A506" t="s">
        <v>289</v>
      </c>
      <c r="B506" s="1">
        <v>13581.05</v>
      </c>
      <c r="D506" s="1">
        <v>13581.05</v>
      </c>
    </row>
    <row r="507" spans="1:4" x14ac:dyDescent="0.25">
      <c r="A507" t="s">
        <v>290</v>
      </c>
      <c r="B507" s="1">
        <v>3448.96</v>
      </c>
      <c r="D507" s="1">
        <v>3448.96</v>
      </c>
    </row>
    <row r="508" spans="1:4" x14ac:dyDescent="0.25">
      <c r="A508" t="s">
        <v>291</v>
      </c>
      <c r="B508" s="1">
        <v>78221</v>
      </c>
      <c r="D508" s="1">
        <v>78221</v>
      </c>
    </row>
    <row r="509" spans="1:4" x14ac:dyDescent="0.25">
      <c r="A509" t="s">
        <v>292</v>
      </c>
      <c r="B509" s="1">
        <v>8064.63</v>
      </c>
      <c r="D509" s="1">
        <v>8064.63</v>
      </c>
    </row>
    <row r="510" spans="1:4" x14ac:dyDescent="0.25">
      <c r="A510" t="s">
        <v>293</v>
      </c>
      <c r="B510" s="1">
        <v>129060</v>
      </c>
      <c r="D510" s="1">
        <v>129060</v>
      </c>
    </row>
    <row r="511" spans="1:4" x14ac:dyDescent="0.25">
      <c r="A511" t="s">
        <v>294</v>
      </c>
      <c r="B511" s="1">
        <v>56720.32</v>
      </c>
      <c r="D511" s="1">
        <v>56720.32</v>
      </c>
    </row>
    <row r="512" spans="1:4" x14ac:dyDescent="0.25">
      <c r="A512" t="s">
        <v>295</v>
      </c>
      <c r="B512" s="1">
        <v>8705.41</v>
      </c>
      <c r="D512" s="1">
        <v>8705.41</v>
      </c>
    </row>
    <row r="513" spans="1:4" x14ac:dyDescent="0.25">
      <c r="A513" t="s">
        <v>296</v>
      </c>
      <c r="B513" s="1">
        <v>2590</v>
      </c>
      <c r="D513" s="1">
        <v>2590</v>
      </c>
    </row>
    <row r="514" spans="1:4" x14ac:dyDescent="0.25">
      <c r="A514" t="s">
        <v>297</v>
      </c>
      <c r="B514" s="1">
        <v>14424</v>
      </c>
      <c r="D514" s="1">
        <v>14424</v>
      </c>
    </row>
    <row r="515" spans="1:4" x14ac:dyDescent="0.25">
      <c r="A515" t="s">
        <v>298</v>
      </c>
      <c r="B515" s="1">
        <v>111760.54</v>
      </c>
      <c r="D515" s="1">
        <v>111760.54</v>
      </c>
    </row>
    <row r="516" spans="1:4" x14ac:dyDescent="0.25">
      <c r="A516" t="s">
        <v>299</v>
      </c>
      <c r="B516" s="1">
        <v>30338.560000000001</v>
      </c>
      <c r="D516" s="1">
        <v>30338.560000000001</v>
      </c>
    </row>
    <row r="517" spans="1:4" x14ac:dyDescent="0.25">
      <c r="A517" t="s">
        <v>300</v>
      </c>
      <c r="B517" s="1">
        <v>53652.24</v>
      </c>
      <c r="D517" s="1">
        <v>53652.24</v>
      </c>
    </row>
    <row r="518" spans="1:4" x14ac:dyDescent="0.25">
      <c r="A518" t="s">
        <v>301</v>
      </c>
      <c r="B518" s="1">
        <v>8439.9699999999993</v>
      </c>
      <c r="D518" s="1">
        <v>8439.9699999999993</v>
      </c>
    </row>
    <row r="519" spans="1:4" x14ac:dyDescent="0.25">
      <c r="A519" t="s">
        <v>302</v>
      </c>
      <c r="B519" s="1">
        <v>11497.92</v>
      </c>
      <c r="D519" s="1">
        <v>11497.92</v>
      </c>
    </row>
    <row r="520" spans="1:4" x14ac:dyDescent="0.25">
      <c r="A520" t="s">
        <v>303</v>
      </c>
      <c r="B520">
        <v>675</v>
      </c>
      <c r="D520">
        <v>675</v>
      </c>
    </row>
    <row r="521" spans="1:4" x14ac:dyDescent="0.25">
      <c r="A521" t="s">
        <v>304</v>
      </c>
      <c r="B521">
        <v>706.35</v>
      </c>
      <c r="D521">
        <v>706.35</v>
      </c>
    </row>
    <row r="522" spans="1:4" x14ac:dyDescent="0.25">
      <c r="A522" t="s">
        <v>305</v>
      </c>
      <c r="B522" s="1">
        <v>52970</v>
      </c>
      <c r="D522" s="1">
        <v>52970</v>
      </c>
    </row>
    <row r="523" spans="1:4" x14ac:dyDescent="0.25">
      <c r="A523" t="s">
        <v>306</v>
      </c>
      <c r="B523" s="1">
        <v>1493.8</v>
      </c>
      <c r="D523" s="1">
        <v>1493.8</v>
      </c>
    </row>
    <row r="524" spans="1:4" x14ac:dyDescent="0.25">
      <c r="A524" t="s">
        <v>307</v>
      </c>
      <c r="B524" s="1">
        <v>19353.41</v>
      </c>
      <c r="D524" s="1">
        <v>19353.41</v>
      </c>
    </row>
    <row r="525" spans="1:4" x14ac:dyDescent="0.25">
      <c r="A525" t="s">
        <v>308</v>
      </c>
      <c r="B525" s="1">
        <v>26889.09</v>
      </c>
      <c r="D525" s="1">
        <v>26889.09</v>
      </c>
    </row>
    <row r="526" spans="1:4" x14ac:dyDescent="0.25">
      <c r="A526" t="s">
        <v>309</v>
      </c>
      <c r="B526" s="1">
        <v>42872.22</v>
      </c>
      <c r="D526" s="1">
        <v>42872.22</v>
      </c>
    </row>
    <row r="527" spans="1:4" x14ac:dyDescent="0.25">
      <c r="A527" t="s">
        <v>310</v>
      </c>
      <c r="B527" s="1">
        <v>391129.44</v>
      </c>
      <c r="D527" s="1">
        <v>391129.44</v>
      </c>
    </row>
    <row r="528" spans="1:4" x14ac:dyDescent="0.25">
      <c r="A528" t="s">
        <v>311</v>
      </c>
      <c r="B528" s="1">
        <v>1642.97</v>
      </c>
      <c r="D528" s="1">
        <v>1642.97</v>
      </c>
    </row>
    <row r="529" spans="1:4" x14ac:dyDescent="0.25">
      <c r="A529" t="s">
        <v>312</v>
      </c>
      <c r="B529" s="1">
        <v>5256.57</v>
      </c>
      <c r="D529" s="1">
        <v>5256.57</v>
      </c>
    </row>
    <row r="530" spans="1:4" x14ac:dyDescent="0.25">
      <c r="A530" t="s">
        <v>313</v>
      </c>
      <c r="B530" s="1">
        <v>1377.54</v>
      </c>
      <c r="D530" s="1">
        <v>1377.54</v>
      </c>
    </row>
    <row r="531" spans="1:4" x14ac:dyDescent="0.25">
      <c r="B531" t="s">
        <v>8</v>
      </c>
      <c r="C531" t="s">
        <v>8</v>
      </c>
      <c r="D531" t="s">
        <v>8</v>
      </c>
    </row>
    <row r="532" spans="1:4" x14ac:dyDescent="0.25">
      <c r="A532" t="s">
        <v>314</v>
      </c>
      <c r="B532" s="1">
        <v>1421431.48</v>
      </c>
      <c r="D532" s="1">
        <v>1421431.48</v>
      </c>
    </row>
    <row r="534" spans="1:4" x14ac:dyDescent="0.25">
      <c r="B534" t="s">
        <v>8</v>
      </c>
      <c r="C534" t="s">
        <v>8</v>
      </c>
      <c r="D534" t="s">
        <v>8</v>
      </c>
    </row>
    <row r="535" spans="1:4" x14ac:dyDescent="0.25">
      <c r="A535" t="s">
        <v>315</v>
      </c>
      <c r="B535" s="1">
        <v>1421431.48</v>
      </c>
      <c r="D535" s="1">
        <v>1421431.48</v>
      </c>
    </row>
    <row r="537" spans="1:4" x14ac:dyDescent="0.25">
      <c r="A537" t="s">
        <v>316</v>
      </c>
    </row>
    <row r="539" spans="1:4" x14ac:dyDescent="0.25">
      <c r="A539" t="s">
        <v>317</v>
      </c>
    </row>
    <row r="541" spans="1:4" x14ac:dyDescent="0.25">
      <c r="A541" t="s">
        <v>318</v>
      </c>
      <c r="C541" s="1">
        <v>1974.22</v>
      </c>
      <c r="D541" s="1">
        <v>-1974.22</v>
      </c>
    </row>
    <row r="542" spans="1:4" x14ac:dyDescent="0.25">
      <c r="A542" t="s">
        <v>319</v>
      </c>
      <c r="C542" s="1">
        <v>9127.39</v>
      </c>
      <c r="D542" s="1">
        <v>-9127.39</v>
      </c>
    </row>
    <row r="543" spans="1:4" x14ac:dyDescent="0.25">
      <c r="A543" t="s">
        <v>320</v>
      </c>
      <c r="C543" s="1">
        <v>7176.39</v>
      </c>
      <c r="D543" s="1">
        <v>-7176.39</v>
      </c>
    </row>
    <row r="544" spans="1:4" x14ac:dyDescent="0.25">
      <c r="A544" t="s">
        <v>321</v>
      </c>
      <c r="C544" s="1">
        <v>40307.17</v>
      </c>
      <c r="D544" s="1">
        <v>-40307.17</v>
      </c>
    </row>
    <row r="545" spans="1:4" x14ac:dyDescent="0.25">
      <c r="A545" t="s">
        <v>322</v>
      </c>
      <c r="C545" s="1">
        <v>15036.91</v>
      </c>
      <c r="D545" s="1">
        <v>-15036.91</v>
      </c>
    </row>
    <row r="546" spans="1:4" x14ac:dyDescent="0.25">
      <c r="A546" t="s">
        <v>323</v>
      </c>
      <c r="C546" s="1">
        <v>2001.32</v>
      </c>
      <c r="D546" s="1">
        <v>-2001.32</v>
      </c>
    </row>
    <row r="547" spans="1:4" x14ac:dyDescent="0.25">
      <c r="A547" t="s">
        <v>324</v>
      </c>
      <c r="C547">
        <v>549.30999999999995</v>
      </c>
      <c r="D547">
        <v>-549.30999999999995</v>
      </c>
    </row>
    <row r="548" spans="1:4" x14ac:dyDescent="0.25">
      <c r="A548" t="s">
        <v>325</v>
      </c>
      <c r="C548" s="1">
        <v>84443.94</v>
      </c>
      <c r="D548" s="1">
        <v>-84443.94</v>
      </c>
    </row>
    <row r="549" spans="1:4" x14ac:dyDescent="0.25">
      <c r="A549" t="s">
        <v>326</v>
      </c>
      <c r="C549">
        <v>348.28</v>
      </c>
      <c r="D549">
        <v>-348.28</v>
      </c>
    </row>
    <row r="550" spans="1:4" x14ac:dyDescent="0.25">
      <c r="A550" t="s">
        <v>327</v>
      </c>
      <c r="C550" s="1">
        <v>11118.7</v>
      </c>
      <c r="D550" s="1">
        <v>-11118.7</v>
      </c>
    </row>
    <row r="551" spans="1:4" x14ac:dyDescent="0.25">
      <c r="A551" t="s">
        <v>328</v>
      </c>
      <c r="C551" s="1">
        <v>11444.38</v>
      </c>
      <c r="D551" s="1">
        <v>-11444.38</v>
      </c>
    </row>
    <row r="552" spans="1:4" x14ac:dyDescent="0.25">
      <c r="A552" t="s">
        <v>329</v>
      </c>
      <c r="C552" s="1">
        <v>15290</v>
      </c>
      <c r="D552" s="1">
        <v>-15290</v>
      </c>
    </row>
    <row r="553" spans="1:4" x14ac:dyDescent="0.25">
      <c r="A553" t="s">
        <v>330</v>
      </c>
      <c r="C553" s="1">
        <v>4124.21</v>
      </c>
      <c r="D553" s="1">
        <v>-4124.21</v>
      </c>
    </row>
    <row r="554" spans="1:4" x14ac:dyDescent="0.25">
      <c r="A554" t="s">
        <v>331</v>
      </c>
      <c r="C554" s="1">
        <v>143618.26999999999</v>
      </c>
      <c r="D554" s="1">
        <v>-143618.26999999999</v>
      </c>
    </row>
    <row r="555" spans="1:4" x14ac:dyDescent="0.25">
      <c r="A555" t="s">
        <v>332</v>
      </c>
      <c r="C555" s="1">
        <v>13581.05</v>
      </c>
      <c r="D555" s="1">
        <v>-13581.05</v>
      </c>
    </row>
    <row r="556" spans="1:4" x14ac:dyDescent="0.25">
      <c r="A556" t="s">
        <v>333</v>
      </c>
      <c r="C556" s="1">
        <v>3448.96</v>
      </c>
      <c r="D556" s="1">
        <v>-3448.96</v>
      </c>
    </row>
    <row r="557" spans="1:4" x14ac:dyDescent="0.25">
      <c r="A557" t="s">
        <v>334</v>
      </c>
      <c r="C557" s="1">
        <v>78221</v>
      </c>
      <c r="D557" s="1">
        <v>-78221</v>
      </c>
    </row>
    <row r="558" spans="1:4" x14ac:dyDescent="0.25">
      <c r="A558" t="s">
        <v>335</v>
      </c>
      <c r="C558" s="1">
        <v>8064.63</v>
      </c>
      <c r="D558" s="1">
        <v>-8064.63</v>
      </c>
    </row>
    <row r="559" spans="1:4" x14ac:dyDescent="0.25">
      <c r="A559" t="s">
        <v>336</v>
      </c>
      <c r="C559" s="1">
        <v>129060</v>
      </c>
      <c r="D559" s="1">
        <v>-129060</v>
      </c>
    </row>
    <row r="560" spans="1:4" x14ac:dyDescent="0.25">
      <c r="A560" t="s">
        <v>337</v>
      </c>
      <c r="C560" s="1">
        <v>56720.32</v>
      </c>
      <c r="D560" s="1">
        <v>-56720.32</v>
      </c>
    </row>
    <row r="561" spans="1:4" x14ac:dyDescent="0.25">
      <c r="A561" t="s">
        <v>338</v>
      </c>
      <c r="C561" s="1">
        <v>8705.41</v>
      </c>
      <c r="D561" s="1">
        <v>-8705.41</v>
      </c>
    </row>
    <row r="562" spans="1:4" x14ac:dyDescent="0.25">
      <c r="A562" t="s">
        <v>339</v>
      </c>
      <c r="C562" s="1">
        <v>2590</v>
      </c>
      <c r="D562" s="1">
        <v>-2590</v>
      </c>
    </row>
    <row r="563" spans="1:4" x14ac:dyDescent="0.25">
      <c r="A563" t="s">
        <v>340</v>
      </c>
      <c r="C563" s="1">
        <v>14424</v>
      </c>
      <c r="D563" s="1">
        <v>-14424</v>
      </c>
    </row>
    <row r="564" spans="1:4" x14ac:dyDescent="0.25">
      <c r="A564" t="s">
        <v>341</v>
      </c>
      <c r="C564" s="1">
        <v>111760.54</v>
      </c>
      <c r="D564" s="1">
        <v>-111760.54</v>
      </c>
    </row>
    <row r="565" spans="1:4" x14ac:dyDescent="0.25">
      <c r="A565" t="s">
        <v>342</v>
      </c>
      <c r="C565" s="1">
        <v>30338.560000000001</v>
      </c>
      <c r="D565" s="1">
        <v>-30338.560000000001</v>
      </c>
    </row>
    <row r="566" spans="1:4" x14ac:dyDescent="0.25">
      <c r="A566" t="s">
        <v>343</v>
      </c>
      <c r="C566" s="1">
        <v>8439.9699999999993</v>
      </c>
      <c r="D566" s="1">
        <v>-8439.9699999999993</v>
      </c>
    </row>
    <row r="567" spans="1:4" x14ac:dyDescent="0.25">
      <c r="A567" t="s">
        <v>344</v>
      </c>
      <c r="C567" s="1">
        <v>11497.92</v>
      </c>
      <c r="D567" s="1">
        <v>-11497.92</v>
      </c>
    </row>
    <row r="568" spans="1:4" x14ac:dyDescent="0.25">
      <c r="A568" t="s">
        <v>345</v>
      </c>
      <c r="C568">
        <v>675</v>
      </c>
      <c r="D568">
        <v>-675</v>
      </c>
    </row>
    <row r="569" spans="1:4" x14ac:dyDescent="0.25">
      <c r="A569" t="s">
        <v>346</v>
      </c>
      <c r="C569">
        <v>706.35</v>
      </c>
      <c r="D569">
        <v>-706.35</v>
      </c>
    </row>
    <row r="570" spans="1:4" x14ac:dyDescent="0.25">
      <c r="A570" t="s">
        <v>347</v>
      </c>
      <c r="C570" s="1">
        <v>52970</v>
      </c>
      <c r="D570" s="1">
        <v>-52970</v>
      </c>
    </row>
    <row r="571" spans="1:4" x14ac:dyDescent="0.25">
      <c r="A571" t="s">
        <v>348</v>
      </c>
      <c r="C571" s="1">
        <v>1493.8</v>
      </c>
      <c r="D571" s="1">
        <v>-1493.8</v>
      </c>
    </row>
    <row r="572" spans="1:4" x14ac:dyDescent="0.25">
      <c r="A572" t="s">
        <v>349</v>
      </c>
      <c r="C572" s="1">
        <v>19353.41</v>
      </c>
      <c r="D572" s="1">
        <v>-19353.41</v>
      </c>
    </row>
    <row r="573" spans="1:4" x14ac:dyDescent="0.25">
      <c r="A573" t="s">
        <v>350</v>
      </c>
      <c r="C573" s="1">
        <v>26889.09</v>
      </c>
      <c r="D573" s="1">
        <v>-26889.09</v>
      </c>
    </row>
    <row r="574" spans="1:4" x14ac:dyDescent="0.25">
      <c r="A574" t="s">
        <v>351</v>
      </c>
      <c r="C574" s="1">
        <v>42872.22</v>
      </c>
      <c r="D574" s="1">
        <v>-42872.22</v>
      </c>
    </row>
    <row r="575" spans="1:4" x14ac:dyDescent="0.25">
      <c r="A575" t="s">
        <v>352</v>
      </c>
      <c r="C575" s="1">
        <v>391129.44</v>
      </c>
      <c r="D575" s="1">
        <v>-391129.44</v>
      </c>
    </row>
    <row r="576" spans="1:4" x14ac:dyDescent="0.25">
      <c r="A576" t="s">
        <v>353</v>
      </c>
      <c r="C576" s="1">
        <v>1642.97</v>
      </c>
      <c r="D576" s="1">
        <v>-1642.97</v>
      </c>
    </row>
    <row r="577" spans="1:4" x14ac:dyDescent="0.25">
      <c r="A577" t="s">
        <v>354</v>
      </c>
      <c r="C577" s="1">
        <v>5256.57</v>
      </c>
      <c r="D577" s="1">
        <v>-5256.57</v>
      </c>
    </row>
    <row r="578" spans="1:4" x14ac:dyDescent="0.25">
      <c r="A578" t="s">
        <v>355</v>
      </c>
      <c r="C578" s="1">
        <v>1377.54</v>
      </c>
      <c r="D578" s="1">
        <v>-1377.54</v>
      </c>
    </row>
    <row r="579" spans="1:4" x14ac:dyDescent="0.25">
      <c r="B579" t="s">
        <v>8</v>
      </c>
      <c r="C579" t="s">
        <v>8</v>
      </c>
      <c r="D579" t="s">
        <v>8</v>
      </c>
    </row>
    <row r="580" spans="1:4" x14ac:dyDescent="0.25">
      <c r="A580" t="s">
        <v>356</v>
      </c>
      <c r="C580" s="1">
        <v>1367779.24</v>
      </c>
      <c r="D580" s="1">
        <v>-1367779.24</v>
      </c>
    </row>
    <row r="582" spans="1:4" x14ac:dyDescent="0.25">
      <c r="B582" t="s">
        <v>8</v>
      </c>
      <c r="C582" t="s">
        <v>8</v>
      </c>
      <c r="D582" t="s">
        <v>8</v>
      </c>
    </row>
    <row r="583" spans="1:4" x14ac:dyDescent="0.25">
      <c r="A583" t="s">
        <v>357</v>
      </c>
      <c r="C583" s="1">
        <v>1367779.24</v>
      </c>
      <c r="D583" s="1">
        <v>-1367779.24</v>
      </c>
    </row>
    <row r="585" spans="1:4" x14ac:dyDescent="0.25">
      <c r="A585" t="s">
        <v>358</v>
      </c>
    </row>
    <row r="587" spans="1:4" x14ac:dyDescent="0.25">
      <c r="A587" t="s">
        <v>359</v>
      </c>
    </row>
    <row r="588" spans="1:4" x14ac:dyDescent="0.25">
      <c r="B588" t="s">
        <v>8</v>
      </c>
      <c r="C588" t="s">
        <v>8</v>
      </c>
      <c r="D588" t="s">
        <v>8</v>
      </c>
    </row>
    <row r="589" spans="1:4" x14ac:dyDescent="0.25">
      <c r="A589" t="s">
        <v>360</v>
      </c>
    </row>
    <row r="591" spans="1:4" x14ac:dyDescent="0.25">
      <c r="B591" t="s">
        <v>8</v>
      </c>
      <c r="C591" t="s">
        <v>8</v>
      </c>
      <c r="D591" t="s">
        <v>8</v>
      </c>
    </row>
    <row r="592" spans="1:4" x14ac:dyDescent="0.25">
      <c r="A592" t="s">
        <v>361</v>
      </c>
    </row>
    <row r="594" spans="1:4" x14ac:dyDescent="0.25">
      <c r="A594" t="s">
        <v>362</v>
      </c>
    </row>
    <row r="596" spans="1:4" x14ac:dyDescent="0.25">
      <c r="A596" t="s">
        <v>363</v>
      </c>
    </row>
    <row r="597" spans="1:4" x14ac:dyDescent="0.25">
      <c r="B597" t="s">
        <v>8</v>
      </c>
      <c r="C597" t="s">
        <v>8</v>
      </c>
      <c r="D597" t="s">
        <v>8</v>
      </c>
    </row>
    <row r="598" spans="1:4" x14ac:dyDescent="0.25">
      <c r="A598" t="s">
        <v>364</v>
      </c>
    </row>
    <row r="600" spans="1:4" x14ac:dyDescent="0.25">
      <c r="B600" t="s">
        <v>8</v>
      </c>
      <c r="C600" t="s">
        <v>8</v>
      </c>
      <c r="D600" t="s">
        <v>8</v>
      </c>
    </row>
    <row r="601" spans="1:4" x14ac:dyDescent="0.25">
      <c r="A601" t="s">
        <v>365</v>
      </c>
    </row>
    <row r="603" spans="1:4" x14ac:dyDescent="0.25">
      <c r="A603" t="s">
        <v>366</v>
      </c>
    </row>
    <row r="605" spans="1:4" x14ac:dyDescent="0.25">
      <c r="A605" t="s">
        <v>367</v>
      </c>
    </row>
    <row r="606" spans="1:4" x14ac:dyDescent="0.25">
      <c r="B606" t="s">
        <v>8</v>
      </c>
      <c r="C606" t="s">
        <v>8</v>
      </c>
      <c r="D606" t="s">
        <v>8</v>
      </c>
    </row>
    <row r="607" spans="1:4" x14ac:dyDescent="0.25">
      <c r="A607" t="s">
        <v>368</v>
      </c>
    </row>
    <row r="609" spans="1:4" x14ac:dyDescent="0.25">
      <c r="B609" t="s">
        <v>8</v>
      </c>
      <c r="C609" t="s">
        <v>8</v>
      </c>
      <c r="D609" t="s">
        <v>8</v>
      </c>
    </row>
    <row r="610" spans="1:4" x14ac:dyDescent="0.25">
      <c r="A610" t="s">
        <v>369</v>
      </c>
    </row>
    <row r="612" spans="1:4" x14ac:dyDescent="0.25">
      <c r="A612" t="s">
        <v>370</v>
      </c>
    </row>
    <row r="614" spans="1:4" x14ac:dyDescent="0.25">
      <c r="A614" t="s">
        <v>371</v>
      </c>
    </row>
    <row r="615" spans="1:4" x14ac:dyDescent="0.25">
      <c r="B615" t="s">
        <v>8</v>
      </c>
      <c r="C615" t="s">
        <v>8</v>
      </c>
      <c r="D615" t="s">
        <v>8</v>
      </c>
    </row>
    <row r="616" spans="1:4" x14ac:dyDescent="0.25">
      <c r="A616" t="s">
        <v>372</v>
      </c>
    </row>
    <row r="618" spans="1:4" x14ac:dyDescent="0.25">
      <c r="B618" t="s">
        <v>8</v>
      </c>
      <c r="C618" t="s">
        <v>8</v>
      </c>
      <c r="D618" t="s">
        <v>8</v>
      </c>
    </row>
    <row r="619" spans="1:4" x14ac:dyDescent="0.25">
      <c r="A619" t="s">
        <v>373</v>
      </c>
    </row>
    <row r="621" spans="1:4" x14ac:dyDescent="0.25">
      <c r="A621" t="s">
        <v>374</v>
      </c>
    </row>
    <row r="623" spans="1:4" x14ac:dyDescent="0.25">
      <c r="A623" t="s">
        <v>375</v>
      </c>
    </row>
    <row r="625" spans="1:4" x14ac:dyDescent="0.25">
      <c r="A625" t="s">
        <v>376</v>
      </c>
      <c r="B625" s="1">
        <v>178472.42</v>
      </c>
      <c r="C625" s="1">
        <v>19972.419999999998</v>
      </c>
      <c r="D625" s="1">
        <v>158500</v>
      </c>
    </row>
    <row r="626" spans="1:4" x14ac:dyDescent="0.25">
      <c r="A626" t="s">
        <v>377</v>
      </c>
      <c r="B626" s="1">
        <v>4062</v>
      </c>
      <c r="D626" s="1">
        <v>4062</v>
      </c>
    </row>
    <row r="627" spans="1:4" x14ac:dyDescent="0.25">
      <c r="B627" t="s">
        <v>8</v>
      </c>
      <c r="C627" t="s">
        <v>8</v>
      </c>
      <c r="D627" t="s">
        <v>8</v>
      </c>
    </row>
    <row r="628" spans="1:4" x14ac:dyDescent="0.25">
      <c r="A628" t="s">
        <v>378</v>
      </c>
      <c r="B628" s="1">
        <v>182534.42</v>
      </c>
      <c r="C628" s="1">
        <v>19972.419999999998</v>
      </c>
      <c r="D628" s="1">
        <v>162562</v>
      </c>
    </row>
    <row r="630" spans="1:4" x14ac:dyDescent="0.25">
      <c r="A630" t="s">
        <v>379</v>
      </c>
    </row>
    <row r="632" spans="1:4" x14ac:dyDescent="0.25">
      <c r="A632" t="s">
        <v>380</v>
      </c>
      <c r="B632" s="1">
        <v>58726808.710000001</v>
      </c>
      <c r="C632" s="1">
        <v>44116574.899999999</v>
      </c>
      <c r="D632" s="1">
        <v>14610233.810000001</v>
      </c>
    </row>
    <row r="633" spans="1:4" x14ac:dyDescent="0.25">
      <c r="B633" t="s">
        <v>8</v>
      </c>
      <c r="C633" t="s">
        <v>8</v>
      </c>
      <c r="D633" t="s">
        <v>8</v>
      </c>
    </row>
    <row r="634" spans="1:4" x14ac:dyDescent="0.25">
      <c r="A634" t="s">
        <v>381</v>
      </c>
      <c r="B634" s="1">
        <v>58726808.710000001</v>
      </c>
      <c r="C634" s="1">
        <v>44116574.899999999</v>
      </c>
      <c r="D634" s="1">
        <v>14610233.810000001</v>
      </c>
    </row>
    <row r="636" spans="1:4" x14ac:dyDescent="0.25">
      <c r="B636" t="s">
        <v>8</v>
      </c>
      <c r="C636" t="s">
        <v>8</v>
      </c>
      <c r="D636" t="s">
        <v>8</v>
      </c>
    </row>
    <row r="637" spans="1:4" x14ac:dyDescent="0.25">
      <c r="A637" t="s">
        <v>382</v>
      </c>
      <c r="B637" s="1">
        <v>58909343.130000003</v>
      </c>
      <c r="C637" s="1">
        <v>44136547.32</v>
      </c>
      <c r="D637" s="1">
        <v>14772795.810000001</v>
      </c>
    </row>
    <row r="639" spans="1:4" x14ac:dyDescent="0.25">
      <c r="A639" t="s">
        <v>383</v>
      </c>
    </row>
    <row r="641" spans="1:4" x14ac:dyDescent="0.25">
      <c r="A641" t="s">
        <v>384</v>
      </c>
    </row>
    <row r="643" spans="1:4" x14ac:dyDescent="0.25">
      <c r="A643" t="s">
        <v>385</v>
      </c>
      <c r="B643" s="1">
        <v>42286118.93</v>
      </c>
      <c r="C643" s="1">
        <v>29872887.379999999</v>
      </c>
      <c r="D643" s="1">
        <v>12413231.550000001</v>
      </c>
    </row>
    <row r="644" spans="1:4" x14ac:dyDescent="0.25">
      <c r="A644" t="s">
        <v>386</v>
      </c>
      <c r="B644" s="1">
        <v>13283740.210000001</v>
      </c>
      <c r="C644" s="1">
        <v>10732113.050000001</v>
      </c>
      <c r="D644" s="1">
        <v>2551627.16</v>
      </c>
    </row>
    <row r="645" spans="1:4" x14ac:dyDescent="0.25">
      <c r="A645" t="s">
        <v>387</v>
      </c>
      <c r="B645" s="1">
        <v>3732156.26</v>
      </c>
      <c r="C645" s="1">
        <v>1956818.46</v>
      </c>
      <c r="D645" s="1">
        <v>1775337.8</v>
      </c>
    </row>
    <row r="646" spans="1:4" x14ac:dyDescent="0.25">
      <c r="A646" t="s">
        <v>388</v>
      </c>
      <c r="B646" s="1">
        <v>97481.43</v>
      </c>
      <c r="C646" s="1">
        <v>86345.58</v>
      </c>
      <c r="D646" s="1">
        <v>11135.85</v>
      </c>
    </row>
    <row r="647" spans="1:4" x14ac:dyDescent="0.25">
      <c r="A647" t="s">
        <v>389</v>
      </c>
      <c r="B647" s="1">
        <v>24182102.829999998</v>
      </c>
      <c r="C647" s="1">
        <v>19866972.73</v>
      </c>
      <c r="D647" s="1">
        <v>4315130.0999999996</v>
      </c>
    </row>
    <row r="648" spans="1:4" x14ac:dyDescent="0.25">
      <c r="A648" t="s">
        <v>390</v>
      </c>
      <c r="B648" s="1">
        <v>29710618.399999999</v>
      </c>
      <c r="C648" s="1">
        <v>21042325.98</v>
      </c>
      <c r="D648" s="1">
        <v>8668292.4199999999</v>
      </c>
    </row>
    <row r="649" spans="1:4" x14ac:dyDescent="0.25">
      <c r="A649" t="s">
        <v>391</v>
      </c>
      <c r="B649" s="1">
        <v>26357645.329999998</v>
      </c>
      <c r="C649" s="1">
        <v>19096264.620000001</v>
      </c>
      <c r="D649" s="1">
        <v>7261380.71</v>
      </c>
    </row>
    <row r="650" spans="1:4" x14ac:dyDescent="0.25">
      <c r="A650" t="s">
        <v>392</v>
      </c>
      <c r="B650" s="1">
        <v>131764</v>
      </c>
      <c r="C650" s="1">
        <v>46781.71</v>
      </c>
      <c r="D650" s="1">
        <v>84982.29</v>
      </c>
    </row>
    <row r="651" spans="1:4" x14ac:dyDescent="0.25">
      <c r="A651" t="s">
        <v>393</v>
      </c>
      <c r="B651" s="1">
        <v>101466838.45999999</v>
      </c>
      <c r="C651" s="1">
        <v>71741303.590000004</v>
      </c>
      <c r="D651" s="1">
        <v>29725534.870000001</v>
      </c>
    </row>
    <row r="652" spans="1:4" x14ac:dyDescent="0.25">
      <c r="A652" t="s">
        <v>394</v>
      </c>
      <c r="B652" s="1">
        <v>530881.79</v>
      </c>
      <c r="C652" s="1">
        <v>371661.05</v>
      </c>
      <c r="D652" s="1">
        <v>159220.74</v>
      </c>
    </row>
    <row r="653" spans="1:4" x14ac:dyDescent="0.25">
      <c r="A653" t="s">
        <v>395</v>
      </c>
      <c r="B653" s="1">
        <v>1243546.6399999999</v>
      </c>
      <c r="C653" s="1">
        <v>49500.65</v>
      </c>
      <c r="D653" s="1">
        <v>1194045.99</v>
      </c>
    </row>
    <row r="654" spans="1:4" x14ac:dyDescent="0.25">
      <c r="A654" t="s">
        <v>396</v>
      </c>
      <c r="B654" s="1">
        <v>2465677.75</v>
      </c>
      <c r="C654" s="1">
        <v>898047.85</v>
      </c>
      <c r="D654" s="1">
        <v>1567629.9</v>
      </c>
    </row>
    <row r="655" spans="1:4" x14ac:dyDescent="0.25">
      <c r="A655" t="s">
        <v>397</v>
      </c>
      <c r="B655" s="1">
        <v>67326549.420000002</v>
      </c>
      <c r="C655" s="1">
        <v>48439470.520000003</v>
      </c>
      <c r="D655" s="1">
        <v>18887078.899999999</v>
      </c>
    </row>
    <row r="656" spans="1:4" x14ac:dyDescent="0.25">
      <c r="A656" t="s">
        <v>398</v>
      </c>
      <c r="B656" s="1">
        <v>160995838.47</v>
      </c>
      <c r="C656" s="1">
        <v>144890287.25</v>
      </c>
      <c r="D656" s="1">
        <v>16105551.220000001</v>
      </c>
    </row>
    <row r="657" spans="1:4" x14ac:dyDescent="0.25">
      <c r="A657" t="s">
        <v>399</v>
      </c>
      <c r="B657" s="1">
        <v>40385921.859999999</v>
      </c>
      <c r="C657" s="1">
        <v>32765750.600000001</v>
      </c>
      <c r="D657" s="1">
        <v>7620171.2599999998</v>
      </c>
    </row>
    <row r="658" spans="1:4" x14ac:dyDescent="0.25">
      <c r="A658" t="s">
        <v>400</v>
      </c>
      <c r="B658" s="1">
        <v>48110395.299999997</v>
      </c>
      <c r="C658" s="1">
        <v>44320885.469999999</v>
      </c>
      <c r="D658" s="1">
        <v>3789509.83</v>
      </c>
    </row>
    <row r="659" spans="1:4" x14ac:dyDescent="0.25">
      <c r="A659" t="s">
        <v>401</v>
      </c>
      <c r="B659" s="1">
        <v>7516473.2699999996</v>
      </c>
      <c r="C659" s="1">
        <v>6175155.2999999998</v>
      </c>
      <c r="D659" s="1">
        <v>1341317.97</v>
      </c>
    </row>
    <row r="660" spans="1:4" x14ac:dyDescent="0.25">
      <c r="A660" t="s">
        <v>402</v>
      </c>
      <c r="B660" s="1">
        <v>5628314.5099999998</v>
      </c>
      <c r="C660" s="1">
        <v>5241672.05</v>
      </c>
      <c r="D660" s="1">
        <v>386642.46</v>
      </c>
    </row>
    <row r="661" spans="1:4" x14ac:dyDescent="0.25">
      <c r="A661" t="s">
        <v>403</v>
      </c>
      <c r="B661" s="1">
        <v>3773662.87</v>
      </c>
      <c r="C661" s="1">
        <v>3167612.78</v>
      </c>
      <c r="D661" s="1">
        <v>606050.09</v>
      </c>
    </row>
    <row r="662" spans="1:4" x14ac:dyDescent="0.25">
      <c r="A662" t="s">
        <v>404</v>
      </c>
      <c r="B662" s="1">
        <v>154899.81</v>
      </c>
      <c r="C662" s="1">
        <v>65415.01</v>
      </c>
      <c r="D662" s="1">
        <v>89484.800000000003</v>
      </c>
    </row>
    <row r="663" spans="1:4" x14ac:dyDescent="0.25">
      <c r="A663" t="s">
        <v>405</v>
      </c>
      <c r="B663" s="1">
        <v>529861945.94</v>
      </c>
      <c r="C663" s="1">
        <v>486475850</v>
      </c>
      <c r="D663" s="1">
        <v>43386095.939999998</v>
      </c>
    </row>
    <row r="664" spans="1:4" x14ac:dyDescent="0.25">
      <c r="A664" t="s">
        <v>406</v>
      </c>
      <c r="B664" s="1">
        <v>2673563.04</v>
      </c>
      <c r="C664" s="1">
        <v>2444978.5</v>
      </c>
      <c r="D664" s="1">
        <v>228584.54</v>
      </c>
    </row>
    <row r="665" spans="1:4" x14ac:dyDescent="0.25">
      <c r="A665" t="s">
        <v>407</v>
      </c>
      <c r="B665" s="1">
        <v>123485.68</v>
      </c>
      <c r="C665" s="1">
        <v>123485.68</v>
      </c>
    </row>
    <row r="666" spans="1:4" x14ac:dyDescent="0.25">
      <c r="A666" t="s">
        <v>408</v>
      </c>
      <c r="B666" s="1">
        <v>173266428.71000001</v>
      </c>
      <c r="C666" s="1">
        <v>162059774.28999999</v>
      </c>
      <c r="D666" s="1">
        <v>11206654.42</v>
      </c>
    </row>
    <row r="667" spans="1:4" x14ac:dyDescent="0.25">
      <c r="A667" t="s">
        <v>409</v>
      </c>
      <c r="B667" s="1">
        <v>268583.2</v>
      </c>
      <c r="C667" s="1">
        <v>268406.74</v>
      </c>
      <c r="D667">
        <v>176.46</v>
      </c>
    </row>
    <row r="668" spans="1:4" x14ac:dyDescent="0.25">
      <c r="A668" t="s">
        <v>410</v>
      </c>
      <c r="B668" s="1">
        <v>267289826903.89001</v>
      </c>
      <c r="C668" s="1">
        <v>267289826703.91</v>
      </c>
      <c r="D668">
        <v>199.98</v>
      </c>
    </row>
    <row r="669" spans="1:4" x14ac:dyDescent="0.25">
      <c r="A669" t="s">
        <v>411</v>
      </c>
      <c r="B669" s="1">
        <v>4123238.82</v>
      </c>
      <c r="C669" s="1">
        <v>2807992.68</v>
      </c>
      <c r="D669" s="1">
        <v>1315246.1399999999</v>
      </c>
    </row>
    <row r="670" spans="1:4" x14ac:dyDescent="0.25">
      <c r="A670" t="s">
        <v>412</v>
      </c>
      <c r="B670" s="1">
        <v>4117848.58</v>
      </c>
      <c r="C670" s="1">
        <v>3084636.34</v>
      </c>
      <c r="D670" s="1">
        <v>1033212.24</v>
      </c>
    </row>
    <row r="671" spans="1:4" x14ac:dyDescent="0.25">
      <c r="B671" t="s">
        <v>8</v>
      </c>
      <c r="C671" t="s">
        <v>8</v>
      </c>
      <c r="D671" t="s">
        <v>8</v>
      </c>
    </row>
    <row r="672" spans="1:4" x14ac:dyDescent="0.25">
      <c r="A672" t="s">
        <v>413</v>
      </c>
      <c r="B672" s="1">
        <v>268583642625.39999</v>
      </c>
      <c r="C672" s="1">
        <v>268407919099.76999</v>
      </c>
      <c r="D672" s="1">
        <v>175723525.63</v>
      </c>
    </row>
    <row r="674" spans="1:4" x14ac:dyDescent="0.25">
      <c r="A674" t="s">
        <v>414</v>
      </c>
    </row>
    <row r="676" spans="1:4" x14ac:dyDescent="0.25">
      <c r="A676" t="s">
        <v>415</v>
      </c>
      <c r="B676" s="1">
        <v>27049653.809999999</v>
      </c>
      <c r="C676" s="1">
        <v>10807696.699999999</v>
      </c>
      <c r="D676" s="1">
        <v>16241957.109999999</v>
      </c>
    </row>
    <row r="677" spans="1:4" x14ac:dyDescent="0.25">
      <c r="B677" t="s">
        <v>8</v>
      </c>
      <c r="C677" t="s">
        <v>8</v>
      </c>
      <c r="D677" t="s">
        <v>8</v>
      </c>
    </row>
    <row r="678" spans="1:4" x14ac:dyDescent="0.25">
      <c r="A678" t="s">
        <v>416</v>
      </c>
      <c r="B678" s="1">
        <v>27049653.809999999</v>
      </c>
      <c r="C678" s="1">
        <v>10807696.699999999</v>
      </c>
      <c r="D678" s="1">
        <v>16241957.109999999</v>
      </c>
    </row>
    <row r="680" spans="1:4" x14ac:dyDescent="0.25">
      <c r="B680" t="s">
        <v>8</v>
      </c>
      <c r="C680" t="s">
        <v>8</v>
      </c>
      <c r="D680" t="s">
        <v>8</v>
      </c>
    </row>
    <row r="681" spans="1:4" x14ac:dyDescent="0.25">
      <c r="A681" t="s">
        <v>417</v>
      </c>
      <c r="B681" s="1">
        <v>268610692279.20999</v>
      </c>
      <c r="C681" s="1">
        <v>268418726796.47</v>
      </c>
      <c r="D681" s="1">
        <v>191965482.74000001</v>
      </c>
    </row>
    <row r="683" spans="1:4" x14ac:dyDescent="0.25">
      <c r="A683" t="s">
        <v>418</v>
      </c>
    </row>
    <row r="685" spans="1:4" x14ac:dyDescent="0.25">
      <c r="A685" t="s">
        <v>419</v>
      </c>
    </row>
    <row r="686" spans="1:4" x14ac:dyDescent="0.25">
      <c r="B686" t="s">
        <v>8</v>
      </c>
      <c r="C686" t="s">
        <v>8</v>
      </c>
      <c r="D686" t="s">
        <v>8</v>
      </c>
    </row>
    <row r="687" spans="1:4" x14ac:dyDescent="0.25">
      <c r="A687" t="s">
        <v>420</v>
      </c>
    </row>
    <row r="689" spans="1:4" x14ac:dyDescent="0.25">
      <c r="A689" t="s">
        <v>421</v>
      </c>
    </row>
    <row r="691" spans="1:4" x14ac:dyDescent="0.25">
      <c r="A691" t="s">
        <v>422</v>
      </c>
      <c r="B691" s="1">
        <v>15250</v>
      </c>
      <c r="D691" s="1">
        <v>15250</v>
      </c>
    </row>
    <row r="692" spans="1:4" x14ac:dyDescent="0.25">
      <c r="B692" t="s">
        <v>8</v>
      </c>
      <c r="C692" t="s">
        <v>8</v>
      </c>
      <c r="D692" t="s">
        <v>8</v>
      </c>
    </row>
    <row r="693" spans="1:4" x14ac:dyDescent="0.25">
      <c r="A693" t="s">
        <v>423</v>
      </c>
      <c r="B693" s="1">
        <v>15250</v>
      </c>
      <c r="D693" s="1">
        <v>15250</v>
      </c>
    </row>
    <row r="695" spans="1:4" x14ac:dyDescent="0.25">
      <c r="A695" t="s">
        <v>424</v>
      </c>
    </row>
    <row r="696" spans="1:4" x14ac:dyDescent="0.25">
      <c r="B696" t="s">
        <v>8</v>
      </c>
      <c r="C696" t="s">
        <v>8</v>
      </c>
      <c r="D696" t="s">
        <v>8</v>
      </c>
    </row>
    <row r="697" spans="1:4" x14ac:dyDescent="0.25">
      <c r="A697" t="s">
        <v>425</v>
      </c>
    </row>
    <row r="699" spans="1:4" x14ac:dyDescent="0.25">
      <c r="A699" t="s">
        <v>426</v>
      </c>
    </row>
    <row r="701" spans="1:4" x14ac:dyDescent="0.25">
      <c r="A701" t="s">
        <v>427</v>
      </c>
      <c r="B701" s="1">
        <v>86629.94</v>
      </c>
      <c r="D701" s="1">
        <v>86629.94</v>
      </c>
    </row>
    <row r="702" spans="1:4" x14ac:dyDescent="0.25">
      <c r="B702" t="s">
        <v>8</v>
      </c>
      <c r="C702" t="s">
        <v>8</v>
      </c>
      <c r="D702" t="s">
        <v>8</v>
      </c>
    </row>
    <row r="703" spans="1:4" x14ac:dyDescent="0.25">
      <c r="A703" t="s">
        <v>428</v>
      </c>
      <c r="B703" s="1">
        <v>86629.94</v>
      </c>
      <c r="D703" s="1">
        <v>86629.94</v>
      </c>
    </row>
    <row r="705" spans="1:4" x14ac:dyDescent="0.25">
      <c r="B705" t="s">
        <v>8</v>
      </c>
      <c r="C705" t="s">
        <v>8</v>
      </c>
      <c r="D705" t="s">
        <v>8</v>
      </c>
    </row>
    <row r="706" spans="1:4" x14ac:dyDescent="0.25">
      <c r="A706" t="s">
        <v>429</v>
      </c>
      <c r="B706" s="1">
        <v>101879.94</v>
      </c>
      <c r="D706" s="1">
        <v>101879.94</v>
      </c>
    </row>
    <row r="708" spans="1:4" x14ac:dyDescent="0.25">
      <c r="A708" t="s">
        <v>430</v>
      </c>
    </row>
    <row r="710" spans="1:4" x14ac:dyDescent="0.25">
      <c r="A710" t="s">
        <v>431</v>
      </c>
    </row>
    <row r="712" spans="1:4" x14ac:dyDescent="0.25">
      <c r="A712" t="s">
        <v>432</v>
      </c>
      <c r="B712" s="1">
        <v>63362500.990000002</v>
      </c>
      <c r="C712" s="1">
        <v>58607925.700000003</v>
      </c>
      <c r="D712" s="1">
        <v>4754575.29</v>
      </c>
    </row>
    <row r="713" spans="1:4" x14ac:dyDescent="0.25">
      <c r="B713" t="s">
        <v>8</v>
      </c>
      <c r="C713" t="s">
        <v>8</v>
      </c>
      <c r="D713" t="s">
        <v>8</v>
      </c>
    </row>
    <row r="714" spans="1:4" x14ac:dyDescent="0.25">
      <c r="A714" t="s">
        <v>433</v>
      </c>
      <c r="B714" s="1">
        <v>63362500.990000002</v>
      </c>
      <c r="C714" s="1">
        <v>58607925.700000003</v>
      </c>
      <c r="D714" s="1">
        <v>4754575.29</v>
      </c>
    </row>
    <row r="716" spans="1:4" x14ac:dyDescent="0.25">
      <c r="B716" t="s">
        <v>8</v>
      </c>
      <c r="C716" t="s">
        <v>8</v>
      </c>
      <c r="D716" t="s">
        <v>8</v>
      </c>
    </row>
    <row r="717" spans="1:4" x14ac:dyDescent="0.25">
      <c r="A717" t="s">
        <v>434</v>
      </c>
      <c r="B717" s="1">
        <v>63362500.990000002</v>
      </c>
      <c r="C717" s="1">
        <v>58607925.700000003</v>
      </c>
      <c r="D717" s="1">
        <v>4754575.29</v>
      </c>
    </row>
    <row r="719" spans="1:4" x14ac:dyDescent="0.25">
      <c r="A719" t="s">
        <v>435</v>
      </c>
    </row>
    <row r="721" spans="1:4" x14ac:dyDescent="0.25">
      <c r="A721" t="s">
        <v>436</v>
      </c>
    </row>
    <row r="722" spans="1:4" x14ac:dyDescent="0.25">
      <c r="B722" t="s">
        <v>8</v>
      </c>
      <c r="C722" t="s">
        <v>8</v>
      </c>
      <c r="D722" t="s">
        <v>8</v>
      </c>
    </row>
    <row r="723" spans="1:4" x14ac:dyDescent="0.25">
      <c r="A723" t="s">
        <v>437</v>
      </c>
    </row>
    <row r="725" spans="1:4" x14ac:dyDescent="0.25">
      <c r="A725" t="s">
        <v>438</v>
      </c>
    </row>
    <row r="727" spans="1:4" x14ac:dyDescent="0.25">
      <c r="A727" t="s">
        <v>439</v>
      </c>
      <c r="B727" s="1">
        <v>86921.279999999999</v>
      </c>
      <c r="C727" s="1">
        <v>86921.279999999999</v>
      </c>
    </row>
    <row r="728" spans="1:4" x14ac:dyDescent="0.25">
      <c r="A728" t="s">
        <v>440</v>
      </c>
      <c r="B728" s="1">
        <v>92029.95</v>
      </c>
      <c r="C728" s="1">
        <v>92029.95</v>
      </c>
    </row>
    <row r="729" spans="1:4" x14ac:dyDescent="0.25">
      <c r="A729" t="s">
        <v>441</v>
      </c>
      <c r="B729" s="1">
        <v>101375.47</v>
      </c>
      <c r="C729" s="1">
        <v>101375.47</v>
      </c>
    </row>
    <row r="730" spans="1:4" x14ac:dyDescent="0.25">
      <c r="A730" t="s">
        <v>442</v>
      </c>
      <c r="B730" s="1">
        <v>97711.93</v>
      </c>
      <c r="C730" s="1">
        <v>97711.93</v>
      </c>
    </row>
    <row r="731" spans="1:4" x14ac:dyDescent="0.25">
      <c r="A731" t="s">
        <v>443</v>
      </c>
      <c r="B731" s="1">
        <v>99984.960000000006</v>
      </c>
      <c r="C731" s="1">
        <v>99984.960000000006</v>
      </c>
    </row>
    <row r="732" spans="1:4" x14ac:dyDescent="0.25">
      <c r="A732" t="s">
        <v>444</v>
      </c>
      <c r="B732" s="1">
        <v>95073.44</v>
      </c>
      <c r="C732" s="1">
        <v>95073.44</v>
      </c>
    </row>
    <row r="733" spans="1:4" x14ac:dyDescent="0.25">
      <c r="A733" t="s">
        <v>445</v>
      </c>
      <c r="B733" s="1">
        <v>127336.42</v>
      </c>
      <c r="C733" s="1">
        <v>127336.42</v>
      </c>
    </row>
    <row r="734" spans="1:4" x14ac:dyDescent="0.25">
      <c r="A734" t="s">
        <v>446</v>
      </c>
      <c r="B734" s="1">
        <v>123635.4</v>
      </c>
      <c r="C734" s="1">
        <v>123635.4</v>
      </c>
    </row>
    <row r="735" spans="1:4" x14ac:dyDescent="0.25">
      <c r="A735" t="s">
        <v>447</v>
      </c>
      <c r="B735" s="1">
        <v>126483.57</v>
      </c>
      <c r="C735" s="1">
        <v>126483.57</v>
      </c>
    </row>
    <row r="736" spans="1:4" x14ac:dyDescent="0.25">
      <c r="A736" t="s">
        <v>448</v>
      </c>
      <c r="B736" s="1">
        <v>103804.66</v>
      </c>
      <c r="C736" s="1">
        <v>13730.73</v>
      </c>
      <c r="D736" s="1">
        <v>90073.93</v>
      </c>
    </row>
    <row r="737" spans="1:4" x14ac:dyDescent="0.25">
      <c r="A737" t="s">
        <v>449</v>
      </c>
      <c r="B737" s="1">
        <v>98871.02</v>
      </c>
      <c r="C737" s="1">
        <v>13415.49</v>
      </c>
      <c r="D737" s="1">
        <v>85455.53</v>
      </c>
    </row>
    <row r="738" spans="1:4" x14ac:dyDescent="0.25">
      <c r="A738" t="s">
        <v>450</v>
      </c>
      <c r="B738" s="1">
        <v>92452.53</v>
      </c>
      <c r="C738" s="1">
        <v>6038.36</v>
      </c>
      <c r="D738" s="1">
        <v>86414.17</v>
      </c>
    </row>
    <row r="739" spans="1:4" x14ac:dyDescent="0.25">
      <c r="B739" t="s">
        <v>8</v>
      </c>
      <c r="C739" t="s">
        <v>8</v>
      </c>
      <c r="D739" t="s">
        <v>8</v>
      </c>
    </row>
    <row r="740" spans="1:4" x14ac:dyDescent="0.25">
      <c r="A740" t="s">
        <v>451</v>
      </c>
      <c r="B740" s="1">
        <v>1245680.6299999999</v>
      </c>
      <c r="C740" s="1">
        <v>983737</v>
      </c>
      <c r="D740" s="1">
        <v>261943.63</v>
      </c>
    </row>
    <row r="742" spans="1:4" x14ac:dyDescent="0.25">
      <c r="A742" t="s">
        <v>452</v>
      </c>
    </row>
    <row r="744" spans="1:4" x14ac:dyDescent="0.25">
      <c r="A744" t="s">
        <v>453</v>
      </c>
      <c r="B744" s="1">
        <v>34780.080000000002</v>
      </c>
      <c r="C744" s="1">
        <v>34780.080000000002</v>
      </c>
    </row>
    <row r="745" spans="1:4" x14ac:dyDescent="0.25">
      <c r="A745" t="s">
        <v>454</v>
      </c>
      <c r="B745" s="1">
        <v>22943.03</v>
      </c>
      <c r="C745" s="1">
        <v>22943.03</v>
      </c>
    </row>
    <row r="746" spans="1:4" x14ac:dyDescent="0.25">
      <c r="A746" t="s">
        <v>455</v>
      </c>
      <c r="B746" s="1">
        <v>24782.57</v>
      </c>
      <c r="C746" s="1">
        <v>24782.57</v>
      </c>
    </row>
    <row r="747" spans="1:4" x14ac:dyDescent="0.25">
      <c r="A747" t="s">
        <v>456</v>
      </c>
      <c r="B747" s="1">
        <v>29652.98</v>
      </c>
      <c r="C747" s="1">
        <v>4830</v>
      </c>
      <c r="D747" s="1">
        <v>24822.98</v>
      </c>
    </row>
    <row r="748" spans="1:4" x14ac:dyDescent="0.25">
      <c r="B748" t="s">
        <v>8</v>
      </c>
      <c r="C748" t="s">
        <v>8</v>
      </c>
      <c r="D748" t="s">
        <v>8</v>
      </c>
    </row>
    <row r="749" spans="1:4" x14ac:dyDescent="0.25">
      <c r="A749" t="s">
        <v>457</v>
      </c>
      <c r="B749" s="1">
        <v>112158.66</v>
      </c>
      <c r="C749" s="1">
        <v>87335.679999999993</v>
      </c>
      <c r="D749" s="1">
        <v>24822.98</v>
      </c>
    </row>
    <row r="751" spans="1:4" x14ac:dyDescent="0.25">
      <c r="A751" t="s">
        <v>458</v>
      </c>
    </row>
    <row r="753" spans="1:4" x14ac:dyDescent="0.25">
      <c r="A753" t="s">
        <v>459</v>
      </c>
      <c r="B753" s="1">
        <v>1081368.5900000001</v>
      </c>
      <c r="C753" s="1">
        <v>1081368.5900000001</v>
      </c>
    </row>
    <row r="754" spans="1:4" x14ac:dyDescent="0.25">
      <c r="A754" t="s">
        <v>460</v>
      </c>
      <c r="B754" s="1">
        <v>4773942.53</v>
      </c>
      <c r="C754" s="1">
        <v>4773942.53</v>
      </c>
    </row>
    <row r="755" spans="1:4" x14ac:dyDescent="0.25">
      <c r="A755" t="s">
        <v>461</v>
      </c>
      <c r="B755" s="1">
        <v>2391718.9</v>
      </c>
      <c r="C755" s="1">
        <v>2391718.9</v>
      </c>
    </row>
    <row r="756" spans="1:4" x14ac:dyDescent="0.25">
      <c r="A756" t="s">
        <v>462</v>
      </c>
      <c r="B756" s="1">
        <v>5663.69</v>
      </c>
      <c r="C756" s="1">
        <v>5663.69</v>
      </c>
    </row>
    <row r="757" spans="1:4" x14ac:dyDescent="0.25">
      <c r="A757" t="s">
        <v>463</v>
      </c>
      <c r="B757" s="1">
        <v>2906451.45</v>
      </c>
      <c r="C757" s="1">
        <v>2906451.45</v>
      </c>
    </row>
    <row r="758" spans="1:4" x14ac:dyDescent="0.25">
      <c r="A758" t="s">
        <v>464</v>
      </c>
      <c r="B758" s="1">
        <v>68695.17</v>
      </c>
      <c r="C758" s="1">
        <v>37736.230000000003</v>
      </c>
      <c r="D758" s="1">
        <v>30958.94</v>
      </c>
    </row>
    <row r="759" spans="1:4" x14ac:dyDescent="0.25">
      <c r="B759" t="s">
        <v>8</v>
      </c>
      <c r="C759" t="s">
        <v>8</v>
      </c>
      <c r="D759" t="s">
        <v>8</v>
      </c>
    </row>
    <row r="760" spans="1:4" x14ac:dyDescent="0.25">
      <c r="A760" t="s">
        <v>465</v>
      </c>
      <c r="B760" s="1">
        <v>11227840.33</v>
      </c>
      <c r="C760" s="1">
        <v>11196881.390000001</v>
      </c>
      <c r="D760" s="1">
        <v>30958.94</v>
      </c>
    </row>
    <row r="762" spans="1:4" x14ac:dyDescent="0.25">
      <c r="B762" t="s">
        <v>8</v>
      </c>
      <c r="C762" t="s">
        <v>8</v>
      </c>
      <c r="D762" t="s">
        <v>8</v>
      </c>
    </row>
    <row r="763" spans="1:4" x14ac:dyDescent="0.25">
      <c r="A763" t="s">
        <v>466</v>
      </c>
      <c r="B763" s="1">
        <v>12585679.619999999</v>
      </c>
      <c r="C763" s="1">
        <v>12267954.07</v>
      </c>
      <c r="D763" s="1">
        <v>317725.55</v>
      </c>
    </row>
    <row r="765" spans="1:4" x14ac:dyDescent="0.25">
      <c r="A765" t="s">
        <v>467</v>
      </c>
    </row>
    <row r="767" spans="1:4" x14ac:dyDescent="0.25">
      <c r="A767" t="s">
        <v>468</v>
      </c>
    </row>
    <row r="768" spans="1:4" x14ac:dyDescent="0.25">
      <c r="B768" t="s">
        <v>8</v>
      </c>
      <c r="C768" t="s">
        <v>8</v>
      </c>
      <c r="D768" t="s">
        <v>8</v>
      </c>
    </row>
    <row r="769" spans="1:4" x14ac:dyDescent="0.25">
      <c r="A769" t="s">
        <v>469</v>
      </c>
    </row>
    <row r="771" spans="1:4" x14ac:dyDescent="0.25">
      <c r="A771" t="s">
        <v>470</v>
      </c>
    </row>
    <row r="773" spans="1:4" x14ac:dyDescent="0.25">
      <c r="A773" t="s">
        <v>471</v>
      </c>
      <c r="B773" s="1">
        <v>19247.12</v>
      </c>
      <c r="C773" s="1">
        <v>19247.12</v>
      </c>
    </row>
    <row r="774" spans="1:4" x14ac:dyDescent="0.25">
      <c r="B774" t="s">
        <v>8</v>
      </c>
      <c r="C774" t="s">
        <v>8</v>
      </c>
      <c r="D774" t="s">
        <v>8</v>
      </c>
    </row>
    <row r="775" spans="1:4" x14ac:dyDescent="0.25">
      <c r="A775" t="s">
        <v>472</v>
      </c>
      <c r="B775" s="1">
        <v>19247.12</v>
      </c>
      <c r="C775" s="1">
        <v>19247.12</v>
      </c>
    </row>
    <row r="777" spans="1:4" x14ac:dyDescent="0.25">
      <c r="A777" t="s">
        <v>473</v>
      </c>
    </row>
    <row r="779" spans="1:4" x14ac:dyDescent="0.25">
      <c r="A779" t="s">
        <v>474</v>
      </c>
      <c r="B779" s="1">
        <v>6855518.4699999997</v>
      </c>
      <c r="C779" s="1">
        <v>5768769.4699999997</v>
      </c>
      <c r="D779" s="1">
        <v>1086749</v>
      </c>
    </row>
    <row r="780" spans="1:4" x14ac:dyDescent="0.25">
      <c r="B780" t="s">
        <v>8</v>
      </c>
      <c r="C780" t="s">
        <v>8</v>
      </c>
      <c r="D780" t="s">
        <v>8</v>
      </c>
    </row>
    <row r="781" spans="1:4" x14ac:dyDescent="0.25">
      <c r="A781" t="s">
        <v>475</v>
      </c>
      <c r="B781" s="1">
        <v>6855518.4699999997</v>
      </c>
      <c r="C781" s="1">
        <v>5768769.4699999997</v>
      </c>
      <c r="D781" s="1">
        <v>1086749</v>
      </c>
    </row>
    <row r="783" spans="1:4" x14ac:dyDescent="0.25">
      <c r="A783" t="s">
        <v>476</v>
      </c>
    </row>
    <row r="784" spans="1:4" x14ac:dyDescent="0.25">
      <c r="B784" t="s">
        <v>8</v>
      </c>
      <c r="C784" t="s">
        <v>8</v>
      </c>
      <c r="D784" t="s">
        <v>8</v>
      </c>
    </row>
    <row r="785" spans="1:4" x14ac:dyDescent="0.25">
      <c r="A785" t="s">
        <v>477</v>
      </c>
    </row>
    <row r="787" spans="1:4" x14ac:dyDescent="0.25">
      <c r="A787" t="s">
        <v>478</v>
      </c>
    </row>
    <row r="788" spans="1:4" x14ac:dyDescent="0.25">
      <c r="B788" t="s">
        <v>8</v>
      </c>
      <c r="C788" t="s">
        <v>8</v>
      </c>
      <c r="D788" t="s">
        <v>8</v>
      </c>
    </row>
    <row r="789" spans="1:4" x14ac:dyDescent="0.25">
      <c r="A789" t="s">
        <v>479</v>
      </c>
    </row>
    <row r="791" spans="1:4" x14ac:dyDescent="0.25">
      <c r="A791" t="s">
        <v>480</v>
      </c>
    </row>
    <row r="793" spans="1:4" x14ac:dyDescent="0.25">
      <c r="A793" t="s">
        <v>481</v>
      </c>
      <c r="B793">
        <v>0.01</v>
      </c>
      <c r="C793">
        <v>0.01</v>
      </c>
    </row>
    <row r="794" spans="1:4" x14ac:dyDescent="0.25">
      <c r="B794" t="s">
        <v>8</v>
      </c>
      <c r="C794" t="s">
        <v>8</v>
      </c>
      <c r="D794" t="s">
        <v>8</v>
      </c>
    </row>
    <row r="795" spans="1:4" x14ac:dyDescent="0.25">
      <c r="A795" t="s">
        <v>482</v>
      </c>
      <c r="B795">
        <v>0.01</v>
      </c>
      <c r="C795">
        <v>0.01</v>
      </c>
    </row>
    <row r="797" spans="1:4" x14ac:dyDescent="0.25">
      <c r="A797" t="s">
        <v>483</v>
      </c>
    </row>
    <row r="799" spans="1:4" x14ac:dyDescent="0.25">
      <c r="A799" t="s">
        <v>484</v>
      </c>
      <c r="B799" s="1">
        <v>51084.959999999999</v>
      </c>
      <c r="C799" s="1">
        <v>51084.959999999999</v>
      </c>
    </row>
    <row r="800" spans="1:4" x14ac:dyDescent="0.25">
      <c r="B800" t="s">
        <v>8</v>
      </c>
      <c r="C800" t="s">
        <v>8</v>
      </c>
      <c r="D800" t="s">
        <v>8</v>
      </c>
    </row>
    <row r="801" spans="1:4" x14ac:dyDescent="0.25">
      <c r="A801" t="s">
        <v>485</v>
      </c>
      <c r="B801" s="1">
        <v>51084.959999999999</v>
      </c>
      <c r="C801" s="1">
        <v>51084.959999999999</v>
      </c>
    </row>
    <row r="803" spans="1:4" x14ac:dyDescent="0.25">
      <c r="B803" t="s">
        <v>8</v>
      </c>
      <c r="C803" t="s">
        <v>8</v>
      </c>
      <c r="D803" t="s">
        <v>8</v>
      </c>
    </row>
    <row r="804" spans="1:4" x14ac:dyDescent="0.25">
      <c r="A804" t="s">
        <v>486</v>
      </c>
      <c r="B804" s="1">
        <v>6925850.5599999996</v>
      </c>
      <c r="C804" s="1">
        <v>5839101.5599999996</v>
      </c>
      <c r="D804" s="1">
        <v>1086749</v>
      </c>
    </row>
    <row r="806" spans="1:4" x14ac:dyDescent="0.25">
      <c r="A806" t="s">
        <v>487</v>
      </c>
    </row>
    <row r="808" spans="1:4" x14ac:dyDescent="0.25">
      <c r="A808" t="s">
        <v>488</v>
      </c>
    </row>
    <row r="810" spans="1:4" x14ac:dyDescent="0.25">
      <c r="A810" t="s">
        <v>489</v>
      </c>
      <c r="B810" s="1">
        <v>6016618.4199999999</v>
      </c>
      <c r="C810" s="1">
        <v>3099263.57</v>
      </c>
      <c r="D810" s="1">
        <v>2917354.85</v>
      </c>
    </row>
    <row r="811" spans="1:4" x14ac:dyDescent="0.25">
      <c r="B811" t="s">
        <v>8</v>
      </c>
      <c r="C811" t="s">
        <v>8</v>
      </c>
      <c r="D811" t="s">
        <v>8</v>
      </c>
    </row>
    <row r="812" spans="1:4" x14ac:dyDescent="0.25">
      <c r="A812" t="s">
        <v>490</v>
      </c>
      <c r="B812" s="1">
        <v>6016618.4199999999</v>
      </c>
      <c r="C812" s="1">
        <v>3099263.57</v>
      </c>
      <c r="D812" s="1">
        <v>2917354.85</v>
      </c>
    </row>
    <row r="814" spans="1:4" x14ac:dyDescent="0.25">
      <c r="B814" t="s">
        <v>8</v>
      </c>
      <c r="C814" t="s">
        <v>8</v>
      </c>
      <c r="D814" t="s">
        <v>8</v>
      </c>
    </row>
    <row r="815" spans="1:4" x14ac:dyDescent="0.25">
      <c r="A815" t="s">
        <v>491</v>
      </c>
      <c r="B815" s="1">
        <v>6016618.4199999999</v>
      </c>
      <c r="C815" s="1">
        <v>3099263.57</v>
      </c>
      <c r="D815" s="1">
        <v>2917354.85</v>
      </c>
    </row>
    <row r="817" spans="1:4" x14ac:dyDescent="0.25">
      <c r="A817" t="s">
        <v>492</v>
      </c>
    </row>
    <row r="819" spans="1:4" x14ac:dyDescent="0.25">
      <c r="A819" t="s">
        <v>493</v>
      </c>
    </row>
    <row r="821" spans="1:4" x14ac:dyDescent="0.25">
      <c r="A821" t="s">
        <v>494</v>
      </c>
      <c r="B821" s="1">
        <v>146273.57999999999</v>
      </c>
      <c r="C821" s="1">
        <v>146273.57999999999</v>
      </c>
    </row>
    <row r="822" spans="1:4" x14ac:dyDescent="0.25">
      <c r="A822" t="s">
        <v>2365</v>
      </c>
      <c r="B822">
        <v>184.8</v>
      </c>
      <c r="C822">
        <v>184.8</v>
      </c>
    </row>
    <row r="823" spans="1:4" x14ac:dyDescent="0.25">
      <c r="A823" t="s">
        <v>495</v>
      </c>
      <c r="B823" s="1">
        <v>42654.45</v>
      </c>
      <c r="C823" s="1">
        <v>42654.45</v>
      </c>
    </row>
    <row r="824" spans="1:4" x14ac:dyDescent="0.25">
      <c r="A824" t="s">
        <v>496</v>
      </c>
      <c r="B824" s="1">
        <v>472207.53</v>
      </c>
      <c r="C824" s="1">
        <v>472207.53</v>
      </c>
    </row>
    <row r="825" spans="1:4" x14ac:dyDescent="0.25">
      <c r="A825" t="s">
        <v>497</v>
      </c>
      <c r="B825" s="1">
        <v>151440959.06</v>
      </c>
      <c r="C825" s="1">
        <v>151440959.06</v>
      </c>
    </row>
    <row r="826" spans="1:4" x14ac:dyDescent="0.25">
      <c r="B826" t="s">
        <v>8</v>
      </c>
      <c r="C826" t="s">
        <v>8</v>
      </c>
      <c r="D826" t="s">
        <v>8</v>
      </c>
    </row>
    <row r="827" spans="1:4" x14ac:dyDescent="0.25">
      <c r="A827" t="s">
        <v>498</v>
      </c>
      <c r="B827" s="1">
        <v>152102279.41999999</v>
      </c>
      <c r="C827" s="1">
        <v>152102279.41999999</v>
      </c>
    </row>
    <row r="829" spans="1:4" x14ac:dyDescent="0.25">
      <c r="A829" t="s">
        <v>499</v>
      </c>
    </row>
    <row r="831" spans="1:4" x14ac:dyDescent="0.25">
      <c r="A831" t="s">
        <v>500</v>
      </c>
      <c r="B831" s="1">
        <v>894140.53</v>
      </c>
      <c r="C831" s="1">
        <v>894140.53</v>
      </c>
    </row>
    <row r="832" spans="1:4" x14ac:dyDescent="0.25">
      <c r="A832" t="s">
        <v>501</v>
      </c>
      <c r="B832" s="1">
        <v>504931.26</v>
      </c>
      <c r="C832" s="1">
        <v>504931.26</v>
      </c>
    </row>
    <row r="833" spans="1:4" x14ac:dyDescent="0.25">
      <c r="B833" t="s">
        <v>8</v>
      </c>
      <c r="C833" t="s">
        <v>8</v>
      </c>
      <c r="D833" t="s">
        <v>8</v>
      </c>
    </row>
    <row r="834" spans="1:4" x14ac:dyDescent="0.25">
      <c r="A834" t="s">
        <v>502</v>
      </c>
      <c r="B834" s="1">
        <v>1399071.79</v>
      </c>
      <c r="C834" s="1">
        <v>1399071.79</v>
      </c>
    </row>
    <row r="836" spans="1:4" x14ac:dyDescent="0.25">
      <c r="A836" t="s">
        <v>503</v>
      </c>
    </row>
    <row r="837" spans="1:4" x14ac:dyDescent="0.25">
      <c r="B837" t="s">
        <v>8</v>
      </c>
      <c r="C837" t="s">
        <v>8</v>
      </c>
      <c r="D837" t="s">
        <v>8</v>
      </c>
    </row>
    <row r="838" spans="1:4" x14ac:dyDescent="0.25">
      <c r="A838" t="s">
        <v>504</v>
      </c>
    </row>
    <row r="840" spans="1:4" x14ac:dyDescent="0.25">
      <c r="A840" t="s">
        <v>505</v>
      </c>
      <c r="B840" s="1">
        <v>372631.69</v>
      </c>
      <c r="C840" s="1">
        <v>372631.69</v>
      </c>
    </row>
    <row r="841" spans="1:4" x14ac:dyDescent="0.25">
      <c r="A841" t="s">
        <v>506</v>
      </c>
      <c r="B841" s="1">
        <v>43826731.780000001</v>
      </c>
      <c r="C841" s="1">
        <v>43826731.780000001</v>
      </c>
    </row>
    <row r="842" spans="1:4" x14ac:dyDescent="0.25">
      <c r="A842" t="s">
        <v>507</v>
      </c>
      <c r="B842" s="1">
        <v>139070.65</v>
      </c>
      <c r="C842" s="1">
        <v>139070.65</v>
      </c>
    </row>
    <row r="843" spans="1:4" x14ac:dyDescent="0.25">
      <c r="A843" t="s">
        <v>508</v>
      </c>
    </row>
    <row r="844" spans="1:4" x14ac:dyDescent="0.25">
      <c r="B844" t="s">
        <v>8</v>
      </c>
      <c r="C844" t="s">
        <v>8</v>
      </c>
      <c r="D844" t="s">
        <v>8</v>
      </c>
    </row>
    <row r="845" spans="1:4" x14ac:dyDescent="0.25">
      <c r="A845" t="s">
        <v>509</v>
      </c>
    </row>
    <row r="847" spans="1:4" x14ac:dyDescent="0.25">
      <c r="B847" t="s">
        <v>8</v>
      </c>
      <c r="C847" t="s">
        <v>8</v>
      </c>
      <c r="D847" t="s">
        <v>8</v>
      </c>
    </row>
    <row r="848" spans="1:4" x14ac:dyDescent="0.25">
      <c r="A848" t="s">
        <v>510</v>
      </c>
      <c r="B848" s="1">
        <v>197839785.33000001</v>
      </c>
      <c r="C848" s="1">
        <v>197839785.33000001</v>
      </c>
    </row>
    <row r="850" spans="1:4" x14ac:dyDescent="0.25">
      <c r="A850" t="s">
        <v>511</v>
      </c>
    </row>
    <row r="852" spans="1:4" x14ac:dyDescent="0.25">
      <c r="A852" t="s">
        <v>512</v>
      </c>
    </row>
    <row r="853" spans="1:4" x14ac:dyDescent="0.25">
      <c r="B853" t="s">
        <v>8</v>
      </c>
      <c r="C853" t="s">
        <v>8</v>
      </c>
      <c r="D853" t="s">
        <v>8</v>
      </c>
    </row>
    <row r="854" spans="1:4" x14ac:dyDescent="0.25">
      <c r="A854" t="s">
        <v>513</v>
      </c>
    </row>
    <row r="856" spans="1:4" x14ac:dyDescent="0.25">
      <c r="A856" t="s">
        <v>514</v>
      </c>
    </row>
    <row r="857" spans="1:4" x14ac:dyDescent="0.25">
      <c r="B857" t="s">
        <v>8</v>
      </c>
      <c r="C857" t="s">
        <v>8</v>
      </c>
      <c r="D857" t="s">
        <v>8</v>
      </c>
    </row>
    <row r="858" spans="1:4" x14ac:dyDescent="0.25">
      <c r="A858" t="s">
        <v>515</v>
      </c>
    </row>
    <row r="860" spans="1:4" x14ac:dyDescent="0.25">
      <c r="A860" t="s">
        <v>516</v>
      </c>
    </row>
    <row r="861" spans="1:4" x14ac:dyDescent="0.25">
      <c r="B861" t="s">
        <v>8</v>
      </c>
      <c r="C861" t="s">
        <v>8</v>
      </c>
      <c r="D861" t="s">
        <v>8</v>
      </c>
    </row>
    <row r="862" spans="1:4" x14ac:dyDescent="0.25">
      <c r="A862" t="s">
        <v>517</v>
      </c>
    </row>
    <row r="864" spans="1:4" x14ac:dyDescent="0.25">
      <c r="A864" t="s">
        <v>518</v>
      </c>
    </row>
    <row r="865" spans="1:4" x14ac:dyDescent="0.25">
      <c r="B865" t="s">
        <v>8</v>
      </c>
      <c r="C865" t="s">
        <v>8</v>
      </c>
      <c r="D865" t="s">
        <v>8</v>
      </c>
    </row>
    <row r="866" spans="1:4" x14ac:dyDescent="0.25">
      <c r="A866" t="s">
        <v>519</v>
      </c>
    </row>
    <row r="868" spans="1:4" x14ac:dyDescent="0.25">
      <c r="B868" t="s">
        <v>8</v>
      </c>
      <c r="C868" t="s">
        <v>8</v>
      </c>
      <c r="D868" t="s">
        <v>8</v>
      </c>
    </row>
    <row r="869" spans="1:4" x14ac:dyDescent="0.25">
      <c r="A869" t="s">
        <v>520</v>
      </c>
    </row>
    <row r="871" spans="1:4" x14ac:dyDescent="0.25">
      <c r="A871" t="s">
        <v>521</v>
      </c>
    </row>
    <row r="873" spans="1:4" x14ac:dyDescent="0.25">
      <c r="A873" t="s">
        <v>522</v>
      </c>
    </row>
    <row r="875" spans="1:4" x14ac:dyDescent="0.25">
      <c r="A875" t="s">
        <v>523</v>
      </c>
      <c r="B875" s="1">
        <v>1774184.49</v>
      </c>
      <c r="D875" s="1">
        <v>1774184.49</v>
      </c>
    </row>
    <row r="876" spans="1:4" x14ac:dyDescent="0.25">
      <c r="B876" t="s">
        <v>8</v>
      </c>
      <c r="C876" t="s">
        <v>8</v>
      </c>
      <c r="D876" t="s">
        <v>8</v>
      </c>
    </row>
    <row r="877" spans="1:4" x14ac:dyDescent="0.25">
      <c r="A877" t="s">
        <v>524</v>
      </c>
      <c r="B877" s="1">
        <v>1774184.49</v>
      </c>
      <c r="D877" s="1">
        <v>1774184.49</v>
      </c>
    </row>
    <row r="879" spans="1:4" x14ac:dyDescent="0.25">
      <c r="A879" t="s">
        <v>525</v>
      </c>
    </row>
    <row r="881" spans="1:4" x14ac:dyDescent="0.25">
      <c r="A881" t="s">
        <v>526</v>
      </c>
      <c r="B881">
        <v>238.01</v>
      </c>
      <c r="C881">
        <v>187.19</v>
      </c>
      <c r="D881">
        <v>50.82</v>
      </c>
    </row>
    <row r="882" spans="1:4" x14ac:dyDescent="0.25">
      <c r="A882" t="s">
        <v>527</v>
      </c>
      <c r="B882" s="1">
        <v>2170.1</v>
      </c>
      <c r="C882" s="1">
        <v>1083.76</v>
      </c>
      <c r="D882" s="1">
        <v>1086.3399999999999</v>
      </c>
    </row>
    <row r="883" spans="1:4" x14ac:dyDescent="0.25">
      <c r="A883" t="s">
        <v>528</v>
      </c>
      <c r="B883">
        <v>482.47</v>
      </c>
      <c r="C883">
        <v>337.24</v>
      </c>
      <c r="D883">
        <v>145.22999999999999</v>
      </c>
    </row>
    <row r="884" spans="1:4" x14ac:dyDescent="0.25">
      <c r="A884" t="s">
        <v>529</v>
      </c>
      <c r="B884" s="1">
        <v>9096.06</v>
      </c>
      <c r="C884" s="1">
        <v>4371.01</v>
      </c>
      <c r="D884" s="1">
        <v>4725.05</v>
      </c>
    </row>
    <row r="885" spans="1:4" x14ac:dyDescent="0.25">
      <c r="A885" t="s">
        <v>530</v>
      </c>
      <c r="B885" s="1">
        <v>1056.6500000000001</v>
      </c>
      <c r="C885">
        <v>98.92</v>
      </c>
      <c r="D885">
        <v>957.73</v>
      </c>
    </row>
    <row r="886" spans="1:4" x14ac:dyDescent="0.25">
      <c r="A886" t="s">
        <v>531</v>
      </c>
      <c r="B886" s="1">
        <v>22819.15</v>
      </c>
      <c r="C886" s="1">
        <v>11911</v>
      </c>
      <c r="D886" s="1">
        <v>10908.15</v>
      </c>
    </row>
    <row r="887" spans="1:4" x14ac:dyDescent="0.25">
      <c r="A887" t="s">
        <v>532</v>
      </c>
      <c r="B887" s="1">
        <v>3659.34</v>
      </c>
      <c r="C887">
        <v>130.65</v>
      </c>
      <c r="D887" s="1">
        <v>3528.69</v>
      </c>
    </row>
    <row r="888" spans="1:4" x14ac:dyDescent="0.25">
      <c r="A888" t="s">
        <v>533</v>
      </c>
      <c r="B888" s="1">
        <v>3751.53</v>
      </c>
      <c r="C888" s="1">
        <v>1388.15</v>
      </c>
      <c r="D888" s="1">
        <v>2363.38</v>
      </c>
    </row>
    <row r="889" spans="1:4" x14ac:dyDescent="0.25">
      <c r="A889" t="s">
        <v>2366</v>
      </c>
      <c r="B889">
        <v>187.88</v>
      </c>
      <c r="D889">
        <v>187.88</v>
      </c>
    </row>
    <row r="890" spans="1:4" x14ac:dyDescent="0.25">
      <c r="A890" t="s">
        <v>534</v>
      </c>
      <c r="B890">
        <v>273</v>
      </c>
      <c r="C890">
        <v>96.91</v>
      </c>
      <c r="D890">
        <v>176.09</v>
      </c>
    </row>
    <row r="891" spans="1:4" x14ac:dyDescent="0.25">
      <c r="A891" t="s">
        <v>535</v>
      </c>
      <c r="B891">
        <v>80.94</v>
      </c>
      <c r="D891">
        <v>80.94</v>
      </c>
    </row>
    <row r="892" spans="1:4" x14ac:dyDescent="0.25">
      <c r="A892" t="s">
        <v>536</v>
      </c>
      <c r="B892">
        <v>48.61</v>
      </c>
      <c r="D892">
        <v>48.61</v>
      </c>
    </row>
    <row r="893" spans="1:4" x14ac:dyDescent="0.25">
      <c r="B893" t="s">
        <v>8</v>
      </c>
      <c r="C893" t="s">
        <v>8</v>
      </c>
      <c r="D893" t="s">
        <v>8</v>
      </c>
    </row>
    <row r="894" spans="1:4" x14ac:dyDescent="0.25">
      <c r="A894" t="s">
        <v>537</v>
      </c>
      <c r="B894" s="1">
        <v>43863.74</v>
      </c>
      <c r="C894" s="1">
        <v>19604.830000000002</v>
      </c>
      <c r="D894" s="1">
        <v>24258.91</v>
      </c>
    </row>
    <row r="896" spans="1:4" x14ac:dyDescent="0.25">
      <c r="B896" t="s">
        <v>8</v>
      </c>
      <c r="C896" t="s">
        <v>8</v>
      </c>
      <c r="D896" t="s">
        <v>8</v>
      </c>
    </row>
    <row r="897" spans="1:4" x14ac:dyDescent="0.25">
      <c r="A897" t="s">
        <v>538</v>
      </c>
      <c r="B897" s="1">
        <v>1818048.23</v>
      </c>
      <c r="C897" s="1">
        <v>19604.830000000002</v>
      </c>
      <c r="D897" s="1">
        <v>1798443.4</v>
      </c>
    </row>
    <row r="899" spans="1:4" x14ac:dyDescent="0.25">
      <c r="A899" t="s">
        <v>539</v>
      </c>
    </row>
    <row r="901" spans="1:4" x14ac:dyDescent="0.25">
      <c r="A901" t="s">
        <v>540</v>
      </c>
    </row>
    <row r="903" spans="1:4" x14ac:dyDescent="0.25">
      <c r="A903" t="s">
        <v>541</v>
      </c>
      <c r="B903" s="1">
        <v>1520182</v>
      </c>
      <c r="C903" s="1">
        <v>985091</v>
      </c>
      <c r="D903" s="1">
        <v>535091</v>
      </c>
    </row>
    <row r="904" spans="1:4" x14ac:dyDescent="0.25">
      <c r="B904" t="s">
        <v>8</v>
      </c>
      <c r="C904" t="s">
        <v>8</v>
      </c>
      <c r="D904" t="s">
        <v>8</v>
      </c>
    </row>
    <row r="905" spans="1:4" x14ac:dyDescent="0.25">
      <c r="A905" t="s">
        <v>542</v>
      </c>
      <c r="B905" s="1">
        <v>1520182</v>
      </c>
      <c r="C905" s="1">
        <v>985091</v>
      </c>
      <c r="D905" s="1">
        <v>535091</v>
      </c>
    </row>
    <row r="907" spans="1:4" x14ac:dyDescent="0.25">
      <c r="A907" t="s">
        <v>543</v>
      </c>
    </row>
    <row r="909" spans="1:4" x14ac:dyDescent="0.25">
      <c r="A909" t="s">
        <v>544</v>
      </c>
      <c r="B909" s="1">
        <v>74051.34</v>
      </c>
      <c r="C909" s="1">
        <v>74051.34</v>
      </c>
    </row>
    <row r="910" spans="1:4" x14ac:dyDescent="0.25">
      <c r="B910" t="s">
        <v>8</v>
      </c>
      <c r="C910" t="s">
        <v>8</v>
      </c>
      <c r="D910" t="s">
        <v>8</v>
      </c>
    </row>
    <row r="911" spans="1:4" x14ac:dyDescent="0.25">
      <c r="A911" t="s">
        <v>545</v>
      </c>
      <c r="B911" s="1">
        <v>74051.34</v>
      </c>
      <c r="C911" s="1">
        <v>74051.34</v>
      </c>
    </row>
    <row r="913" spans="1:4" x14ac:dyDescent="0.25">
      <c r="B913" t="s">
        <v>8</v>
      </c>
      <c r="C913" t="s">
        <v>8</v>
      </c>
      <c r="D913" t="s">
        <v>8</v>
      </c>
    </row>
    <row r="914" spans="1:4" x14ac:dyDescent="0.25">
      <c r="A914" t="s">
        <v>546</v>
      </c>
      <c r="B914" s="1">
        <v>1594233.34</v>
      </c>
      <c r="C914" s="1">
        <v>1059142.3400000001</v>
      </c>
      <c r="D914" s="1">
        <v>535091</v>
      </c>
    </row>
    <row r="916" spans="1:4" x14ac:dyDescent="0.25">
      <c r="A916" t="s">
        <v>547</v>
      </c>
    </row>
    <row r="918" spans="1:4" x14ac:dyDescent="0.25">
      <c r="A918" t="s">
        <v>548</v>
      </c>
    </row>
    <row r="920" spans="1:4" x14ac:dyDescent="0.25">
      <c r="A920" t="s">
        <v>549</v>
      </c>
      <c r="B920" s="1">
        <v>3641953.86</v>
      </c>
      <c r="C920" s="1">
        <v>3622889.61</v>
      </c>
      <c r="D920" s="1">
        <v>19064.25</v>
      </c>
    </row>
    <row r="921" spans="1:4" x14ac:dyDescent="0.25">
      <c r="B921" t="s">
        <v>8</v>
      </c>
      <c r="C921" t="s">
        <v>8</v>
      </c>
      <c r="D921" t="s">
        <v>8</v>
      </c>
    </row>
    <row r="922" spans="1:4" x14ac:dyDescent="0.25">
      <c r="A922" t="s">
        <v>550</v>
      </c>
      <c r="B922" s="1">
        <v>3641953.86</v>
      </c>
      <c r="C922" s="1">
        <v>3622889.61</v>
      </c>
      <c r="D922" s="1">
        <v>19064.25</v>
      </c>
    </row>
    <row r="924" spans="1:4" x14ac:dyDescent="0.25">
      <c r="A924" t="s">
        <v>551</v>
      </c>
    </row>
    <row r="925" spans="1:4" x14ac:dyDescent="0.25">
      <c r="B925" t="s">
        <v>8</v>
      </c>
      <c r="C925" t="s">
        <v>8</v>
      </c>
      <c r="D925" t="s">
        <v>8</v>
      </c>
    </row>
    <row r="926" spans="1:4" x14ac:dyDescent="0.25">
      <c r="A926" t="s">
        <v>552</v>
      </c>
    </row>
    <row r="928" spans="1:4" x14ac:dyDescent="0.25">
      <c r="B928" t="s">
        <v>8</v>
      </c>
      <c r="C928" t="s">
        <v>8</v>
      </c>
      <c r="D928" t="s">
        <v>8</v>
      </c>
    </row>
    <row r="929" spans="1:4" x14ac:dyDescent="0.25">
      <c r="A929" t="s">
        <v>553</v>
      </c>
      <c r="B929" s="1">
        <v>3641953.86</v>
      </c>
      <c r="C929" s="1">
        <v>3622889.61</v>
      </c>
      <c r="D929" s="1">
        <v>19064.25</v>
      </c>
    </row>
    <row r="931" spans="1:4" x14ac:dyDescent="0.25">
      <c r="A931" t="s">
        <v>554</v>
      </c>
    </row>
    <row r="933" spans="1:4" x14ac:dyDescent="0.25">
      <c r="A933" t="s">
        <v>555</v>
      </c>
    </row>
    <row r="934" spans="1:4" x14ac:dyDescent="0.25">
      <c r="B934" t="s">
        <v>8</v>
      </c>
      <c r="C934" t="s">
        <v>8</v>
      </c>
      <c r="D934" t="s">
        <v>8</v>
      </c>
    </row>
    <row r="935" spans="1:4" x14ac:dyDescent="0.25">
      <c r="A935" t="s">
        <v>556</v>
      </c>
    </row>
    <row r="937" spans="1:4" x14ac:dyDescent="0.25">
      <c r="A937" t="s">
        <v>557</v>
      </c>
    </row>
    <row r="938" spans="1:4" x14ac:dyDescent="0.25">
      <c r="B938" t="s">
        <v>8</v>
      </c>
      <c r="C938" t="s">
        <v>8</v>
      </c>
      <c r="D938" t="s">
        <v>8</v>
      </c>
    </row>
    <row r="939" spans="1:4" x14ac:dyDescent="0.25">
      <c r="A939" t="s">
        <v>558</v>
      </c>
    </row>
    <row r="941" spans="1:4" x14ac:dyDescent="0.25">
      <c r="A941" t="s">
        <v>559</v>
      </c>
    </row>
    <row r="942" spans="1:4" x14ac:dyDescent="0.25">
      <c r="B942" t="s">
        <v>8</v>
      </c>
      <c r="C942" t="s">
        <v>8</v>
      </c>
      <c r="D942" t="s">
        <v>8</v>
      </c>
    </row>
    <row r="943" spans="1:4" x14ac:dyDescent="0.25">
      <c r="A943" t="s">
        <v>560</v>
      </c>
    </row>
    <row r="945" spans="1:4" x14ac:dyDescent="0.25">
      <c r="B945" t="s">
        <v>8</v>
      </c>
      <c r="C945" t="s">
        <v>8</v>
      </c>
      <c r="D945" t="s">
        <v>8</v>
      </c>
    </row>
    <row r="946" spans="1:4" x14ac:dyDescent="0.25">
      <c r="A946" t="s">
        <v>561</v>
      </c>
    </row>
    <row r="948" spans="1:4" x14ac:dyDescent="0.25">
      <c r="A948" t="s">
        <v>562</v>
      </c>
    </row>
    <row r="950" spans="1:4" x14ac:dyDescent="0.25">
      <c r="A950" t="s">
        <v>563</v>
      </c>
    </row>
    <row r="952" spans="1:4" x14ac:dyDescent="0.25">
      <c r="A952" t="s">
        <v>564</v>
      </c>
      <c r="B952" s="1">
        <v>36098001.82</v>
      </c>
      <c r="C952" s="1">
        <v>36098001.82</v>
      </c>
    </row>
    <row r="953" spans="1:4" x14ac:dyDescent="0.25">
      <c r="B953" t="s">
        <v>8</v>
      </c>
      <c r="C953" t="s">
        <v>8</v>
      </c>
      <c r="D953" t="s">
        <v>8</v>
      </c>
    </row>
    <row r="954" spans="1:4" x14ac:dyDescent="0.25">
      <c r="A954" t="s">
        <v>565</v>
      </c>
      <c r="B954" s="1">
        <v>36098001.82</v>
      </c>
      <c r="C954" s="1">
        <v>36098001.82</v>
      </c>
    </row>
    <row r="956" spans="1:4" x14ac:dyDescent="0.25">
      <c r="B956" t="s">
        <v>8</v>
      </c>
      <c r="C956" t="s">
        <v>8</v>
      </c>
      <c r="D956" t="s">
        <v>8</v>
      </c>
    </row>
    <row r="957" spans="1:4" x14ac:dyDescent="0.25">
      <c r="A957" t="s">
        <v>566</v>
      </c>
      <c r="B957" s="1">
        <v>36098001.82</v>
      </c>
      <c r="C957" s="1">
        <v>36098001.82</v>
      </c>
    </row>
    <row r="959" spans="1:4" x14ac:dyDescent="0.25">
      <c r="A959" t="s">
        <v>567</v>
      </c>
    </row>
    <row r="961" spans="1:4" x14ac:dyDescent="0.25">
      <c r="A961" t="s">
        <v>568</v>
      </c>
    </row>
    <row r="962" spans="1:4" x14ac:dyDescent="0.25">
      <c r="B962" t="s">
        <v>8</v>
      </c>
      <c r="C962" t="s">
        <v>8</v>
      </c>
      <c r="D962" t="s">
        <v>8</v>
      </c>
    </row>
    <row r="963" spans="1:4" x14ac:dyDescent="0.25">
      <c r="A963" t="s">
        <v>569</v>
      </c>
    </row>
    <row r="965" spans="1:4" x14ac:dyDescent="0.25">
      <c r="B965" t="s">
        <v>8</v>
      </c>
      <c r="C965" t="s">
        <v>8</v>
      </c>
      <c r="D965" t="s">
        <v>8</v>
      </c>
    </row>
    <row r="966" spans="1:4" x14ac:dyDescent="0.25">
      <c r="A966" t="s">
        <v>570</v>
      </c>
    </row>
    <row r="968" spans="1:4" x14ac:dyDescent="0.25">
      <c r="A968" t="s">
        <v>571</v>
      </c>
    </row>
    <row r="970" spans="1:4" x14ac:dyDescent="0.25">
      <c r="A970" t="s">
        <v>572</v>
      </c>
    </row>
    <row r="971" spans="1:4" x14ac:dyDescent="0.25">
      <c r="B971" t="s">
        <v>8</v>
      </c>
      <c r="C971" t="s">
        <v>8</v>
      </c>
      <c r="D971" t="s">
        <v>8</v>
      </c>
    </row>
    <row r="972" spans="1:4" x14ac:dyDescent="0.25">
      <c r="A972" t="s">
        <v>573</v>
      </c>
    </row>
    <row r="974" spans="1:4" x14ac:dyDescent="0.25">
      <c r="B974" t="s">
        <v>8</v>
      </c>
      <c r="C974" t="s">
        <v>8</v>
      </c>
      <c r="D974" t="s">
        <v>8</v>
      </c>
    </row>
    <row r="975" spans="1:4" x14ac:dyDescent="0.25">
      <c r="A975" t="s">
        <v>574</v>
      </c>
    </row>
    <row r="977" spans="1:4" x14ac:dyDescent="0.25">
      <c r="A977" t="s">
        <v>575</v>
      </c>
    </row>
    <row r="979" spans="1:4" x14ac:dyDescent="0.25">
      <c r="A979" t="s">
        <v>576</v>
      </c>
    </row>
    <row r="980" spans="1:4" x14ac:dyDescent="0.25">
      <c r="B980" t="s">
        <v>8</v>
      </c>
      <c r="C980" t="s">
        <v>8</v>
      </c>
      <c r="D980" t="s">
        <v>8</v>
      </c>
    </row>
    <row r="981" spans="1:4" x14ac:dyDescent="0.25">
      <c r="A981" t="s">
        <v>577</v>
      </c>
    </row>
    <row r="983" spans="1:4" x14ac:dyDescent="0.25">
      <c r="B983" t="s">
        <v>8</v>
      </c>
      <c r="C983" t="s">
        <v>8</v>
      </c>
      <c r="D983" t="s">
        <v>8</v>
      </c>
    </row>
    <row r="984" spans="1:4" x14ac:dyDescent="0.25">
      <c r="A984" t="s">
        <v>578</v>
      </c>
    </row>
    <row r="986" spans="1:4" x14ac:dyDescent="0.25">
      <c r="A986" t="s">
        <v>579</v>
      </c>
    </row>
    <row r="988" spans="1:4" x14ac:dyDescent="0.25">
      <c r="A988" t="s">
        <v>580</v>
      </c>
    </row>
    <row r="989" spans="1:4" x14ac:dyDescent="0.25">
      <c r="B989" t="s">
        <v>8</v>
      </c>
      <c r="C989" t="s">
        <v>8</v>
      </c>
      <c r="D989" t="s">
        <v>8</v>
      </c>
    </row>
    <row r="990" spans="1:4" x14ac:dyDescent="0.25">
      <c r="A990" t="s">
        <v>581</v>
      </c>
    </row>
    <row r="992" spans="1:4" x14ac:dyDescent="0.25">
      <c r="B992" t="s">
        <v>8</v>
      </c>
      <c r="C992" t="s">
        <v>8</v>
      </c>
      <c r="D992" t="s">
        <v>8</v>
      </c>
    </row>
    <row r="993" spans="1:4" x14ac:dyDescent="0.25">
      <c r="A993" t="s">
        <v>582</v>
      </c>
    </row>
    <row r="995" spans="1:4" x14ac:dyDescent="0.25">
      <c r="A995" t="s">
        <v>583</v>
      </c>
    </row>
    <row r="997" spans="1:4" x14ac:dyDescent="0.25">
      <c r="A997" t="s">
        <v>584</v>
      </c>
    </row>
    <row r="999" spans="1:4" x14ac:dyDescent="0.25">
      <c r="A999" t="s">
        <v>585</v>
      </c>
      <c r="B999" s="1">
        <v>1833</v>
      </c>
      <c r="D999" s="1">
        <v>1833</v>
      </c>
    </row>
    <row r="1000" spans="1:4" x14ac:dyDescent="0.25">
      <c r="A1000" t="s">
        <v>586</v>
      </c>
      <c r="B1000" s="1">
        <v>2019</v>
      </c>
      <c r="D1000" s="1">
        <v>2019</v>
      </c>
    </row>
    <row r="1001" spans="1:4" x14ac:dyDescent="0.25">
      <c r="B1001" t="s">
        <v>8</v>
      </c>
      <c r="C1001" t="s">
        <v>8</v>
      </c>
      <c r="D1001" t="s">
        <v>8</v>
      </c>
    </row>
    <row r="1002" spans="1:4" x14ac:dyDescent="0.25">
      <c r="A1002" t="s">
        <v>587</v>
      </c>
      <c r="B1002" s="1">
        <v>3852</v>
      </c>
      <c r="D1002" s="1">
        <v>3852</v>
      </c>
    </row>
    <row r="1004" spans="1:4" x14ac:dyDescent="0.25">
      <c r="A1004" t="s">
        <v>588</v>
      </c>
    </row>
    <row r="1005" spans="1:4" x14ac:dyDescent="0.25">
      <c r="B1005" t="s">
        <v>8</v>
      </c>
      <c r="C1005" t="s">
        <v>8</v>
      </c>
      <c r="D1005" t="s">
        <v>8</v>
      </c>
    </row>
    <row r="1006" spans="1:4" x14ac:dyDescent="0.25">
      <c r="A1006" t="s">
        <v>589</v>
      </c>
    </row>
    <row r="1008" spans="1:4" x14ac:dyDescent="0.25">
      <c r="B1008" t="s">
        <v>8</v>
      </c>
      <c r="C1008" t="s">
        <v>8</v>
      </c>
      <c r="D1008" t="s">
        <v>8</v>
      </c>
    </row>
    <row r="1009" spans="1:4" x14ac:dyDescent="0.25">
      <c r="A1009" t="s">
        <v>590</v>
      </c>
      <c r="B1009" s="1">
        <v>3852</v>
      </c>
      <c r="D1009" s="1">
        <v>3852</v>
      </c>
    </row>
    <row r="1011" spans="1:4" x14ac:dyDescent="0.25">
      <c r="A1011" t="s">
        <v>591</v>
      </c>
    </row>
    <row r="1012" spans="1:4" x14ac:dyDescent="0.25">
      <c r="B1012" t="s">
        <v>8</v>
      </c>
      <c r="C1012" t="s">
        <v>8</v>
      </c>
      <c r="D1012" t="s">
        <v>8</v>
      </c>
    </row>
    <row r="1013" spans="1:4" x14ac:dyDescent="0.25">
      <c r="A1013" t="s">
        <v>592</v>
      </c>
    </row>
    <row r="1015" spans="1:4" x14ac:dyDescent="0.25">
      <c r="A1015" t="s">
        <v>593</v>
      </c>
    </row>
    <row r="1016" spans="1:4" x14ac:dyDescent="0.25">
      <c r="B1016" t="s">
        <v>8</v>
      </c>
      <c r="C1016" t="s">
        <v>8</v>
      </c>
      <c r="D1016" t="s">
        <v>8</v>
      </c>
    </row>
    <row r="1017" spans="1:4" x14ac:dyDescent="0.25">
      <c r="A1017" t="s">
        <v>594</v>
      </c>
    </row>
    <row r="1019" spans="1:4" x14ac:dyDescent="0.25">
      <c r="A1019" t="s">
        <v>595</v>
      </c>
    </row>
    <row r="1020" spans="1:4" x14ac:dyDescent="0.25">
      <c r="B1020" t="s">
        <v>8</v>
      </c>
      <c r="C1020" t="s">
        <v>8</v>
      </c>
      <c r="D1020" t="s">
        <v>8</v>
      </c>
    </row>
    <row r="1021" spans="1:4" x14ac:dyDescent="0.25">
      <c r="A1021" t="s">
        <v>596</v>
      </c>
    </row>
    <row r="1023" spans="1:4" x14ac:dyDescent="0.25">
      <c r="A1023" t="s">
        <v>597</v>
      </c>
    </row>
    <row r="1024" spans="1:4" x14ac:dyDescent="0.25">
      <c r="B1024" t="s">
        <v>8</v>
      </c>
      <c r="C1024" t="s">
        <v>8</v>
      </c>
      <c r="D1024" t="s">
        <v>8</v>
      </c>
    </row>
    <row r="1025" spans="1:4" x14ac:dyDescent="0.25">
      <c r="A1025" t="s">
        <v>598</v>
      </c>
    </row>
    <row r="1027" spans="1:4" x14ac:dyDescent="0.25">
      <c r="A1027" t="s">
        <v>599</v>
      </c>
    </row>
    <row r="1028" spans="1:4" x14ac:dyDescent="0.25">
      <c r="B1028" t="s">
        <v>8</v>
      </c>
      <c r="C1028" t="s">
        <v>8</v>
      </c>
      <c r="D1028" t="s">
        <v>8</v>
      </c>
    </row>
    <row r="1029" spans="1:4" x14ac:dyDescent="0.25">
      <c r="A1029" t="s">
        <v>600</v>
      </c>
    </row>
    <row r="1031" spans="1:4" x14ac:dyDescent="0.25">
      <c r="A1031" t="s">
        <v>601</v>
      </c>
    </row>
    <row r="1032" spans="1:4" x14ac:dyDescent="0.25">
      <c r="B1032" t="s">
        <v>8</v>
      </c>
      <c r="C1032" t="s">
        <v>8</v>
      </c>
      <c r="D1032" t="s">
        <v>8</v>
      </c>
    </row>
    <row r="1033" spans="1:4" x14ac:dyDescent="0.25">
      <c r="A1033" t="s">
        <v>602</v>
      </c>
    </row>
    <row r="1035" spans="1:4" x14ac:dyDescent="0.25">
      <c r="A1035" t="s">
        <v>603</v>
      </c>
    </row>
    <row r="1036" spans="1:4" x14ac:dyDescent="0.25">
      <c r="B1036" t="s">
        <v>8</v>
      </c>
      <c r="C1036" t="s">
        <v>8</v>
      </c>
      <c r="D1036" t="s">
        <v>8</v>
      </c>
    </row>
    <row r="1037" spans="1:4" x14ac:dyDescent="0.25">
      <c r="A1037" t="s">
        <v>604</v>
      </c>
    </row>
    <row r="1039" spans="1:4" x14ac:dyDescent="0.25">
      <c r="A1039" t="s">
        <v>605</v>
      </c>
    </row>
    <row r="1040" spans="1:4" x14ac:dyDescent="0.25">
      <c r="B1040" t="s">
        <v>8</v>
      </c>
      <c r="C1040" t="s">
        <v>8</v>
      </c>
      <c r="D1040" t="s">
        <v>8</v>
      </c>
    </row>
    <row r="1041" spans="1:4" x14ac:dyDescent="0.25">
      <c r="A1041" t="s">
        <v>606</v>
      </c>
    </row>
    <row r="1043" spans="1:4" x14ac:dyDescent="0.25">
      <c r="A1043" t="s">
        <v>607</v>
      </c>
    </row>
    <row r="1044" spans="1:4" x14ac:dyDescent="0.25">
      <c r="B1044" t="s">
        <v>8</v>
      </c>
      <c r="C1044" t="s">
        <v>8</v>
      </c>
      <c r="D1044" t="s">
        <v>8</v>
      </c>
    </row>
    <row r="1045" spans="1:4" x14ac:dyDescent="0.25">
      <c r="A1045" t="s">
        <v>608</v>
      </c>
    </row>
    <row r="1047" spans="1:4" x14ac:dyDescent="0.25">
      <c r="A1047" t="s">
        <v>609</v>
      </c>
    </row>
    <row r="1048" spans="1:4" x14ac:dyDescent="0.25">
      <c r="B1048" t="s">
        <v>8</v>
      </c>
      <c r="C1048" t="s">
        <v>8</v>
      </c>
      <c r="D1048" t="s">
        <v>8</v>
      </c>
    </row>
    <row r="1049" spans="1:4" x14ac:dyDescent="0.25">
      <c r="A1049" t="s">
        <v>610</v>
      </c>
    </row>
    <row r="1051" spans="1:4" x14ac:dyDescent="0.25">
      <c r="A1051" t="s">
        <v>611</v>
      </c>
    </row>
    <row r="1052" spans="1:4" x14ac:dyDescent="0.25">
      <c r="B1052" t="s">
        <v>8</v>
      </c>
      <c r="C1052" t="s">
        <v>8</v>
      </c>
      <c r="D1052" t="s">
        <v>8</v>
      </c>
    </row>
    <row r="1053" spans="1:4" x14ac:dyDescent="0.25">
      <c r="A1053" t="s">
        <v>612</v>
      </c>
    </row>
    <row r="1055" spans="1:4" x14ac:dyDescent="0.25">
      <c r="A1055" t="s">
        <v>613</v>
      </c>
    </row>
    <row r="1057" spans="1:4" x14ac:dyDescent="0.25">
      <c r="A1057" t="s">
        <v>614</v>
      </c>
    </row>
    <row r="1058" spans="1:4" x14ac:dyDescent="0.25">
      <c r="B1058" t="s">
        <v>8</v>
      </c>
      <c r="C1058" t="s">
        <v>8</v>
      </c>
      <c r="D1058" t="s">
        <v>8</v>
      </c>
    </row>
    <row r="1059" spans="1:4" x14ac:dyDescent="0.25">
      <c r="A1059" t="s">
        <v>615</v>
      </c>
    </row>
    <row r="1061" spans="1:4" x14ac:dyDescent="0.25">
      <c r="A1061" t="s">
        <v>616</v>
      </c>
    </row>
    <row r="1062" spans="1:4" x14ac:dyDescent="0.25">
      <c r="B1062" t="s">
        <v>8</v>
      </c>
      <c r="C1062" t="s">
        <v>8</v>
      </c>
      <c r="D1062" t="s">
        <v>8</v>
      </c>
    </row>
    <row r="1063" spans="1:4" x14ac:dyDescent="0.25">
      <c r="A1063" t="s">
        <v>617</v>
      </c>
    </row>
    <row r="1065" spans="1:4" x14ac:dyDescent="0.25">
      <c r="B1065" t="s">
        <v>8</v>
      </c>
      <c r="C1065" t="s">
        <v>8</v>
      </c>
      <c r="D1065" t="s">
        <v>8</v>
      </c>
    </row>
    <row r="1066" spans="1:4" x14ac:dyDescent="0.25">
      <c r="A1066" t="s">
        <v>618</v>
      </c>
    </row>
    <row r="1068" spans="1:4" x14ac:dyDescent="0.25">
      <c r="A1068" t="s">
        <v>619</v>
      </c>
    </row>
    <row r="1069" spans="1:4" x14ac:dyDescent="0.25">
      <c r="B1069" t="s">
        <v>8</v>
      </c>
      <c r="C1069" t="s">
        <v>8</v>
      </c>
      <c r="D1069" t="s">
        <v>8</v>
      </c>
    </row>
    <row r="1070" spans="1:4" x14ac:dyDescent="0.25">
      <c r="A1070" t="s">
        <v>620</v>
      </c>
    </row>
    <row r="1072" spans="1:4" x14ac:dyDescent="0.25">
      <c r="A1072" t="s">
        <v>621</v>
      </c>
    </row>
    <row r="1073" spans="1:4" x14ac:dyDescent="0.25">
      <c r="B1073" t="s">
        <v>8</v>
      </c>
      <c r="C1073" t="s">
        <v>8</v>
      </c>
      <c r="D1073" t="s">
        <v>8</v>
      </c>
    </row>
    <row r="1074" spans="1:4" x14ac:dyDescent="0.25">
      <c r="A1074" t="s">
        <v>622</v>
      </c>
    </row>
    <row r="1076" spans="1:4" x14ac:dyDescent="0.25">
      <c r="A1076" t="s">
        <v>623</v>
      </c>
    </row>
    <row r="1077" spans="1:4" x14ac:dyDescent="0.25">
      <c r="B1077" t="s">
        <v>8</v>
      </c>
      <c r="C1077" t="s">
        <v>8</v>
      </c>
      <c r="D1077" t="s">
        <v>8</v>
      </c>
    </row>
    <row r="1078" spans="1:4" x14ac:dyDescent="0.25">
      <c r="A1078" t="s">
        <v>624</v>
      </c>
    </row>
    <row r="1080" spans="1:4" x14ac:dyDescent="0.25">
      <c r="A1080" t="s">
        <v>625</v>
      </c>
    </row>
    <row r="1081" spans="1:4" x14ac:dyDescent="0.25">
      <c r="B1081" t="s">
        <v>8</v>
      </c>
      <c r="C1081" t="s">
        <v>8</v>
      </c>
      <c r="D1081" t="s">
        <v>8</v>
      </c>
    </row>
    <row r="1082" spans="1:4" x14ac:dyDescent="0.25">
      <c r="A1082" t="s">
        <v>626</v>
      </c>
    </row>
    <row r="1084" spans="1:4" x14ac:dyDescent="0.25">
      <c r="A1084" t="s">
        <v>627</v>
      </c>
    </row>
    <row r="1085" spans="1:4" x14ac:dyDescent="0.25">
      <c r="B1085" t="s">
        <v>8</v>
      </c>
      <c r="C1085" t="s">
        <v>8</v>
      </c>
      <c r="D1085" t="s">
        <v>8</v>
      </c>
    </row>
    <row r="1086" spans="1:4" x14ac:dyDescent="0.25">
      <c r="A1086" t="s">
        <v>628</v>
      </c>
    </row>
    <row r="1088" spans="1:4" x14ac:dyDescent="0.25">
      <c r="A1088" t="s">
        <v>629</v>
      </c>
    </row>
    <row r="1089" spans="1:4" x14ac:dyDescent="0.25">
      <c r="B1089" t="s">
        <v>8</v>
      </c>
      <c r="C1089" t="s">
        <v>8</v>
      </c>
      <c r="D1089" t="s">
        <v>8</v>
      </c>
    </row>
    <row r="1090" spans="1:4" x14ac:dyDescent="0.25">
      <c r="A1090" t="s">
        <v>630</v>
      </c>
    </row>
    <row r="1092" spans="1:4" x14ac:dyDescent="0.25">
      <c r="A1092" t="s">
        <v>631</v>
      </c>
    </row>
    <row r="1093" spans="1:4" x14ac:dyDescent="0.25">
      <c r="B1093" t="s">
        <v>8</v>
      </c>
      <c r="C1093" t="s">
        <v>8</v>
      </c>
      <c r="D1093" t="s">
        <v>8</v>
      </c>
    </row>
    <row r="1094" spans="1:4" x14ac:dyDescent="0.25">
      <c r="A1094" t="s">
        <v>632</v>
      </c>
    </row>
    <row r="1096" spans="1:4" x14ac:dyDescent="0.25">
      <c r="A1096" t="s">
        <v>633</v>
      </c>
    </row>
    <row r="1098" spans="1:4" x14ac:dyDescent="0.25">
      <c r="A1098" t="s">
        <v>634</v>
      </c>
    </row>
    <row r="1100" spans="1:4" x14ac:dyDescent="0.25">
      <c r="A1100" t="s">
        <v>635</v>
      </c>
      <c r="B1100" s="1">
        <v>9165211.1799999997</v>
      </c>
      <c r="D1100" s="1">
        <v>9165211.1799999997</v>
      </c>
    </row>
    <row r="1101" spans="1:4" x14ac:dyDescent="0.25">
      <c r="B1101" t="s">
        <v>8</v>
      </c>
      <c r="C1101" t="s">
        <v>8</v>
      </c>
      <c r="D1101" t="s">
        <v>8</v>
      </c>
    </row>
    <row r="1102" spans="1:4" x14ac:dyDescent="0.25">
      <c r="A1102" t="s">
        <v>636</v>
      </c>
      <c r="B1102" s="1">
        <v>9165211.1799999997</v>
      </c>
      <c r="D1102" s="1">
        <v>9165211.1799999997</v>
      </c>
    </row>
    <row r="1104" spans="1:4" x14ac:dyDescent="0.25">
      <c r="A1104" t="s">
        <v>637</v>
      </c>
    </row>
    <row r="1106" spans="1:4" x14ac:dyDescent="0.25">
      <c r="A1106" t="s">
        <v>638</v>
      </c>
      <c r="B1106" s="1">
        <v>5436806.9199999999</v>
      </c>
      <c r="D1106" s="1">
        <v>5436806.9199999999</v>
      </c>
    </row>
    <row r="1107" spans="1:4" x14ac:dyDescent="0.25">
      <c r="B1107" t="s">
        <v>8</v>
      </c>
      <c r="C1107" t="s">
        <v>8</v>
      </c>
      <c r="D1107" t="s">
        <v>8</v>
      </c>
    </row>
    <row r="1108" spans="1:4" x14ac:dyDescent="0.25">
      <c r="A1108" t="s">
        <v>639</v>
      </c>
      <c r="B1108" s="1">
        <v>5436806.9199999999</v>
      </c>
      <c r="D1108" s="1">
        <v>5436806.9199999999</v>
      </c>
    </row>
    <row r="1110" spans="1:4" x14ac:dyDescent="0.25">
      <c r="A1110" t="s">
        <v>640</v>
      </c>
    </row>
    <row r="1112" spans="1:4" x14ac:dyDescent="0.25">
      <c r="A1112" t="s">
        <v>641</v>
      </c>
      <c r="B1112" s="1">
        <v>48314855.25</v>
      </c>
      <c r="C1112" s="1">
        <v>10639098.300000001</v>
      </c>
      <c r="D1112" s="1">
        <v>37675756.950000003</v>
      </c>
    </row>
    <row r="1113" spans="1:4" x14ac:dyDescent="0.25">
      <c r="B1113" t="s">
        <v>8</v>
      </c>
      <c r="C1113" t="s">
        <v>8</v>
      </c>
      <c r="D1113" t="s">
        <v>8</v>
      </c>
    </row>
    <row r="1114" spans="1:4" x14ac:dyDescent="0.25">
      <c r="A1114" t="s">
        <v>642</v>
      </c>
      <c r="B1114" s="1">
        <v>48314855.25</v>
      </c>
      <c r="C1114" s="1">
        <v>10639098.300000001</v>
      </c>
      <c r="D1114" s="1">
        <v>37675756.950000003</v>
      </c>
    </row>
    <row r="1116" spans="1:4" x14ac:dyDescent="0.25">
      <c r="B1116" t="s">
        <v>8</v>
      </c>
      <c r="C1116" t="s">
        <v>8</v>
      </c>
      <c r="D1116" t="s">
        <v>8</v>
      </c>
    </row>
    <row r="1117" spans="1:4" x14ac:dyDescent="0.25">
      <c r="A1117" t="s">
        <v>643</v>
      </c>
      <c r="B1117" s="1">
        <v>62916873.350000001</v>
      </c>
      <c r="C1117" s="1">
        <v>10639098.300000001</v>
      </c>
      <c r="D1117" s="1">
        <v>52277775.049999997</v>
      </c>
    </row>
    <row r="1119" spans="1:4" x14ac:dyDescent="0.25">
      <c r="A1119" t="s">
        <v>644</v>
      </c>
    </row>
    <row r="1120" spans="1:4" x14ac:dyDescent="0.25">
      <c r="B1120" t="s">
        <v>8</v>
      </c>
      <c r="C1120" t="s">
        <v>8</v>
      </c>
      <c r="D1120" t="s">
        <v>8</v>
      </c>
    </row>
    <row r="1121" spans="1:4" x14ac:dyDescent="0.25">
      <c r="A1121" t="s">
        <v>645</v>
      </c>
    </row>
    <row r="1123" spans="1:4" x14ac:dyDescent="0.25">
      <c r="A1123" t="s">
        <v>646</v>
      </c>
    </row>
    <row r="1125" spans="1:4" x14ac:dyDescent="0.25">
      <c r="A1125" t="s">
        <v>647</v>
      </c>
    </row>
    <row r="1126" spans="1:4" x14ac:dyDescent="0.25">
      <c r="B1126" t="s">
        <v>8</v>
      </c>
      <c r="C1126" t="s">
        <v>8</v>
      </c>
      <c r="D1126" t="s">
        <v>8</v>
      </c>
    </row>
    <row r="1127" spans="1:4" x14ac:dyDescent="0.25">
      <c r="A1127" t="s">
        <v>648</v>
      </c>
    </row>
    <row r="1129" spans="1:4" x14ac:dyDescent="0.25">
      <c r="A1129" t="s">
        <v>649</v>
      </c>
    </row>
    <row r="1130" spans="1:4" x14ac:dyDescent="0.25">
      <c r="B1130" t="s">
        <v>8</v>
      </c>
      <c r="C1130" t="s">
        <v>8</v>
      </c>
      <c r="D1130" t="s">
        <v>8</v>
      </c>
    </row>
    <row r="1131" spans="1:4" x14ac:dyDescent="0.25">
      <c r="A1131" t="s">
        <v>650</v>
      </c>
    </row>
    <row r="1133" spans="1:4" x14ac:dyDescent="0.25">
      <c r="B1133" t="s">
        <v>8</v>
      </c>
      <c r="C1133" t="s">
        <v>8</v>
      </c>
      <c r="D1133" t="s">
        <v>8</v>
      </c>
    </row>
    <row r="1134" spans="1:4" x14ac:dyDescent="0.25">
      <c r="A1134" t="s">
        <v>651</v>
      </c>
    </row>
    <row r="1136" spans="1:4" x14ac:dyDescent="0.25">
      <c r="A1136" t="s">
        <v>652</v>
      </c>
    </row>
    <row r="1138" spans="1:4" x14ac:dyDescent="0.25">
      <c r="A1138" t="s">
        <v>653</v>
      </c>
    </row>
    <row r="1139" spans="1:4" x14ac:dyDescent="0.25">
      <c r="B1139" t="s">
        <v>8</v>
      </c>
      <c r="C1139" t="s">
        <v>8</v>
      </c>
      <c r="D1139" t="s">
        <v>8</v>
      </c>
    </row>
    <row r="1140" spans="1:4" x14ac:dyDescent="0.25">
      <c r="A1140" t="s">
        <v>654</v>
      </c>
    </row>
    <row r="1142" spans="1:4" x14ac:dyDescent="0.25">
      <c r="B1142" t="s">
        <v>8</v>
      </c>
      <c r="C1142" t="s">
        <v>8</v>
      </c>
      <c r="D1142" t="s">
        <v>8</v>
      </c>
    </row>
    <row r="1143" spans="1:4" x14ac:dyDescent="0.25">
      <c r="A1143" t="s">
        <v>655</v>
      </c>
    </row>
    <row r="1145" spans="1:4" x14ac:dyDescent="0.25">
      <c r="A1145" t="s">
        <v>656</v>
      </c>
    </row>
    <row r="1147" spans="1:4" x14ac:dyDescent="0.25">
      <c r="A1147" t="s">
        <v>657</v>
      </c>
    </row>
    <row r="1149" spans="1:4" x14ac:dyDescent="0.25">
      <c r="A1149" t="s">
        <v>658</v>
      </c>
      <c r="B1149" s="1">
        <v>10386932.300000001</v>
      </c>
      <c r="C1149" s="1">
        <v>1949580.1</v>
      </c>
      <c r="D1149" s="1">
        <v>8437352.1999999993</v>
      </c>
    </row>
    <row r="1150" spans="1:4" x14ac:dyDescent="0.25">
      <c r="A1150" t="s">
        <v>659</v>
      </c>
      <c r="B1150" s="1">
        <v>104895.5</v>
      </c>
      <c r="D1150" s="1">
        <v>104895.5</v>
      </c>
    </row>
    <row r="1151" spans="1:4" x14ac:dyDescent="0.25">
      <c r="A1151" t="s">
        <v>660</v>
      </c>
      <c r="B1151" s="1">
        <v>6367.61</v>
      </c>
      <c r="D1151" s="1">
        <v>6367.61</v>
      </c>
    </row>
    <row r="1152" spans="1:4" x14ac:dyDescent="0.25">
      <c r="A1152" t="s">
        <v>661</v>
      </c>
      <c r="B1152" s="1">
        <v>5000</v>
      </c>
      <c r="D1152" s="1">
        <v>5000</v>
      </c>
    </row>
    <row r="1153" spans="1:4" x14ac:dyDescent="0.25">
      <c r="B1153" t="s">
        <v>8</v>
      </c>
      <c r="C1153" t="s">
        <v>8</v>
      </c>
      <c r="D1153" t="s">
        <v>8</v>
      </c>
    </row>
    <row r="1154" spans="1:4" x14ac:dyDescent="0.25">
      <c r="A1154" t="s">
        <v>662</v>
      </c>
      <c r="B1154" s="1">
        <v>10503195.41</v>
      </c>
      <c r="C1154" s="1">
        <v>1949580.1</v>
      </c>
      <c r="D1154" s="1">
        <v>8553615.3100000005</v>
      </c>
    </row>
    <row r="1156" spans="1:4" x14ac:dyDescent="0.25">
      <c r="A1156" t="s">
        <v>663</v>
      </c>
    </row>
    <row r="1157" spans="1:4" x14ac:dyDescent="0.25">
      <c r="B1157" t="s">
        <v>8</v>
      </c>
      <c r="C1157" t="s">
        <v>8</v>
      </c>
      <c r="D1157" t="s">
        <v>8</v>
      </c>
    </row>
    <row r="1158" spans="1:4" x14ac:dyDescent="0.25">
      <c r="A1158" t="s">
        <v>664</v>
      </c>
    </row>
    <row r="1160" spans="1:4" x14ac:dyDescent="0.25">
      <c r="A1160" t="s">
        <v>665</v>
      </c>
    </row>
    <row r="1162" spans="1:4" x14ac:dyDescent="0.25">
      <c r="A1162" t="s">
        <v>666</v>
      </c>
      <c r="B1162" s="1">
        <v>3239594.54</v>
      </c>
      <c r="D1162" s="1">
        <v>3239594.54</v>
      </c>
    </row>
    <row r="1163" spans="1:4" x14ac:dyDescent="0.25">
      <c r="B1163" t="s">
        <v>8</v>
      </c>
      <c r="C1163" t="s">
        <v>8</v>
      </c>
      <c r="D1163" t="s">
        <v>8</v>
      </c>
    </row>
    <row r="1164" spans="1:4" x14ac:dyDescent="0.25">
      <c r="A1164" t="s">
        <v>667</v>
      </c>
      <c r="B1164" s="1">
        <v>3239594.54</v>
      </c>
      <c r="D1164" s="1">
        <v>3239594.54</v>
      </c>
    </row>
    <row r="1166" spans="1:4" x14ac:dyDescent="0.25">
      <c r="A1166" t="s">
        <v>668</v>
      </c>
    </row>
    <row r="1168" spans="1:4" x14ac:dyDescent="0.25">
      <c r="A1168" t="s">
        <v>669</v>
      </c>
      <c r="B1168" s="1">
        <v>13568571.529999999</v>
      </c>
      <c r="C1168" s="1">
        <v>3680679.15</v>
      </c>
      <c r="D1168" s="1">
        <v>9887892.3800000008</v>
      </c>
    </row>
    <row r="1169" spans="1:4" x14ac:dyDescent="0.25">
      <c r="B1169" t="s">
        <v>8</v>
      </c>
      <c r="C1169" t="s">
        <v>8</v>
      </c>
      <c r="D1169" t="s">
        <v>8</v>
      </c>
    </row>
    <row r="1170" spans="1:4" x14ac:dyDescent="0.25">
      <c r="A1170" t="s">
        <v>670</v>
      </c>
      <c r="B1170" s="1">
        <v>13568571.529999999</v>
      </c>
      <c r="C1170" s="1">
        <v>3680679.15</v>
      </c>
      <c r="D1170" s="1">
        <v>9887892.3800000008</v>
      </c>
    </row>
    <row r="1172" spans="1:4" x14ac:dyDescent="0.25">
      <c r="B1172" t="s">
        <v>8</v>
      </c>
      <c r="C1172" t="s">
        <v>8</v>
      </c>
      <c r="D1172" t="s">
        <v>8</v>
      </c>
    </row>
    <row r="1173" spans="1:4" x14ac:dyDescent="0.25">
      <c r="A1173" t="s">
        <v>671</v>
      </c>
      <c r="B1173" s="1">
        <v>27311361.48</v>
      </c>
      <c r="C1173" s="1">
        <v>5630259.25</v>
      </c>
      <c r="D1173" s="1">
        <v>21681102.23</v>
      </c>
    </row>
    <row r="1175" spans="1:4" x14ac:dyDescent="0.25">
      <c r="A1175" t="s">
        <v>672</v>
      </c>
    </row>
    <row r="1177" spans="1:4" x14ac:dyDescent="0.25">
      <c r="A1177" t="s">
        <v>673</v>
      </c>
    </row>
    <row r="1179" spans="1:4" x14ac:dyDescent="0.25">
      <c r="A1179" t="s">
        <v>674</v>
      </c>
      <c r="B1179" s="1">
        <v>3904296.29</v>
      </c>
      <c r="C1179" s="1">
        <v>30767.61</v>
      </c>
      <c r="D1179" s="1">
        <v>3873528.68</v>
      </c>
    </row>
    <row r="1180" spans="1:4" x14ac:dyDescent="0.25">
      <c r="B1180" t="s">
        <v>8</v>
      </c>
      <c r="C1180" t="s">
        <v>8</v>
      </c>
      <c r="D1180" t="s">
        <v>8</v>
      </c>
    </row>
    <row r="1181" spans="1:4" x14ac:dyDescent="0.25">
      <c r="A1181" t="s">
        <v>675</v>
      </c>
      <c r="B1181" s="1">
        <v>3904296.29</v>
      </c>
      <c r="C1181" s="1">
        <v>30767.61</v>
      </c>
      <c r="D1181" s="1">
        <v>3873528.68</v>
      </c>
    </row>
    <row r="1183" spans="1:4" x14ac:dyDescent="0.25">
      <c r="A1183" t="s">
        <v>676</v>
      </c>
    </row>
    <row r="1185" spans="1:4" x14ac:dyDescent="0.25">
      <c r="A1185" t="s">
        <v>677</v>
      </c>
      <c r="B1185" s="1">
        <v>2819564.5</v>
      </c>
      <c r="D1185" s="1">
        <v>2819564.5</v>
      </c>
    </row>
    <row r="1186" spans="1:4" x14ac:dyDescent="0.25">
      <c r="B1186" t="s">
        <v>8</v>
      </c>
      <c r="C1186" t="s">
        <v>8</v>
      </c>
      <c r="D1186" t="s">
        <v>8</v>
      </c>
    </row>
    <row r="1187" spans="1:4" x14ac:dyDescent="0.25">
      <c r="A1187" t="s">
        <v>678</v>
      </c>
      <c r="B1187" s="1">
        <v>2819564.5</v>
      </c>
      <c r="D1187" s="1">
        <v>2819564.5</v>
      </c>
    </row>
    <row r="1189" spans="1:4" x14ac:dyDescent="0.25">
      <c r="A1189" t="s">
        <v>679</v>
      </c>
    </row>
    <row r="1191" spans="1:4" x14ac:dyDescent="0.25">
      <c r="A1191" t="s">
        <v>680</v>
      </c>
      <c r="B1191" s="1">
        <v>10310177.029999999</v>
      </c>
      <c r="C1191" s="1">
        <v>2516266.9300000002</v>
      </c>
      <c r="D1191" s="1">
        <v>7793910.0999999996</v>
      </c>
    </row>
    <row r="1192" spans="1:4" x14ac:dyDescent="0.25">
      <c r="B1192" t="s">
        <v>8</v>
      </c>
      <c r="C1192" t="s">
        <v>8</v>
      </c>
      <c r="D1192" t="s">
        <v>8</v>
      </c>
    </row>
    <row r="1193" spans="1:4" x14ac:dyDescent="0.25">
      <c r="A1193" t="s">
        <v>681</v>
      </c>
      <c r="B1193" s="1">
        <v>10310177.029999999</v>
      </c>
      <c r="C1193" s="1">
        <v>2516266.9300000002</v>
      </c>
      <c r="D1193" s="1">
        <v>7793910.0999999996</v>
      </c>
    </row>
    <row r="1195" spans="1:4" x14ac:dyDescent="0.25">
      <c r="B1195" t="s">
        <v>8</v>
      </c>
      <c r="C1195" t="s">
        <v>8</v>
      </c>
      <c r="D1195" t="s">
        <v>8</v>
      </c>
    </row>
    <row r="1196" spans="1:4" x14ac:dyDescent="0.25">
      <c r="A1196" t="s">
        <v>682</v>
      </c>
      <c r="B1196" s="1">
        <v>17034037.82</v>
      </c>
      <c r="C1196" s="1">
        <v>2547034.54</v>
      </c>
      <c r="D1196" s="1">
        <v>14487003.279999999</v>
      </c>
    </row>
    <row r="1198" spans="1:4" x14ac:dyDescent="0.25">
      <c r="A1198" t="s">
        <v>683</v>
      </c>
    </row>
    <row r="1199" spans="1:4" x14ac:dyDescent="0.25">
      <c r="B1199" t="s">
        <v>8</v>
      </c>
      <c r="C1199" t="s">
        <v>8</v>
      </c>
      <c r="D1199" t="s">
        <v>8</v>
      </c>
    </row>
    <row r="1200" spans="1:4" x14ac:dyDescent="0.25">
      <c r="A1200" t="s">
        <v>684</v>
      </c>
    </row>
    <row r="1202" spans="1:4" x14ac:dyDescent="0.25">
      <c r="A1202" t="s">
        <v>685</v>
      </c>
    </row>
    <row r="1204" spans="1:4" x14ac:dyDescent="0.25">
      <c r="A1204" t="s">
        <v>686</v>
      </c>
    </row>
    <row r="1205" spans="1:4" x14ac:dyDescent="0.25">
      <c r="B1205" t="s">
        <v>8</v>
      </c>
      <c r="C1205" t="s">
        <v>8</v>
      </c>
      <c r="D1205" t="s">
        <v>8</v>
      </c>
    </row>
    <row r="1206" spans="1:4" x14ac:dyDescent="0.25">
      <c r="A1206" t="s">
        <v>687</v>
      </c>
    </row>
    <row r="1208" spans="1:4" x14ac:dyDescent="0.25">
      <c r="A1208" t="s">
        <v>688</v>
      </c>
    </row>
    <row r="1210" spans="1:4" x14ac:dyDescent="0.25">
      <c r="A1210" t="s">
        <v>689</v>
      </c>
      <c r="B1210" s="1">
        <v>209068.04</v>
      </c>
      <c r="C1210" s="1">
        <v>5133352.24</v>
      </c>
      <c r="D1210" s="1">
        <v>-4924284.2</v>
      </c>
    </row>
    <row r="1211" spans="1:4" x14ac:dyDescent="0.25">
      <c r="B1211" t="s">
        <v>8</v>
      </c>
      <c r="C1211" t="s">
        <v>8</v>
      </c>
      <c r="D1211" t="s">
        <v>8</v>
      </c>
    </row>
    <row r="1212" spans="1:4" x14ac:dyDescent="0.25">
      <c r="A1212" t="s">
        <v>690</v>
      </c>
      <c r="B1212" s="1">
        <v>209068.04</v>
      </c>
      <c r="C1212" s="1">
        <v>5133352.24</v>
      </c>
      <c r="D1212" s="1">
        <v>-4924284.2</v>
      </c>
    </row>
    <row r="1214" spans="1:4" x14ac:dyDescent="0.25">
      <c r="A1214" t="s">
        <v>691</v>
      </c>
    </row>
    <row r="1216" spans="1:4" x14ac:dyDescent="0.25">
      <c r="A1216" t="s">
        <v>692</v>
      </c>
      <c r="C1216" s="1">
        <v>2712031.96</v>
      </c>
      <c r="D1216" s="1">
        <v>-2712031.96</v>
      </c>
    </row>
    <row r="1217" spans="1:4" x14ac:dyDescent="0.25">
      <c r="B1217" t="s">
        <v>8</v>
      </c>
      <c r="C1217" t="s">
        <v>8</v>
      </c>
      <c r="D1217" t="s">
        <v>8</v>
      </c>
    </row>
    <row r="1218" spans="1:4" x14ac:dyDescent="0.25">
      <c r="A1218" t="s">
        <v>693</v>
      </c>
      <c r="C1218" s="1">
        <v>2712031.96</v>
      </c>
      <c r="D1218" s="1">
        <v>-2712031.96</v>
      </c>
    </row>
    <row r="1220" spans="1:4" x14ac:dyDescent="0.25">
      <c r="A1220" t="s">
        <v>694</v>
      </c>
    </row>
    <row r="1221" spans="1:4" x14ac:dyDescent="0.25">
      <c r="B1221" t="s">
        <v>8</v>
      </c>
      <c r="C1221" t="s">
        <v>8</v>
      </c>
      <c r="D1221" t="s">
        <v>8</v>
      </c>
    </row>
    <row r="1222" spans="1:4" x14ac:dyDescent="0.25">
      <c r="A1222" t="s">
        <v>695</v>
      </c>
    </row>
    <row r="1224" spans="1:4" x14ac:dyDescent="0.25">
      <c r="A1224" t="s">
        <v>696</v>
      </c>
    </row>
    <row r="1226" spans="1:4" x14ac:dyDescent="0.25">
      <c r="A1226" t="s">
        <v>697</v>
      </c>
      <c r="C1226" s="1">
        <v>1475076.97</v>
      </c>
      <c r="D1226" s="1">
        <v>-1475076.97</v>
      </c>
    </row>
    <row r="1227" spans="1:4" x14ac:dyDescent="0.25">
      <c r="B1227" t="s">
        <v>8</v>
      </c>
      <c r="C1227" t="s">
        <v>8</v>
      </c>
      <c r="D1227" t="s">
        <v>8</v>
      </c>
    </row>
    <row r="1228" spans="1:4" x14ac:dyDescent="0.25">
      <c r="A1228" t="s">
        <v>698</v>
      </c>
      <c r="C1228" s="1">
        <v>1475076.97</v>
      </c>
      <c r="D1228" s="1">
        <v>-1475076.97</v>
      </c>
    </row>
    <row r="1230" spans="1:4" x14ac:dyDescent="0.25">
      <c r="A1230" t="s">
        <v>699</v>
      </c>
    </row>
    <row r="1232" spans="1:4" x14ac:dyDescent="0.25">
      <c r="A1232" t="s">
        <v>700</v>
      </c>
      <c r="C1232" s="1">
        <v>1102663.1299999999</v>
      </c>
      <c r="D1232" s="1">
        <v>-1102663.1299999999</v>
      </c>
    </row>
    <row r="1233" spans="1:4" x14ac:dyDescent="0.25">
      <c r="B1233" t="s">
        <v>8</v>
      </c>
      <c r="C1233" t="s">
        <v>8</v>
      </c>
      <c r="D1233" t="s">
        <v>8</v>
      </c>
    </row>
    <row r="1234" spans="1:4" x14ac:dyDescent="0.25">
      <c r="A1234" t="s">
        <v>701</v>
      </c>
      <c r="C1234" s="1">
        <v>1102663.1299999999</v>
      </c>
      <c r="D1234" s="1">
        <v>-1102663.1299999999</v>
      </c>
    </row>
    <row r="1236" spans="1:4" x14ac:dyDescent="0.25">
      <c r="A1236" t="s">
        <v>702</v>
      </c>
    </row>
    <row r="1238" spans="1:4" x14ac:dyDescent="0.25">
      <c r="A1238" t="s">
        <v>703</v>
      </c>
      <c r="B1238" s="1">
        <v>1422.25</v>
      </c>
      <c r="C1238" s="1">
        <v>6240555.0199999996</v>
      </c>
      <c r="D1238" s="1">
        <v>-6239132.7699999996</v>
      </c>
    </row>
    <row r="1239" spans="1:4" x14ac:dyDescent="0.25">
      <c r="A1239" t="s">
        <v>704</v>
      </c>
      <c r="C1239" s="1">
        <v>5040528.54</v>
      </c>
      <c r="D1239" s="1">
        <v>-5040528.54</v>
      </c>
    </row>
    <row r="1240" spans="1:4" x14ac:dyDescent="0.25">
      <c r="B1240" t="s">
        <v>8</v>
      </c>
      <c r="C1240" t="s">
        <v>8</v>
      </c>
      <c r="D1240" t="s">
        <v>8</v>
      </c>
    </row>
    <row r="1241" spans="1:4" x14ac:dyDescent="0.25">
      <c r="A1241" t="s">
        <v>705</v>
      </c>
      <c r="B1241" s="1">
        <v>1422.25</v>
      </c>
      <c r="C1241" s="1">
        <v>11281083.560000001</v>
      </c>
      <c r="D1241" s="1">
        <v>-11279661.310000001</v>
      </c>
    </row>
    <row r="1243" spans="1:4" x14ac:dyDescent="0.25">
      <c r="B1243" t="s">
        <v>8</v>
      </c>
      <c r="C1243" t="s">
        <v>8</v>
      </c>
      <c r="D1243" t="s">
        <v>8</v>
      </c>
    </row>
    <row r="1244" spans="1:4" x14ac:dyDescent="0.25">
      <c r="A1244" t="s">
        <v>706</v>
      </c>
      <c r="B1244" s="1">
        <v>210490.29</v>
      </c>
      <c r="C1244" s="1">
        <v>21704207.859999999</v>
      </c>
      <c r="D1244" s="1">
        <v>-21493717.57</v>
      </c>
    </row>
    <row r="1246" spans="1:4" x14ac:dyDescent="0.25">
      <c r="A1246" t="s">
        <v>707</v>
      </c>
    </row>
    <row r="1248" spans="1:4" x14ac:dyDescent="0.25">
      <c r="A1248" t="s">
        <v>708</v>
      </c>
    </row>
    <row r="1250" spans="1:4" x14ac:dyDescent="0.25">
      <c r="A1250" t="s">
        <v>709</v>
      </c>
      <c r="B1250" s="1">
        <v>45000</v>
      </c>
      <c r="C1250" s="1">
        <v>45000</v>
      </c>
    </row>
    <row r="1251" spans="1:4" x14ac:dyDescent="0.25">
      <c r="A1251" t="s">
        <v>2367</v>
      </c>
      <c r="B1251" s="1">
        <v>180000</v>
      </c>
      <c r="C1251" s="1">
        <v>180000</v>
      </c>
    </row>
    <row r="1252" spans="1:4" x14ac:dyDescent="0.25">
      <c r="A1252" t="s">
        <v>710</v>
      </c>
      <c r="B1252" s="1">
        <v>64963.7</v>
      </c>
      <c r="D1252" s="1">
        <v>64963.7</v>
      </c>
    </row>
    <row r="1253" spans="1:4" x14ac:dyDescent="0.25">
      <c r="A1253" t="s">
        <v>711</v>
      </c>
      <c r="B1253" s="1">
        <v>234508.48</v>
      </c>
      <c r="C1253" s="1">
        <v>45000</v>
      </c>
      <c r="D1253" s="1">
        <v>189508.48000000001</v>
      </c>
    </row>
    <row r="1254" spans="1:4" x14ac:dyDescent="0.25">
      <c r="A1254" t="s">
        <v>712</v>
      </c>
      <c r="B1254" s="1">
        <v>65000</v>
      </c>
      <c r="C1254" s="1">
        <v>65000</v>
      </c>
    </row>
    <row r="1255" spans="1:4" x14ac:dyDescent="0.25">
      <c r="A1255" t="s">
        <v>713</v>
      </c>
      <c r="B1255" s="1">
        <v>234069.04</v>
      </c>
      <c r="D1255" s="1">
        <v>234069.04</v>
      </c>
    </row>
    <row r="1256" spans="1:4" x14ac:dyDescent="0.25">
      <c r="B1256" t="s">
        <v>8</v>
      </c>
      <c r="C1256" t="s">
        <v>8</v>
      </c>
      <c r="D1256" t="s">
        <v>8</v>
      </c>
    </row>
    <row r="1257" spans="1:4" x14ac:dyDescent="0.25">
      <c r="A1257" t="s">
        <v>714</v>
      </c>
      <c r="B1257" s="1">
        <v>823541.22</v>
      </c>
      <c r="C1257" s="1">
        <v>335000</v>
      </c>
      <c r="D1257" s="1">
        <v>488541.22</v>
      </c>
    </row>
    <row r="1259" spans="1:4" x14ac:dyDescent="0.25">
      <c r="A1259" t="s">
        <v>715</v>
      </c>
    </row>
    <row r="1261" spans="1:4" x14ac:dyDescent="0.25">
      <c r="A1261" t="s">
        <v>716</v>
      </c>
      <c r="B1261" s="1">
        <v>21176.99</v>
      </c>
      <c r="D1261" s="1">
        <v>21176.99</v>
      </c>
    </row>
    <row r="1262" spans="1:4" x14ac:dyDescent="0.25">
      <c r="B1262" t="s">
        <v>8</v>
      </c>
      <c r="C1262" t="s">
        <v>8</v>
      </c>
      <c r="D1262" t="s">
        <v>8</v>
      </c>
    </row>
    <row r="1263" spans="1:4" x14ac:dyDescent="0.25">
      <c r="A1263" t="s">
        <v>717</v>
      </c>
      <c r="B1263" s="1">
        <v>21176.99</v>
      </c>
      <c r="D1263" s="1">
        <v>21176.99</v>
      </c>
    </row>
    <row r="1265" spans="1:4" x14ac:dyDescent="0.25">
      <c r="B1265" t="s">
        <v>8</v>
      </c>
      <c r="C1265" t="s">
        <v>8</v>
      </c>
      <c r="D1265" t="s">
        <v>8</v>
      </c>
    </row>
    <row r="1266" spans="1:4" x14ac:dyDescent="0.25">
      <c r="A1266" t="s">
        <v>718</v>
      </c>
      <c r="B1266" s="1">
        <v>844718.21</v>
      </c>
      <c r="C1266" s="1">
        <v>335000</v>
      </c>
      <c r="D1266" s="1">
        <v>509718.21</v>
      </c>
    </row>
    <row r="1268" spans="1:4" x14ac:dyDescent="0.25">
      <c r="A1268" t="s">
        <v>719</v>
      </c>
    </row>
    <row r="1270" spans="1:4" x14ac:dyDescent="0.25">
      <c r="A1270" t="s">
        <v>720</v>
      </c>
    </row>
    <row r="1272" spans="1:4" x14ac:dyDescent="0.25">
      <c r="A1272" t="s">
        <v>721</v>
      </c>
      <c r="B1272" s="1">
        <v>10200</v>
      </c>
      <c r="C1272" s="1">
        <v>10200</v>
      </c>
    </row>
    <row r="1273" spans="1:4" x14ac:dyDescent="0.25">
      <c r="B1273" t="s">
        <v>8</v>
      </c>
      <c r="C1273" t="s">
        <v>8</v>
      </c>
      <c r="D1273" t="s">
        <v>8</v>
      </c>
    </row>
    <row r="1274" spans="1:4" x14ac:dyDescent="0.25">
      <c r="A1274" t="s">
        <v>722</v>
      </c>
      <c r="B1274" s="1">
        <v>10200</v>
      </c>
      <c r="C1274" s="1">
        <v>10200</v>
      </c>
    </row>
    <row r="1276" spans="1:4" x14ac:dyDescent="0.25">
      <c r="B1276" t="s">
        <v>8</v>
      </c>
      <c r="C1276" t="s">
        <v>8</v>
      </c>
      <c r="D1276" t="s">
        <v>8</v>
      </c>
    </row>
    <row r="1277" spans="1:4" x14ac:dyDescent="0.25">
      <c r="A1277" t="s">
        <v>723</v>
      </c>
      <c r="B1277" s="1">
        <v>10200</v>
      </c>
      <c r="C1277" s="1">
        <v>10200</v>
      </c>
    </row>
    <row r="1279" spans="1:4" x14ac:dyDescent="0.25">
      <c r="A1279" t="s">
        <v>724</v>
      </c>
    </row>
    <row r="1281" spans="1:4" x14ac:dyDescent="0.25">
      <c r="A1281" t="s">
        <v>725</v>
      </c>
    </row>
    <row r="1283" spans="1:4" x14ac:dyDescent="0.25">
      <c r="A1283" t="s">
        <v>726</v>
      </c>
      <c r="B1283" s="1">
        <v>428167.99</v>
      </c>
      <c r="D1283" s="1">
        <v>428167.99</v>
      </c>
    </row>
    <row r="1284" spans="1:4" x14ac:dyDescent="0.25">
      <c r="A1284" t="s">
        <v>727</v>
      </c>
      <c r="B1284" s="1">
        <v>2703.39</v>
      </c>
      <c r="D1284" s="1">
        <v>2703.39</v>
      </c>
    </row>
    <row r="1285" spans="1:4" x14ac:dyDescent="0.25">
      <c r="A1285" t="s">
        <v>728</v>
      </c>
      <c r="B1285" s="1">
        <v>4855512.03</v>
      </c>
      <c r="D1285" s="1">
        <v>4855512.03</v>
      </c>
    </row>
    <row r="1286" spans="1:4" x14ac:dyDescent="0.25">
      <c r="A1286" t="s">
        <v>729</v>
      </c>
      <c r="B1286" s="1">
        <v>291500</v>
      </c>
      <c r="D1286" s="1">
        <v>291500</v>
      </c>
    </row>
    <row r="1287" spans="1:4" x14ac:dyDescent="0.25">
      <c r="A1287" t="s">
        <v>730</v>
      </c>
      <c r="B1287" s="1">
        <v>616610.17000000004</v>
      </c>
      <c r="D1287" s="1">
        <v>616610.17000000004</v>
      </c>
    </row>
    <row r="1288" spans="1:4" x14ac:dyDescent="0.25">
      <c r="A1288" t="s">
        <v>2368</v>
      </c>
      <c r="B1288" s="1">
        <v>4441750.17</v>
      </c>
      <c r="D1288" s="1">
        <v>4441750.17</v>
      </c>
    </row>
    <row r="1289" spans="1:4" x14ac:dyDescent="0.25">
      <c r="A1289" t="s">
        <v>2369</v>
      </c>
      <c r="B1289" s="1">
        <v>77280</v>
      </c>
      <c r="C1289" s="1">
        <v>77280</v>
      </c>
    </row>
    <row r="1290" spans="1:4" x14ac:dyDescent="0.25">
      <c r="B1290" t="s">
        <v>8</v>
      </c>
      <c r="C1290" t="s">
        <v>8</v>
      </c>
      <c r="D1290" t="s">
        <v>8</v>
      </c>
    </row>
    <row r="1291" spans="1:4" x14ac:dyDescent="0.25">
      <c r="A1291" t="s">
        <v>731</v>
      </c>
      <c r="B1291" s="1">
        <v>10713523.75</v>
      </c>
      <c r="C1291" s="1">
        <v>77280</v>
      </c>
      <c r="D1291" s="1">
        <v>10636243.75</v>
      </c>
    </row>
    <row r="1293" spans="1:4" x14ac:dyDescent="0.25">
      <c r="A1293" t="s">
        <v>732</v>
      </c>
    </row>
    <row r="1295" spans="1:4" x14ac:dyDescent="0.25">
      <c r="A1295" t="s">
        <v>733</v>
      </c>
      <c r="B1295" s="1">
        <v>66895.25</v>
      </c>
      <c r="D1295" s="1">
        <v>66895.25</v>
      </c>
    </row>
    <row r="1296" spans="1:4" x14ac:dyDescent="0.25">
      <c r="A1296" t="s">
        <v>734</v>
      </c>
      <c r="B1296" s="1">
        <v>9423007.8300000001</v>
      </c>
      <c r="D1296" s="1">
        <v>9423007.8300000001</v>
      </c>
    </row>
    <row r="1297" spans="1:4" x14ac:dyDescent="0.25">
      <c r="B1297" t="s">
        <v>8</v>
      </c>
      <c r="C1297" t="s">
        <v>8</v>
      </c>
      <c r="D1297" t="s">
        <v>8</v>
      </c>
    </row>
    <row r="1298" spans="1:4" x14ac:dyDescent="0.25">
      <c r="A1298" t="s">
        <v>735</v>
      </c>
      <c r="B1298" s="1">
        <v>9489903.0800000001</v>
      </c>
      <c r="D1298" s="1">
        <v>9489903.0800000001</v>
      </c>
    </row>
    <row r="1300" spans="1:4" x14ac:dyDescent="0.25">
      <c r="A1300" t="s">
        <v>736</v>
      </c>
    </row>
    <row r="1302" spans="1:4" x14ac:dyDescent="0.25">
      <c r="A1302" t="s">
        <v>737</v>
      </c>
      <c r="B1302" s="1">
        <v>40400685.850000001</v>
      </c>
      <c r="D1302" s="1">
        <v>40400685.850000001</v>
      </c>
    </row>
    <row r="1303" spans="1:4" x14ac:dyDescent="0.25">
      <c r="B1303" t="s">
        <v>8</v>
      </c>
      <c r="C1303" t="s">
        <v>8</v>
      </c>
      <c r="D1303" t="s">
        <v>8</v>
      </c>
    </row>
    <row r="1304" spans="1:4" x14ac:dyDescent="0.25">
      <c r="A1304" t="s">
        <v>738</v>
      </c>
      <c r="B1304" s="1">
        <v>40400685.850000001</v>
      </c>
      <c r="D1304" s="1">
        <v>40400685.850000001</v>
      </c>
    </row>
    <row r="1306" spans="1:4" x14ac:dyDescent="0.25">
      <c r="B1306" t="s">
        <v>8</v>
      </c>
      <c r="C1306" t="s">
        <v>8</v>
      </c>
      <c r="D1306" t="s">
        <v>8</v>
      </c>
    </row>
    <row r="1307" spans="1:4" x14ac:dyDescent="0.25">
      <c r="A1307" t="s">
        <v>739</v>
      </c>
      <c r="B1307" s="1">
        <v>60604112.68</v>
      </c>
      <c r="C1307" s="1">
        <v>77280</v>
      </c>
      <c r="D1307" s="1">
        <v>60526832.68</v>
      </c>
    </row>
    <row r="1309" spans="1:4" x14ac:dyDescent="0.25">
      <c r="A1309" t="s">
        <v>740</v>
      </c>
    </row>
    <row r="1310" spans="1:4" x14ac:dyDescent="0.25">
      <c r="B1310" t="s">
        <v>8</v>
      </c>
      <c r="C1310" t="s">
        <v>8</v>
      </c>
      <c r="D1310" t="s">
        <v>8</v>
      </c>
    </row>
    <row r="1311" spans="1:4" x14ac:dyDescent="0.25">
      <c r="A1311" t="s">
        <v>741</v>
      </c>
    </row>
    <row r="1313" spans="1:4" x14ac:dyDescent="0.25">
      <c r="A1313" t="s">
        <v>742</v>
      </c>
    </row>
    <row r="1314" spans="1:4" x14ac:dyDescent="0.25">
      <c r="B1314" t="s">
        <v>8</v>
      </c>
      <c r="C1314" t="s">
        <v>8</v>
      </c>
      <c r="D1314" t="s">
        <v>8</v>
      </c>
    </row>
    <row r="1315" spans="1:4" x14ac:dyDescent="0.25">
      <c r="A1315" t="s">
        <v>743</v>
      </c>
    </row>
    <row r="1317" spans="1:4" x14ac:dyDescent="0.25">
      <c r="A1317" t="s">
        <v>744</v>
      </c>
    </row>
    <row r="1318" spans="1:4" x14ac:dyDescent="0.25">
      <c r="B1318" t="s">
        <v>8</v>
      </c>
      <c r="C1318" t="s">
        <v>8</v>
      </c>
      <c r="D1318" t="s">
        <v>8</v>
      </c>
    </row>
    <row r="1319" spans="1:4" x14ac:dyDescent="0.25">
      <c r="A1319" t="s">
        <v>745</v>
      </c>
    </row>
    <row r="1321" spans="1:4" x14ac:dyDescent="0.25">
      <c r="A1321" t="s">
        <v>746</v>
      </c>
    </row>
    <row r="1323" spans="1:4" x14ac:dyDescent="0.25">
      <c r="A1323" t="s">
        <v>747</v>
      </c>
    </row>
    <row r="1325" spans="1:4" x14ac:dyDescent="0.25">
      <c r="A1325" t="s">
        <v>748</v>
      </c>
      <c r="B1325" s="1">
        <v>15307</v>
      </c>
      <c r="D1325" s="1">
        <v>15307</v>
      </c>
    </row>
    <row r="1326" spans="1:4" x14ac:dyDescent="0.25">
      <c r="A1326" t="s">
        <v>749</v>
      </c>
      <c r="B1326" s="1">
        <v>7865.21</v>
      </c>
      <c r="D1326" s="1">
        <v>7865.21</v>
      </c>
    </row>
    <row r="1327" spans="1:4" x14ac:dyDescent="0.25">
      <c r="A1327" t="s">
        <v>750</v>
      </c>
      <c r="B1327" s="1">
        <v>35628.400000000001</v>
      </c>
      <c r="D1327" s="1">
        <v>35628.400000000001</v>
      </c>
    </row>
    <row r="1328" spans="1:4" x14ac:dyDescent="0.25">
      <c r="A1328" t="s">
        <v>751</v>
      </c>
      <c r="B1328" s="1">
        <v>3000.49</v>
      </c>
      <c r="D1328" s="1">
        <v>3000.49</v>
      </c>
    </row>
    <row r="1329" spans="1:4" x14ac:dyDescent="0.25">
      <c r="A1329" t="s">
        <v>752</v>
      </c>
      <c r="B1329" s="1">
        <v>15000</v>
      </c>
      <c r="D1329" s="1">
        <v>15000</v>
      </c>
    </row>
    <row r="1330" spans="1:4" x14ac:dyDescent="0.25">
      <c r="A1330" t="s">
        <v>753</v>
      </c>
      <c r="B1330">
        <v>850</v>
      </c>
      <c r="D1330">
        <v>850</v>
      </c>
    </row>
    <row r="1331" spans="1:4" x14ac:dyDescent="0.25">
      <c r="A1331" t="s">
        <v>754</v>
      </c>
      <c r="B1331" s="1">
        <v>16209.21</v>
      </c>
      <c r="D1331" s="1">
        <v>16209.21</v>
      </c>
    </row>
    <row r="1332" spans="1:4" x14ac:dyDescent="0.25">
      <c r="A1332" t="s">
        <v>755</v>
      </c>
      <c r="B1332" s="1">
        <v>453522.48</v>
      </c>
      <c r="D1332" s="1">
        <v>453522.48</v>
      </c>
    </row>
    <row r="1333" spans="1:4" x14ac:dyDescent="0.25">
      <c r="A1333" t="s">
        <v>756</v>
      </c>
      <c r="B1333" s="1">
        <v>8500</v>
      </c>
      <c r="D1333" s="1">
        <v>8500</v>
      </c>
    </row>
    <row r="1334" spans="1:4" x14ac:dyDescent="0.25">
      <c r="A1334" t="s">
        <v>757</v>
      </c>
      <c r="B1334" s="1">
        <v>132782.66</v>
      </c>
      <c r="D1334" s="1">
        <v>132782.66</v>
      </c>
    </row>
    <row r="1335" spans="1:4" x14ac:dyDescent="0.25">
      <c r="A1335" t="s">
        <v>758</v>
      </c>
      <c r="B1335" s="1">
        <v>2233887.42</v>
      </c>
      <c r="D1335" s="1">
        <v>2233887.42</v>
      </c>
    </row>
    <row r="1336" spans="1:4" x14ac:dyDescent="0.25">
      <c r="A1336" t="s">
        <v>759</v>
      </c>
      <c r="B1336" s="1">
        <v>161489.91</v>
      </c>
      <c r="D1336" s="1">
        <v>161489.91</v>
      </c>
    </row>
    <row r="1337" spans="1:4" x14ac:dyDescent="0.25">
      <c r="A1337" t="s">
        <v>760</v>
      </c>
      <c r="B1337" s="1">
        <v>99872.11</v>
      </c>
      <c r="D1337" s="1">
        <v>99872.11</v>
      </c>
    </row>
    <row r="1338" spans="1:4" x14ac:dyDescent="0.25">
      <c r="A1338" t="s">
        <v>761</v>
      </c>
      <c r="B1338" s="1">
        <v>28506.46</v>
      </c>
      <c r="D1338" s="1">
        <v>28506.46</v>
      </c>
    </row>
    <row r="1339" spans="1:4" x14ac:dyDescent="0.25">
      <c r="A1339" t="s">
        <v>762</v>
      </c>
      <c r="B1339" s="1">
        <v>18025.419999999998</v>
      </c>
      <c r="D1339" s="1">
        <v>18025.419999999998</v>
      </c>
    </row>
    <row r="1340" spans="1:4" x14ac:dyDescent="0.25">
      <c r="A1340" t="s">
        <v>763</v>
      </c>
      <c r="B1340" s="1">
        <v>507570.67</v>
      </c>
      <c r="D1340" s="1">
        <v>507570.67</v>
      </c>
    </row>
    <row r="1341" spans="1:4" x14ac:dyDescent="0.25">
      <c r="A1341" t="s">
        <v>764</v>
      </c>
      <c r="B1341" s="1">
        <v>3924121.47</v>
      </c>
      <c r="D1341" s="1">
        <v>3924121.47</v>
      </c>
    </row>
    <row r="1342" spans="1:4" x14ac:dyDescent="0.25">
      <c r="A1342" t="s">
        <v>765</v>
      </c>
      <c r="B1342" s="1">
        <v>171991.3</v>
      </c>
      <c r="D1342" s="1">
        <v>171991.3</v>
      </c>
    </row>
    <row r="1343" spans="1:4" x14ac:dyDescent="0.25">
      <c r="A1343" t="s">
        <v>766</v>
      </c>
      <c r="B1343" s="1">
        <v>1746000</v>
      </c>
      <c r="D1343" s="1">
        <v>1746000</v>
      </c>
    </row>
    <row r="1344" spans="1:4" x14ac:dyDescent="0.25">
      <c r="A1344" t="s">
        <v>767</v>
      </c>
      <c r="B1344" s="1">
        <v>817632.77</v>
      </c>
      <c r="D1344" s="1">
        <v>817632.77</v>
      </c>
    </row>
    <row r="1345" spans="1:4" x14ac:dyDescent="0.25">
      <c r="A1345" t="s">
        <v>768</v>
      </c>
      <c r="B1345" s="1">
        <v>4920355.78</v>
      </c>
      <c r="D1345" s="1">
        <v>4920355.78</v>
      </c>
    </row>
    <row r="1346" spans="1:4" x14ac:dyDescent="0.25">
      <c r="A1346" t="s">
        <v>769</v>
      </c>
      <c r="B1346" s="1">
        <v>16831</v>
      </c>
      <c r="D1346" s="1">
        <v>16831</v>
      </c>
    </row>
    <row r="1347" spans="1:4" x14ac:dyDescent="0.25">
      <c r="A1347" t="s">
        <v>770</v>
      </c>
      <c r="B1347" s="1">
        <v>131536.93</v>
      </c>
      <c r="D1347" s="1">
        <v>131536.93</v>
      </c>
    </row>
    <row r="1348" spans="1:4" x14ac:dyDescent="0.25">
      <c r="A1348" t="s">
        <v>771</v>
      </c>
      <c r="B1348" s="1">
        <v>67519.94</v>
      </c>
      <c r="D1348" s="1">
        <v>67519.94</v>
      </c>
    </row>
    <row r="1349" spans="1:4" x14ac:dyDescent="0.25">
      <c r="A1349" t="s">
        <v>772</v>
      </c>
      <c r="B1349" s="1">
        <v>116912.22</v>
      </c>
      <c r="D1349" s="1">
        <v>116912.22</v>
      </c>
    </row>
    <row r="1350" spans="1:4" x14ac:dyDescent="0.25">
      <c r="A1350" t="s">
        <v>773</v>
      </c>
      <c r="B1350" s="1">
        <v>14000</v>
      </c>
      <c r="D1350" s="1">
        <v>14000</v>
      </c>
    </row>
    <row r="1351" spans="1:4" x14ac:dyDescent="0.25">
      <c r="B1351" t="s">
        <v>8</v>
      </c>
      <c r="C1351" t="s">
        <v>8</v>
      </c>
      <c r="D1351" t="s">
        <v>8</v>
      </c>
    </row>
    <row r="1352" spans="1:4" x14ac:dyDescent="0.25">
      <c r="A1352" t="s">
        <v>774</v>
      </c>
      <c r="B1352" s="1">
        <v>15664918.85</v>
      </c>
      <c r="D1352" s="1">
        <v>15664918.85</v>
      </c>
    </row>
    <row r="1354" spans="1:4" x14ac:dyDescent="0.25">
      <c r="A1354" t="s">
        <v>775</v>
      </c>
    </row>
    <row r="1356" spans="1:4" x14ac:dyDescent="0.25">
      <c r="A1356" t="s">
        <v>776</v>
      </c>
      <c r="B1356" s="1">
        <v>9014228.0099999998</v>
      </c>
      <c r="D1356" s="1">
        <v>9014228.0099999998</v>
      </c>
    </row>
    <row r="1357" spans="1:4" x14ac:dyDescent="0.25">
      <c r="B1357" t="s">
        <v>8</v>
      </c>
      <c r="C1357" t="s">
        <v>8</v>
      </c>
      <c r="D1357" t="s">
        <v>8</v>
      </c>
    </row>
    <row r="1358" spans="1:4" x14ac:dyDescent="0.25">
      <c r="A1358" t="s">
        <v>777</v>
      </c>
      <c r="B1358" s="1">
        <v>9014228.0099999998</v>
      </c>
      <c r="D1358" s="1">
        <v>9014228.0099999998</v>
      </c>
    </row>
    <row r="1360" spans="1:4" x14ac:dyDescent="0.25">
      <c r="A1360" t="s">
        <v>778</v>
      </c>
    </row>
    <row r="1362" spans="1:4" x14ac:dyDescent="0.25">
      <c r="A1362" t="s">
        <v>779</v>
      </c>
      <c r="B1362" s="1">
        <v>39227880.409999996</v>
      </c>
      <c r="D1362" s="1">
        <v>39227880.409999996</v>
      </c>
    </row>
    <row r="1363" spans="1:4" x14ac:dyDescent="0.25">
      <c r="B1363" t="s">
        <v>8</v>
      </c>
      <c r="C1363" t="s">
        <v>8</v>
      </c>
      <c r="D1363" t="s">
        <v>8</v>
      </c>
    </row>
    <row r="1364" spans="1:4" x14ac:dyDescent="0.25">
      <c r="A1364" t="s">
        <v>780</v>
      </c>
      <c r="B1364" s="1">
        <v>39227880.409999996</v>
      </c>
      <c r="D1364" s="1">
        <v>39227880.409999996</v>
      </c>
    </row>
    <row r="1366" spans="1:4" x14ac:dyDescent="0.25">
      <c r="B1366" t="s">
        <v>8</v>
      </c>
      <c r="C1366" t="s">
        <v>8</v>
      </c>
      <c r="D1366" t="s">
        <v>8</v>
      </c>
    </row>
    <row r="1367" spans="1:4" x14ac:dyDescent="0.25">
      <c r="A1367" t="s">
        <v>781</v>
      </c>
      <c r="B1367" s="1">
        <v>63907027.270000003</v>
      </c>
      <c r="D1367" s="1">
        <v>63907027.270000003</v>
      </c>
    </row>
    <row r="1369" spans="1:4" x14ac:dyDescent="0.25">
      <c r="A1369" t="s">
        <v>782</v>
      </c>
    </row>
    <row r="1371" spans="1:4" x14ac:dyDescent="0.25">
      <c r="A1371" t="s">
        <v>783</v>
      </c>
    </row>
    <row r="1372" spans="1:4" x14ac:dyDescent="0.25">
      <c r="B1372" t="s">
        <v>8</v>
      </c>
      <c r="C1372" t="s">
        <v>8</v>
      </c>
      <c r="D1372" t="s">
        <v>8</v>
      </c>
    </row>
    <row r="1373" spans="1:4" x14ac:dyDescent="0.25">
      <c r="A1373" t="s">
        <v>784</v>
      </c>
    </row>
    <row r="1375" spans="1:4" x14ac:dyDescent="0.25">
      <c r="B1375" t="s">
        <v>8</v>
      </c>
      <c r="C1375" t="s">
        <v>8</v>
      </c>
      <c r="D1375" t="s">
        <v>8</v>
      </c>
    </row>
    <row r="1376" spans="1:4" x14ac:dyDescent="0.25">
      <c r="A1376" t="s">
        <v>785</v>
      </c>
    </row>
    <row r="1378" spans="1:4" x14ac:dyDescent="0.25">
      <c r="A1378" t="s">
        <v>786</v>
      </c>
    </row>
    <row r="1380" spans="1:4" x14ac:dyDescent="0.25">
      <c r="A1380" t="s">
        <v>787</v>
      </c>
    </row>
    <row r="1381" spans="1:4" x14ac:dyDescent="0.25">
      <c r="B1381" t="s">
        <v>8</v>
      </c>
      <c r="C1381" t="s">
        <v>8</v>
      </c>
      <c r="D1381" t="s">
        <v>8</v>
      </c>
    </row>
    <row r="1382" spans="1:4" x14ac:dyDescent="0.25">
      <c r="A1382" t="s">
        <v>788</v>
      </c>
    </row>
    <row r="1384" spans="1:4" x14ac:dyDescent="0.25">
      <c r="B1384" t="s">
        <v>8</v>
      </c>
      <c r="C1384" t="s">
        <v>8</v>
      </c>
      <c r="D1384" t="s">
        <v>8</v>
      </c>
    </row>
    <row r="1385" spans="1:4" x14ac:dyDescent="0.25">
      <c r="A1385" t="s">
        <v>789</v>
      </c>
    </row>
    <row r="1387" spans="1:4" x14ac:dyDescent="0.25">
      <c r="A1387" t="s">
        <v>790</v>
      </c>
    </row>
    <row r="1389" spans="1:4" x14ac:dyDescent="0.25">
      <c r="A1389" t="s">
        <v>791</v>
      </c>
    </row>
    <row r="1391" spans="1:4" x14ac:dyDescent="0.25">
      <c r="A1391" t="s">
        <v>792</v>
      </c>
      <c r="C1391" s="1">
        <v>7594609.3499999996</v>
      </c>
      <c r="D1391" s="1">
        <v>-7594609.3499999996</v>
      </c>
    </row>
    <row r="1392" spans="1:4" x14ac:dyDescent="0.25">
      <c r="B1392" t="s">
        <v>8</v>
      </c>
      <c r="C1392" t="s">
        <v>8</v>
      </c>
      <c r="D1392" t="s">
        <v>8</v>
      </c>
    </row>
    <row r="1393" spans="1:4" x14ac:dyDescent="0.25">
      <c r="A1393" t="s">
        <v>793</v>
      </c>
      <c r="C1393" s="1">
        <v>7594609.3499999996</v>
      </c>
      <c r="D1393" s="1">
        <v>-7594609.3499999996</v>
      </c>
    </row>
    <row r="1395" spans="1:4" x14ac:dyDescent="0.25">
      <c r="A1395" t="s">
        <v>794</v>
      </c>
    </row>
    <row r="1397" spans="1:4" x14ac:dyDescent="0.25">
      <c r="A1397" t="s">
        <v>795</v>
      </c>
      <c r="C1397" s="1">
        <v>6602584.75</v>
      </c>
      <c r="D1397" s="1">
        <v>-6602584.75</v>
      </c>
    </row>
    <row r="1398" spans="1:4" x14ac:dyDescent="0.25">
      <c r="B1398" t="s">
        <v>8</v>
      </c>
      <c r="C1398" t="s">
        <v>8</v>
      </c>
      <c r="D1398" t="s">
        <v>8</v>
      </c>
    </row>
    <row r="1399" spans="1:4" x14ac:dyDescent="0.25">
      <c r="A1399" t="s">
        <v>796</v>
      </c>
      <c r="C1399" s="1">
        <v>6602584.75</v>
      </c>
      <c r="D1399" s="1">
        <v>-6602584.75</v>
      </c>
    </row>
    <row r="1401" spans="1:4" x14ac:dyDescent="0.25">
      <c r="A1401" t="s">
        <v>797</v>
      </c>
    </row>
    <row r="1403" spans="1:4" x14ac:dyDescent="0.25">
      <c r="A1403" t="s">
        <v>798</v>
      </c>
      <c r="C1403" s="1">
        <v>2168593.88</v>
      </c>
      <c r="D1403" s="1">
        <v>-2168593.88</v>
      </c>
    </row>
    <row r="1404" spans="1:4" x14ac:dyDescent="0.25">
      <c r="A1404" t="s">
        <v>799</v>
      </c>
      <c r="C1404" s="1">
        <v>1951217.18</v>
      </c>
      <c r="D1404" s="1">
        <v>-1951217.18</v>
      </c>
    </row>
    <row r="1405" spans="1:4" x14ac:dyDescent="0.25">
      <c r="B1405" t="s">
        <v>8</v>
      </c>
      <c r="C1405" t="s">
        <v>8</v>
      </c>
      <c r="D1405" t="s">
        <v>8</v>
      </c>
    </row>
    <row r="1406" spans="1:4" x14ac:dyDescent="0.25">
      <c r="A1406" t="s">
        <v>800</v>
      </c>
      <c r="C1406" s="1">
        <v>4119811.06</v>
      </c>
      <c r="D1406" s="1">
        <v>-4119811.06</v>
      </c>
    </row>
    <row r="1408" spans="1:4" x14ac:dyDescent="0.25">
      <c r="A1408" t="s">
        <v>801</v>
      </c>
    </row>
    <row r="1410" spans="1:4" x14ac:dyDescent="0.25">
      <c r="A1410" t="s">
        <v>802</v>
      </c>
      <c r="C1410" s="1">
        <v>16164456.880000001</v>
      </c>
      <c r="D1410" s="1">
        <v>-16164456.880000001</v>
      </c>
    </row>
    <row r="1411" spans="1:4" x14ac:dyDescent="0.25">
      <c r="A1411" t="s">
        <v>803</v>
      </c>
      <c r="C1411" s="1">
        <v>19087388.57</v>
      </c>
      <c r="D1411" s="1">
        <v>-19087388.57</v>
      </c>
    </row>
    <row r="1412" spans="1:4" x14ac:dyDescent="0.25">
      <c r="B1412" t="s">
        <v>8</v>
      </c>
      <c r="C1412" t="s">
        <v>8</v>
      </c>
      <c r="D1412" t="s">
        <v>8</v>
      </c>
    </row>
    <row r="1413" spans="1:4" x14ac:dyDescent="0.25">
      <c r="A1413" t="s">
        <v>804</v>
      </c>
      <c r="C1413" s="1">
        <v>35251845.450000003</v>
      </c>
      <c r="D1413" s="1">
        <v>-35251845.450000003</v>
      </c>
    </row>
    <row r="1415" spans="1:4" x14ac:dyDescent="0.25">
      <c r="B1415" t="s">
        <v>8</v>
      </c>
      <c r="C1415" t="s">
        <v>8</v>
      </c>
      <c r="D1415" t="s">
        <v>8</v>
      </c>
    </row>
    <row r="1416" spans="1:4" x14ac:dyDescent="0.25">
      <c r="A1416" t="s">
        <v>805</v>
      </c>
      <c r="C1416" s="1">
        <v>53568850.609999999</v>
      </c>
      <c r="D1416" s="1">
        <v>-53568850.609999999</v>
      </c>
    </row>
    <row r="1418" spans="1:4" x14ac:dyDescent="0.25">
      <c r="A1418" t="s">
        <v>806</v>
      </c>
    </row>
    <row r="1419" spans="1:4" x14ac:dyDescent="0.25">
      <c r="B1419" t="s">
        <v>8</v>
      </c>
      <c r="C1419" t="s">
        <v>8</v>
      </c>
      <c r="D1419" t="s">
        <v>8</v>
      </c>
    </row>
    <row r="1420" spans="1:4" x14ac:dyDescent="0.25">
      <c r="A1420" t="s">
        <v>807</v>
      </c>
    </row>
    <row r="1422" spans="1:4" x14ac:dyDescent="0.25">
      <c r="A1422" t="s">
        <v>808</v>
      </c>
    </row>
    <row r="1423" spans="1:4" x14ac:dyDescent="0.25">
      <c r="B1423" t="s">
        <v>8</v>
      </c>
      <c r="C1423" t="s">
        <v>8</v>
      </c>
      <c r="D1423" t="s">
        <v>8</v>
      </c>
    </row>
    <row r="1424" spans="1:4" x14ac:dyDescent="0.25">
      <c r="A1424" t="s">
        <v>809</v>
      </c>
    </row>
    <row r="1426" spans="1:4" x14ac:dyDescent="0.25">
      <c r="A1426" t="s">
        <v>810</v>
      </c>
    </row>
    <row r="1427" spans="1:4" x14ac:dyDescent="0.25">
      <c r="B1427" t="s">
        <v>8</v>
      </c>
      <c r="C1427" t="s">
        <v>8</v>
      </c>
      <c r="D1427" t="s">
        <v>8</v>
      </c>
    </row>
    <row r="1428" spans="1:4" x14ac:dyDescent="0.25">
      <c r="A1428" t="s">
        <v>811</v>
      </c>
    </row>
    <row r="1430" spans="1:4" x14ac:dyDescent="0.25">
      <c r="A1430" t="s">
        <v>812</v>
      </c>
    </row>
    <row r="1431" spans="1:4" x14ac:dyDescent="0.25">
      <c r="B1431" t="s">
        <v>8</v>
      </c>
      <c r="C1431" t="s">
        <v>8</v>
      </c>
      <c r="D1431" t="s">
        <v>8</v>
      </c>
    </row>
    <row r="1432" spans="1:4" x14ac:dyDescent="0.25">
      <c r="A1432" t="s">
        <v>813</v>
      </c>
    </row>
    <row r="1434" spans="1:4" x14ac:dyDescent="0.25">
      <c r="A1434" t="s">
        <v>814</v>
      </c>
    </row>
    <row r="1435" spans="1:4" x14ac:dyDescent="0.25">
      <c r="B1435" t="s">
        <v>8</v>
      </c>
      <c r="C1435" t="s">
        <v>8</v>
      </c>
      <c r="D1435" t="s">
        <v>8</v>
      </c>
    </row>
    <row r="1436" spans="1:4" x14ac:dyDescent="0.25">
      <c r="A1436" t="s">
        <v>815</v>
      </c>
    </row>
    <row r="1438" spans="1:4" x14ac:dyDescent="0.25">
      <c r="A1438" t="s">
        <v>816</v>
      </c>
    </row>
    <row r="1439" spans="1:4" x14ac:dyDescent="0.25">
      <c r="B1439" t="s">
        <v>8</v>
      </c>
      <c r="C1439" t="s">
        <v>8</v>
      </c>
      <c r="D1439" t="s">
        <v>8</v>
      </c>
    </row>
    <row r="1440" spans="1:4" x14ac:dyDescent="0.25">
      <c r="A1440" t="s">
        <v>817</v>
      </c>
    </row>
    <row r="1442" spans="1:4" x14ac:dyDescent="0.25">
      <c r="A1442" t="s">
        <v>818</v>
      </c>
    </row>
    <row r="1444" spans="1:4" x14ac:dyDescent="0.25">
      <c r="A1444" t="s">
        <v>819</v>
      </c>
    </row>
    <row r="1445" spans="1:4" x14ac:dyDescent="0.25">
      <c r="B1445" t="s">
        <v>8</v>
      </c>
      <c r="C1445" t="s">
        <v>8</v>
      </c>
      <c r="D1445" t="s">
        <v>8</v>
      </c>
    </row>
    <row r="1446" spans="1:4" x14ac:dyDescent="0.25">
      <c r="A1446" t="s">
        <v>820</v>
      </c>
    </row>
    <row r="1448" spans="1:4" x14ac:dyDescent="0.25">
      <c r="A1448" t="s">
        <v>821</v>
      </c>
    </row>
    <row r="1450" spans="1:4" x14ac:dyDescent="0.25">
      <c r="A1450" t="s">
        <v>822</v>
      </c>
      <c r="B1450" s="1">
        <v>166228.92000000001</v>
      </c>
      <c r="C1450" s="1">
        <v>87551.3</v>
      </c>
      <c r="D1450" s="1">
        <v>78677.62</v>
      </c>
    </row>
    <row r="1451" spans="1:4" x14ac:dyDescent="0.25">
      <c r="A1451" t="s">
        <v>823</v>
      </c>
      <c r="B1451" s="1">
        <v>119545.27</v>
      </c>
      <c r="C1451" s="1">
        <v>69878.559999999998</v>
      </c>
      <c r="D1451" s="1">
        <v>49666.71</v>
      </c>
    </row>
    <row r="1452" spans="1:4" x14ac:dyDescent="0.25">
      <c r="A1452" t="s">
        <v>824</v>
      </c>
      <c r="B1452" s="1">
        <v>128639.55</v>
      </c>
      <c r="C1452" s="1">
        <v>75904.38</v>
      </c>
      <c r="D1452" s="1">
        <v>52735.17</v>
      </c>
    </row>
    <row r="1453" spans="1:4" x14ac:dyDescent="0.25">
      <c r="A1453" t="s">
        <v>825</v>
      </c>
      <c r="B1453" s="1">
        <v>118525.4</v>
      </c>
      <c r="C1453" s="1">
        <v>69981.83</v>
      </c>
      <c r="D1453" s="1">
        <v>48543.57</v>
      </c>
    </row>
    <row r="1454" spans="1:4" x14ac:dyDescent="0.25">
      <c r="A1454" t="s">
        <v>826</v>
      </c>
      <c r="B1454" s="1">
        <v>113082.55</v>
      </c>
      <c r="C1454" s="1">
        <v>68803.009999999995</v>
      </c>
      <c r="D1454" s="1">
        <v>44279.54</v>
      </c>
    </row>
    <row r="1455" spans="1:4" x14ac:dyDescent="0.25">
      <c r="A1455" t="s">
        <v>827</v>
      </c>
      <c r="B1455" s="1">
        <v>95538.2</v>
      </c>
      <c r="C1455" s="1">
        <v>58660.55</v>
      </c>
      <c r="D1455" s="1">
        <v>36877.65</v>
      </c>
    </row>
    <row r="1456" spans="1:4" x14ac:dyDescent="0.25">
      <c r="A1456" t="s">
        <v>828</v>
      </c>
      <c r="B1456" s="1">
        <v>94427.02</v>
      </c>
      <c r="C1456" s="1">
        <v>58936.07</v>
      </c>
      <c r="D1456" s="1">
        <v>35490.949999999997</v>
      </c>
    </row>
    <row r="1457" spans="1:4" x14ac:dyDescent="0.25">
      <c r="A1457" t="s">
        <v>829</v>
      </c>
      <c r="B1457" s="1">
        <v>63724.38</v>
      </c>
      <c r="C1457" s="1">
        <v>47426.18</v>
      </c>
      <c r="D1457" s="1">
        <v>16298.2</v>
      </c>
    </row>
    <row r="1458" spans="1:4" x14ac:dyDescent="0.25">
      <c r="A1458" t="s">
        <v>830</v>
      </c>
      <c r="B1458" s="1">
        <v>36274.43</v>
      </c>
      <c r="C1458" s="1">
        <v>36156.51</v>
      </c>
      <c r="D1458">
        <v>117.92</v>
      </c>
    </row>
    <row r="1459" spans="1:4" x14ac:dyDescent="0.25">
      <c r="A1459" t="s">
        <v>831</v>
      </c>
      <c r="B1459" s="1">
        <v>16196.99</v>
      </c>
      <c r="C1459" s="1">
        <v>16138.03</v>
      </c>
      <c r="D1459">
        <v>58.96</v>
      </c>
    </row>
    <row r="1460" spans="1:4" x14ac:dyDescent="0.25">
      <c r="A1460" t="s">
        <v>832</v>
      </c>
      <c r="B1460" s="1">
        <v>13644.05</v>
      </c>
      <c r="C1460" s="1">
        <v>13644.05</v>
      </c>
    </row>
    <row r="1461" spans="1:4" x14ac:dyDescent="0.25">
      <c r="A1461" t="s">
        <v>833</v>
      </c>
      <c r="B1461" s="1">
        <v>4735.41</v>
      </c>
      <c r="C1461" s="1">
        <v>4735.41</v>
      </c>
    </row>
    <row r="1462" spans="1:4" x14ac:dyDescent="0.25">
      <c r="B1462" t="s">
        <v>8</v>
      </c>
      <c r="C1462" t="s">
        <v>8</v>
      </c>
      <c r="D1462" t="s">
        <v>8</v>
      </c>
    </row>
    <row r="1463" spans="1:4" x14ac:dyDescent="0.25">
      <c r="A1463" t="s">
        <v>834</v>
      </c>
      <c r="B1463" s="1">
        <v>970562.17</v>
      </c>
      <c r="C1463" s="1">
        <v>607815.88</v>
      </c>
      <c r="D1463" s="1">
        <v>362746.29</v>
      </c>
    </row>
    <row r="1465" spans="1:4" x14ac:dyDescent="0.25">
      <c r="A1465" t="s">
        <v>835</v>
      </c>
    </row>
    <row r="1467" spans="1:4" x14ac:dyDescent="0.25">
      <c r="A1467" t="s">
        <v>836</v>
      </c>
      <c r="B1467" s="1">
        <v>17142.88</v>
      </c>
      <c r="D1467" s="1">
        <v>17142.88</v>
      </c>
    </row>
    <row r="1468" spans="1:4" x14ac:dyDescent="0.25">
      <c r="A1468" t="s">
        <v>837</v>
      </c>
      <c r="B1468" s="1">
        <v>40701.75</v>
      </c>
      <c r="C1468" s="1">
        <v>16667.05</v>
      </c>
      <c r="D1468" s="1">
        <v>24034.7</v>
      </c>
    </row>
    <row r="1469" spans="1:4" x14ac:dyDescent="0.25">
      <c r="A1469" t="s">
        <v>2370</v>
      </c>
      <c r="B1469" s="1">
        <v>28901.58</v>
      </c>
      <c r="C1469" s="1">
        <v>4830</v>
      </c>
      <c r="D1469" s="1">
        <v>24071.58</v>
      </c>
    </row>
    <row r="1470" spans="1:4" x14ac:dyDescent="0.25">
      <c r="A1470" t="s">
        <v>2371</v>
      </c>
      <c r="B1470" s="1">
        <v>17060.45</v>
      </c>
      <c r="D1470" s="1">
        <v>17060.45</v>
      </c>
    </row>
    <row r="1471" spans="1:4" x14ac:dyDescent="0.25">
      <c r="B1471" t="s">
        <v>8</v>
      </c>
      <c r="C1471" t="s">
        <v>8</v>
      </c>
      <c r="D1471" t="s">
        <v>8</v>
      </c>
    </row>
    <row r="1472" spans="1:4" x14ac:dyDescent="0.25">
      <c r="A1472" t="s">
        <v>838</v>
      </c>
      <c r="B1472" s="1">
        <v>103806.66</v>
      </c>
      <c r="C1472" s="1">
        <v>21497.05</v>
      </c>
      <c r="D1472" s="1">
        <v>82309.61</v>
      </c>
    </row>
    <row r="1474" spans="1:4" x14ac:dyDescent="0.25">
      <c r="A1474" t="s">
        <v>839</v>
      </c>
    </row>
    <row r="1476" spans="1:4" x14ac:dyDescent="0.25">
      <c r="A1476" t="s">
        <v>840</v>
      </c>
      <c r="B1476" s="1">
        <v>898789.14</v>
      </c>
      <c r="C1476" s="1">
        <v>898789.14</v>
      </c>
    </row>
    <row r="1477" spans="1:4" x14ac:dyDescent="0.25">
      <c r="A1477" t="s">
        <v>841</v>
      </c>
      <c r="B1477" s="1">
        <v>1222693.02</v>
      </c>
      <c r="C1477" s="1">
        <v>1222693.02</v>
      </c>
    </row>
    <row r="1478" spans="1:4" x14ac:dyDescent="0.25">
      <c r="A1478" t="s">
        <v>842</v>
      </c>
      <c r="B1478" s="1">
        <v>457525.24</v>
      </c>
      <c r="C1478" s="1">
        <v>457525.24</v>
      </c>
    </row>
    <row r="1479" spans="1:4" x14ac:dyDescent="0.25">
      <c r="A1479" t="s">
        <v>843</v>
      </c>
      <c r="B1479" s="1">
        <v>3288.59</v>
      </c>
      <c r="C1479" s="1">
        <v>3288.59</v>
      </c>
    </row>
    <row r="1480" spans="1:4" x14ac:dyDescent="0.25">
      <c r="A1480" t="s">
        <v>844</v>
      </c>
      <c r="B1480" s="1">
        <v>489535.93</v>
      </c>
      <c r="C1480" s="1">
        <v>489535.93</v>
      </c>
    </row>
    <row r="1481" spans="1:4" x14ac:dyDescent="0.25">
      <c r="B1481" t="s">
        <v>8</v>
      </c>
      <c r="C1481" t="s">
        <v>8</v>
      </c>
      <c r="D1481" t="s">
        <v>8</v>
      </c>
    </row>
    <row r="1482" spans="1:4" x14ac:dyDescent="0.25">
      <c r="A1482" t="s">
        <v>845</v>
      </c>
      <c r="B1482" s="1">
        <v>3071831.92</v>
      </c>
      <c r="C1482" s="1">
        <v>3071831.92</v>
      </c>
    </row>
    <row r="1484" spans="1:4" x14ac:dyDescent="0.25">
      <c r="A1484" t="s">
        <v>846</v>
      </c>
    </row>
    <row r="1486" spans="1:4" x14ac:dyDescent="0.25">
      <c r="A1486" t="s">
        <v>847</v>
      </c>
      <c r="B1486" s="1">
        <v>75174.97</v>
      </c>
      <c r="C1486" s="1">
        <v>50618.22</v>
      </c>
      <c r="D1486" s="1">
        <v>24556.75</v>
      </c>
    </row>
    <row r="1487" spans="1:4" x14ac:dyDescent="0.25">
      <c r="B1487" t="s">
        <v>8</v>
      </c>
      <c r="C1487" t="s">
        <v>8</v>
      </c>
      <c r="D1487" t="s">
        <v>8</v>
      </c>
    </row>
    <row r="1488" spans="1:4" x14ac:dyDescent="0.25">
      <c r="A1488" t="s">
        <v>848</v>
      </c>
      <c r="B1488" s="1">
        <v>75174.97</v>
      </c>
      <c r="C1488" s="1">
        <v>50618.22</v>
      </c>
      <c r="D1488" s="1">
        <v>24556.75</v>
      </c>
    </row>
    <row r="1490" spans="1:4" x14ac:dyDescent="0.25">
      <c r="B1490" t="s">
        <v>8</v>
      </c>
      <c r="C1490" t="s">
        <v>8</v>
      </c>
      <c r="D1490" t="s">
        <v>8</v>
      </c>
    </row>
    <row r="1491" spans="1:4" x14ac:dyDescent="0.25">
      <c r="A1491" t="s">
        <v>849</v>
      </c>
      <c r="B1491" s="1">
        <v>4221375.72</v>
      </c>
      <c r="C1491" s="1">
        <v>3751763.07</v>
      </c>
      <c r="D1491" s="1">
        <v>469612.65</v>
      </c>
    </row>
    <row r="1493" spans="1:4" x14ac:dyDescent="0.25">
      <c r="A1493" t="s">
        <v>850</v>
      </c>
    </row>
    <row r="1495" spans="1:4" x14ac:dyDescent="0.25">
      <c r="A1495" t="s">
        <v>851</v>
      </c>
    </row>
    <row r="1496" spans="1:4" x14ac:dyDescent="0.25">
      <c r="B1496" t="s">
        <v>8</v>
      </c>
      <c r="C1496" t="s">
        <v>8</v>
      </c>
      <c r="D1496" t="s">
        <v>8</v>
      </c>
    </row>
    <row r="1497" spans="1:4" x14ac:dyDescent="0.25">
      <c r="A1497" t="s">
        <v>852</v>
      </c>
    </row>
    <row r="1499" spans="1:4" x14ac:dyDescent="0.25">
      <c r="A1499" t="s">
        <v>853</v>
      </c>
    </row>
    <row r="1500" spans="1:4" x14ac:dyDescent="0.25">
      <c r="B1500" t="s">
        <v>8</v>
      </c>
      <c r="C1500" t="s">
        <v>8</v>
      </c>
      <c r="D1500" t="s">
        <v>8</v>
      </c>
    </row>
    <row r="1501" spans="1:4" x14ac:dyDescent="0.25">
      <c r="A1501" t="s">
        <v>854</v>
      </c>
    </row>
    <row r="1503" spans="1:4" x14ac:dyDescent="0.25">
      <c r="A1503" t="s">
        <v>855</v>
      </c>
    </row>
    <row r="1504" spans="1:4" x14ac:dyDescent="0.25">
      <c r="B1504" t="s">
        <v>8</v>
      </c>
      <c r="C1504" t="s">
        <v>8</v>
      </c>
      <c r="D1504" t="s">
        <v>8</v>
      </c>
    </row>
    <row r="1505" spans="1:4" x14ac:dyDescent="0.25">
      <c r="A1505" t="s">
        <v>856</v>
      </c>
    </row>
    <row r="1507" spans="1:4" x14ac:dyDescent="0.25">
      <c r="A1507" t="s">
        <v>857</v>
      </c>
    </row>
    <row r="1508" spans="1:4" x14ac:dyDescent="0.25">
      <c r="B1508" t="s">
        <v>8</v>
      </c>
      <c r="C1508" t="s">
        <v>8</v>
      </c>
      <c r="D1508" t="s">
        <v>8</v>
      </c>
    </row>
    <row r="1509" spans="1:4" x14ac:dyDescent="0.25">
      <c r="A1509" t="s">
        <v>858</v>
      </c>
    </row>
    <row r="1511" spans="1:4" x14ac:dyDescent="0.25">
      <c r="A1511" t="s">
        <v>859</v>
      </c>
    </row>
    <row r="1512" spans="1:4" x14ac:dyDescent="0.25">
      <c r="B1512" t="s">
        <v>8</v>
      </c>
      <c r="C1512" t="s">
        <v>8</v>
      </c>
      <c r="D1512" t="s">
        <v>8</v>
      </c>
    </row>
    <row r="1513" spans="1:4" x14ac:dyDescent="0.25">
      <c r="A1513" t="s">
        <v>860</v>
      </c>
    </row>
    <row r="1515" spans="1:4" x14ac:dyDescent="0.25">
      <c r="A1515" t="s">
        <v>861</v>
      </c>
    </row>
    <row r="1516" spans="1:4" x14ac:dyDescent="0.25">
      <c r="B1516" t="s">
        <v>8</v>
      </c>
      <c r="C1516" t="s">
        <v>8</v>
      </c>
      <c r="D1516" t="s">
        <v>8</v>
      </c>
    </row>
    <row r="1517" spans="1:4" x14ac:dyDescent="0.25">
      <c r="A1517" t="s">
        <v>862</v>
      </c>
    </row>
    <row r="1519" spans="1:4" x14ac:dyDescent="0.25">
      <c r="B1519" t="s">
        <v>8</v>
      </c>
      <c r="C1519" t="s">
        <v>8</v>
      </c>
      <c r="D1519" t="s">
        <v>8</v>
      </c>
    </row>
    <row r="1520" spans="1:4" x14ac:dyDescent="0.25">
      <c r="A1520" t="s">
        <v>863</v>
      </c>
    </row>
    <row r="1522" spans="1:4" x14ac:dyDescent="0.25">
      <c r="A1522" t="s">
        <v>864</v>
      </c>
    </row>
    <row r="1523" spans="1:4" x14ac:dyDescent="0.25">
      <c r="B1523" t="s">
        <v>8</v>
      </c>
      <c r="C1523" t="s">
        <v>8</v>
      </c>
      <c r="D1523" t="s">
        <v>8</v>
      </c>
    </row>
    <row r="1524" spans="1:4" x14ac:dyDescent="0.25">
      <c r="A1524" t="s">
        <v>865</v>
      </c>
    </row>
    <row r="1526" spans="1:4" x14ac:dyDescent="0.25">
      <c r="A1526" t="s">
        <v>866</v>
      </c>
    </row>
    <row r="1528" spans="1:4" x14ac:dyDescent="0.25">
      <c r="A1528" t="s">
        <v>867</v>
      </c>
    </row>
    <row r="1529" spans="1:4" x14ac:dyDescent="0.25">
      <c r="B1529" t="s">
        <v>8</v>
      </c>
      <c r="C1529" t="s">
        <v>8</v>
      </c>
      <c r="D1529" t="s">
        <v>8</v>
      </c>
    </row>
    <row r="1530" spans="1:4" x14ac:dyDescent="0.25">
      <c r="A1530" t="s">
        <v>868</v>
      </c>
    </row>
    <row r="1532" spans="1:4" x14ac:dyDescent="0.25">
      <c r="A1532" t="s">
        <v>869</v>
      </c>
    </row>
    <row r="1533" spans="1:4" x14ac:dyDescent="0.25">
      <c r="B1533" t="s">
        <v>8</v>
      </c>
      <c r="C1533" t="s">
        <v>8</v>
      </c>
      <c r="D1533" t="s">
        <v>8</v>
      </c>
    </row>
    <row r="1534" spans="1:4" x14ac:dyDescent="0.25">
      <c r="A1534" t="s">
        <v>870</v>
      </c>
    </row>
    <row r="1536" spans="1:4" x14ac:dyDescent="0.25">
      <c r="A1536" t="s">
        <v>871</v>
      </c>
    </row>
    <row r="1537" spans="1:4" x14ac:dyDescent="0.25">
      <c r="B1537" t="s">
        <v>8</v>
      </c>
      <c r="C1537" t="s">
        <v>8</v>
      </c>
      <c r="D1537" t="s">
        <v>8</v>
      </c>
    </row>
    <row r="1538" spans="1:4" x14ac:dyDescent="0.25">
      <c r="A1538" t="s">
        <v>872</v>
      </c>
    </row>
    <row r="1540" spans="1:4" x14ac:dyDescent="0.25">
      <c r="B1540" t="s">
        <v>8</v>
      </c>
      <c r="C1540" t="s">
        <v>8</v>
      </c>
      <c r="D1540" t="s">
        <v>8</v>
      </c>
    </row>
    <row r="1541" spans="1:4" x14ac:dyDescent="0.25">
      <c r="A1541" t="s">
        <v>873</v>
      </c>
    </row>
    <row r="1543" spans="1:4" x14ac:dyDescent="0.25">
      <c r="A1543" t="s">
        <v>874</v>
      </c>
    </row>
    <row r="1544" spans="1:4" x14ac:dyDescent="0.25">
      <c r="B1544" t="s">
        <v>8</v>
      </c>
      <c r="C1544" t="s">
        <v>8</v>
      </c>
      <c r="D1544" t="s">
        <v>8</v>
      </c>
    </row>
    <row r="1545" spans="1:4" x14ac:dyDescent="0.25">
      <c r="A1545" t="s">
        <v>875</v>
      </c>
    </row>
    <row r="1547" spans="1:4" x14ac:dyDescent="0.25">
      <c r="A1547" t="s">
        <v>876</v>
      </c>
    </row>
    <row r="1548" spans="1:4" x14ac:dyDescent="0.25">
      <c r="B1548" t="s">
        <v>8</v>
      </c>
      <c r="C1548" t="s">
        <v>8</v>
      </c>
      <c r="D1548" t="s">
        <v>8</v>
      </c>
    </row>
    <row r="1549" spans="1:4" x14ac:dyDescent="0.25">
      <c r="A1549" t="s">
        <v>877</v>
      </c>
    </row>
    <row r="1551" spans="1:4" x14ac:dyDescent="0.25">
      <c r="A1551" t="s">
        <v>878</v>
      </c>
    </row>
    <row r="1552" spans="1:4" x14ac:dyDescent="0.25">
      <c r="B1552" t="s">
        <v>8</v>
      </c>
      <c r="C1552" t="s">
        <v>8</v>
      </c>
      <c r="D1552" t="s">
        <v>8</v>
      </c>
    </row>
    <row r="1553" spans="1:4" x14ac:dyDescent="0.25">
      <c r="A1553" t="s">
        <v>879</v>
      </c>
    </row>
    <row r="1555" spans="1:4" x14ac:dyDescent="0.25">
      <c r="A1555" t="s">
        <v>880</v>
      </c>
    </row>
    <row r="1556" spans="1:4" x14ac:dyDescent="0.25">
      <c r="B1556" t="s">
        <v>8</v>
      </c>
      <c r="C1556" t="s">
        <v>8</v>
      </c>
      <c r="D1556" t="s">
        <v>8</v>
      </c>
    </row>
    <row r="1557" spans="1:4" x14ac:dyDescent="0.25">
      <c r="A1557" t="s">
        <v>881</v>
      </c>
    </row>
    <row r="1559" spans="1:4" x14ac:dyDescent="0.25">
      <c r="A1559" t="s">
        <v>882</v>
      </c>
    </row>
    <row r="1560" spans="1:4" x14ac:dyDescent="0.25">
      <c r="B1560" t="s">
        <v>8</v>
      </c>
      <c r="C1560" t="s">
        <v>8</v>
      </c>
      <c r="D1560" t="s">
        <v>8</v>
      </c>
    </row>
    <row r="1561" spans="1:4" x14ac:dyDescent="0.25">
      <c r="A1561" t="s">
        <v>883</v>
      </c>
    </row>
    <row r="1563" spans="1:4" x14ac:dyDescent="0.25">
      <c r="A1563" t="s">
        <v>884</v>
      </c>
    </row>
    <row r="1564" spans="1:4" x14ac:dyDescent="0.25">
      <c r="B1564" t="s">
        <v>8</v>
      </c>
      <c r="C1564" t="s">
        <v>8</v>
      </c>
      <c r="D1564" t="s">
        <v>8</v>
      </c>
    </row>
    <row r="1565" spans="1:4" x14ac:dyDescent="0.25">
      <c r="A1565" t="s">
        <v>885</v>
      </c>
    </row>
    <row r="1566" spans="1:4" x14ac:dyDescent="0.25">
      <c r="B1566" t="s">
        <v>8</v>
      </c>
      <c r="C1566" t="s">
        <v>8</v>
      </c>
      <c r="D1566" t="s">
        <v>8</v>
      </c>
    </row>
    <row r="1567" spans="1:4" x14ac:dyDescent="0.25">
      <c r="A1567" t="s">
        <v>886</v>
      </c>
      <c r="B1567" s="1">
        <v>275592293133.89001</v>
      </c>
      <c r="C1567" s="1">
        <v>274939072789.47998</v>
      </c>
      <c r="D1567" s="1">
        <v>653220344.40999997</v>
      </c>
    </row>
    <row r="1569" spans="1:3" x14ac:dyDescent="0.25">
      <c r="A1569" t="s">
        <v>887</v>
      </c>
    </row>
    <row r="1571" spans="1:3" x14ac:dyDescent="0.25">
      <c r="A1571" t="s">
        <v>888</v>
      </c>
    </row>
    <row r="1573" spans="1:3" x14ac:dyDescent="0.25">
      <c r="A1573" t="s">
        <v>889</v>
      </c>
    </row>
    <row r="1575" spans="1:3" x14ac:dyDescent="0.25">
      <c r="A1575" t="s">
        <v>890</v>
      </c>
      <c r="B1575" s="1">
        <v>2297.4299999999998</v>
      </c>
      <c r="C1575" s="1">
        <v>2297.4299999999998</v>
      </c>
    </row>
    <row r="1576" spans="1:3" x14ac:dyDescent="0.25">
      <c r="A1576" t="s">
        <v>891</v>
      </c>
      <c r="B1576" s="1">
        <v>6826763.79</v>
      </c>
      <c r="C1576" s="1">
        <v>6826763.79</v>
      </c>
    </row>
    <row r="1577" spans="1:3" x14ac:dyDescent="0.25">
      <c r="A1577" t="s">
        <v>892</v>
      </c>
      <c r="B1577">
        <v>203.58</v>
      </c>
      <c r="C1577">
        <v>203.58</v>
      </c>
    </row>
    <row r="1578" spans="1:3" x14ac:dyDescent="0.25">
      <c r="A1578" t="s">
        <v>893</v>
      </c>
      <c r="B1578" s="1">
        <v>4308.62</v>
      </c>
      <c r="C1578" s="1">
        <v>4308.62</v>
      </c>
    </row>
    <row r="1579" spans="1:3" x14ac:dyDescent="0.25">
      <c r="A1579" t="s">
        <v>894</v>
      </c>
      <c r="B1579" s="1">
        <v>47962.21</v>
      </c>
      <c r="C1579" s="1">
        <v>47962.21</v>
      </c>
    </row>
    <row r="1580" spans="1:3" x14ac:dyDescent="0.25">
      <c r="A1580" t="s">
        <v>895</v>
      </c>
      <c r="B1580" s="1">
        <v>841011.14</v>
      </c>
      <c r="C1580" s="1">
        <v>841011.14</v>
      </c>
    </row>
    <row r="1581" spans="1:3" x14ac:dyDescent="0.25">
      <c r="A1581" t="s">
        <v>2372</v>
      </c>
      <c r="B1581" s="1">
        <v>1829259.93</v>
      </c>
      <c r="C1581" s="1">
        <v>1829259.93</v>
      </c>
    </row>
    <row r="1582" spans="1:3" x14ac:dyDescent="0.25">
      <c r="A1582" t="s">
        <v>896</v>
      </c>
      <c r="B1582">
        <v>209.14</v>
      </c>
      <c r="C1582">
        <v>209.14</v>
      </c>
    </row>
    <row r="1583" spans="1:3" x14ac:dyDescent="0.25">
      <c r="A1583" t="s">
        <v>897</v>
      </c>
      <c r="B1583" s="1">
        <v>766250.28</v>
      </c>
      <c r="C1583" s="1">
        <v>766250.28</v>
      </c>
    </row>
    <row r="1584" spans="1:3" x14ac:dyDescent="0.25">
      <c r="A1584" t="s">
        <v>898</v>
      </c>
      <c r="B1584">
        <v>428.89</v>
      </c>
      <c r="C1584">
        <v>428.89</v>
      </c>
    </row>
    <row r="1585" spans="1:4" x14ac:dyDescent="0.25">
      <c r="A1585" t="s">
        <v>899</v>
      </c>
      <c r="B1585" s="1">
        <v>5542645</v>
      </c>
      <c r="C1585" s="1">
        <v>5542645</v>
      </c>
    </row>
    <row r="1586" spans="1:4" x14ac:dyDescent="0.25">
      <c r="A1586" t="s">
        <v>900</v>
      </c>
      <c r="B1586" s="1">
        <v>12464447.449999999</v>
      </c>
      <c r="C1586" s="1">
        <v>12464447.449999999</v>
      </c>
    </row>
    <row r="1587" spans="1:4" x14ac:dyDescent="0.25">
      <c r="A1587" t="s">
        <v>901</v>
      </c>
      <c r="B1587" s="1">
        <v>37830.68</v>
      </c>
      <c r="C1587" s="1">
        <v>37830.68</v>
      </c>
    </row>
    <row r="1588" spans="1:4" x14ac:dyDescent="0.25">
      <c r="A1588" t="s">
        <v>902</v>
      </c>
      <c r="B1588" s="1">
        <v>11616041.42</v>
      </c>
      <c r="C1588" s="1">
        <v>11616041.42</v>
      </c>
    </row>
    <row r="1589" spans="1:4" x14ac:dyDescent="0.25">
      <c r="A1589" t="s">
        <v>903</v>
      </c>
      <c r="B1589" s="1">
        <v>552573.6</v>
      </c>
      <c r="C1589" s="1">
        <v>552573.6</v>
      </c>
    </row>
    <row r="1590" spans="1:4" x14ac:dyDescent="0.25">
      <c r="A1590" t="s">
        <v>904</v>
      </c>
      <c r="B1590" s="1">
        <v>16179334.1</v>
      </c>
      <c r="C1590" s="1">
        <v>16179334.1</v>
      </c>
    </row>
    <row r="1591" spans="1:4" x14ac:dyDescent="0.25">
      <c r="A1591" t="s">
        <v>905</v>
      </c>
      <c r="B1591" s="1">
        <v>145331.47</v>
      </c>
      <c r="C1591" s="1">
        <v>145331.47</v>
      </c>
    </row>
    <row r="1592" spans="1:4" x14ac:dyDescent="0.25">
      <c r="A1592" t="s">
        <v>906</v>
      </c>
      <c r="B1592" s="1">
        <v>424306.6</v>
      </c>
      <c r="C1592" s="1">
        <v>424306.6</v>
      </c>
    </row>
    <row r="1593" spans="1:4" x14ac:dyDescent="0.25">
      <c r="A1593" t="s">
        <v>907</v>
      </c>
      <c r="B1593" s="1">
        <v>663199.65</v>
      </c>
      <c r="C1593" s="1">
        <v>663199.65</v>
      </c>
    </row>
    <row r="1594" spans="1:4" x14ac:dyDescent="0.25">
      <c r="A1594" t="s">
        <v>908</v>
      </c>
      <c r="B1594" s="1">
        <v>6060340.8700000001</v>
      </c>
      <c r="C1594" s="1">
        <v>6060340.8700000001</v>
      </c>
    </row>
    <row r="1595" spans="1:4" x14ac:dyDescent="0.25">
      <c r="A1595" t="s">
        <v>909</v>
      </c>
      <c r="B1595" s="1">
        <v>4879078.38</v>
      </c>
      <c r="C1595" s="1">
        <v>4879078.38</v>
      </c>
    </row>
    <row r="1596" spans="1:4" x14ac:dyDescent="0.25">
      <c r="A1596" t="s">
        <v>2373</v>
      </c>
      <c r="B1596" s="1">
        <v>63418.52</v>
      </c>
      <c r="C1596" s="1">
        <v>63418.52</v>
      </c>
    </row>
    <row r="1597" spans="1:4" x14ac:dyDescent="0.25">
      <c r="B1597" t="s">
        <v>8</v>
      </c>
      <c r="C1597" t="s">
        <v>8</v>
      </c>
      <c r="D1597" t="s">
        <v>8</v>
      </c>
    </row>
    <row r="1598" spans="1:4" x14ac:dyDescent="0.25">
      <c r="A1598" t="s">
        <v>910</v>
      </c>
      <c r="B1598" s="1">
        <v>68947242.75</v>
      </c>
      <c r="C1598" s="1">
        <v>68947242.75</v>
      </c>
    </row>
    <row r="1600" spans="1:4" x14ac:dyDescent="0.25">
      <c r="A1600" t="s">
        <v>911</v>
      </c>
    </row>
    <row r="1601" spans="1:4" x14ac:dyDescent="0.25">
      <c r="B1601" t="s">
        <v>8</v>
      </c>
      <c r="C1601" t="s">
        <v>8</v>
      </c>
      <c r="D1601" t="s">
        <v>8</v>
      </c>
    </row>
    <row r="1602" spans="1:4" x14ac:dyDescent="0.25">
      <c r="A1602" t="s">
        <v>912</v>
      </c>
    </row>
    <row r="1604" spans="1:4" x14ac:dyDescent="0.25">
      <c r="A1604" t="s">
        <v>913</v>
      </c>
    </row>
    <row r="1605" spans="1:4" x14ac:dyDescent="0.25">
      <c r="B1605" t="s">
        <v>8</v>
      </c>
      <c r="C1605" t="s">
        <v>8</v>
      </c>
      <c r="D1605" t="s">
        <v>8</v>
      </c>
    </row>
    <row r="1606" spans="1:4" x14ac:dyDescent="0.25">
      <c r="A1606" t="s">
        <v>914</v>
      </c>
    </row>
    <row r="1608" spans="1:4" x14ac:dyDescent="0.25">
      <c r="A1608" t="s">
        <v>915</v>
      </c>
    </row>
    <row r="1609" spans="1:4" x14ac:dyDescent="0.25">
      <c r="B1609" t="s">
        <v>8</v>
      </c>
      <c r="C1609" t="s">
        <v>8</v>
      </c>
      <c r="D1609" t="s">
        <v>8</v>
      </c>
    </row>
    <row r="1610" spans="1:4" x14ac:dyDescent="0.25">
      <c r="A1610" t="s">
        <v>916</v>
      </c>
    </row>
    <row r="1612" spans="1:4" x14ac:dyDescent="0.25">
      <c r="A1612" t="s">
        <v>917</v>
      </c>
    </row>
    <row r="1614" spans="1:4" x14ac:dyDescent="0.25">
      <c r="A1614" t="s">
        <v>918</v>
      </c>
      <c r="B1614" s="1">
        <v>2000000</v>
      </c>
      <c r="C1614" s="1">
        <v>2000000</v>
      </c>
    </row>
    <row r="1615" spans="1:4" x14ac:dyDescent="0.25">
      <c r="A1615" t="s">
        <v>919</v>
      </c>
      <c r="B1615" s="1">
        <v>1000000</v>
      </c>
      <c r="C1615" s="1">
        <v>1000000</v>
      </c>
    </row>
    <row r="1616" spans="1:4" x14ac:dyDescent="0.25">
      <c r="A1616" t="s">
        <v>920</v>
      </c>
      <c r="B1616" s="1">
        <v>1550000</v>
      </c>
      <c r="C1616" s="1">
        <v>1550000</v>
      </c>
    </row>
    <row r="1617" spans="1:4" x14ac:dyDescent="0.25">
      <c r="A1617" t="s">
        <v>921</v>
      </c>
      <c r="B1617" s="1">
        <v>950000</v>
      </c>
      <c r="C1617" s="1">
        <v>950000</v>
      </c>
    </row>
    <row r="1618" spans="1:4" x14ac:dyDescent="0.25">
      <c r="A1618" t="s">
        <v>922</v>
      </c>
      <c r="B1618" s="1">
        <v>2400000</v>
      </c>
      <c r="C1618" s="1">
        <v>2400000</v>
      </c>
    </row>
    <row r="1619" spans="1:4" x14ac:dyDescent="0.25">
      <c r="B1619" t="s">
        <v>8</v>
      </c>
      <c r="C1619" t="s">
        <v>8</v>
      </c>
      <c r="D1619" t="s">
        <v>8</v>
      </c>
    </row>
    <row r="1620" spans="1:4" x14ac:dyDescent="0.25">
      <c r="A1620" t="s">
        <v>923</v>
      </c>
      <c r="B1620" s="1">
        <v>7900000</v>
      </c>
      <c r="C1620" s="1">
        <v>7900000</v>
      </c>
    </row>
    <row r="1622" spans="1:4" x14ac:dyDescent="0.25">
      <c r="A1622" t="s">
        <v>924</v>
      </c>
    </row>
    <row r="1624" spans="1:4" x14ac:dyDescent="0.25">
      <c r="A1624" t="s">
        <v>925</v>
      </c>
      <c r="B1624" s="1">
        <v>10000000</v>
      </c>
      <c r="C1624" s="1">
        <v>10000000</v>
      </c>
    </row>
    <row r="1625" spans="1:4" x14ac:dyDescent="0.25">
      <c r="A1625" t="s">
        <v>926</v>
      </c>
      <c r="B1625" s="1">
        <v>5000000</v>
      </c>
      <c r="C1625" s="1">
        <v>5000000</v>
      </c>
    </row>
    <row r="1626" spans="1:4" x14ac:dyDescent="0.25">
      <c r="B1626" t="s">
        <v>8</v>
      </c>
      <c r="C1626" t="s">
        <v>8</v>
      </c>
      <c r="D1626" t="s">
        <v>8</v>
      </c>
    </row>
    <row r="1627" spans="1:4" x14ac:dyDescent="0.25">
      <c r="A1627" t="s">
        <v>927</v>
      </c>
      <c r="B1627" s="1">
        <v>15000000</v>
      </c>
      <c r="C1627" s="1">
        <v>15000000</v>
      </c>
    </row>
    <row r="1629" spans="1:4" x14ac:dyDescent="0.25">
      <c r="B1629" t="s">
        <v>8</v>
      </c>
      <c r="C1629" t="s">
        <v>8</v>
      </c>
      <c r="D1629" t="s">
        <v>8</v>
      </c>
    </row>
    <row r="1630" spans="1:4" x14ac:dyDescent="0.25">
      <c r="A1630" t="s">
        <v>928</v>
      </c>
      <c r="B1630" s="1">
        <v>91847242.75</v>
      </c>
      <c r="C1630" s="1">
        <v>91847242.75</v>
      </c>
    </row>
    <row r="1632" spans="1:4" x14ac:dyDescent="0.25">
      <c r="A1632" t="s">
        <v>929</v>
      </c>
    </row>
    <row r="1634" spans="1:4" x14ac:dyDescent="0.25">
      <c r="A1634" t="s">
        <v>930</v>
      </c>
    </row>
    <row r="1636" spans="1:4" x14ac:dyDescent="0.25">
      <c r="A1636" t="s">
        <v>931</v>
      </c>
      <c r="B1636" s="1">
        <v>417578.84</v>
      </c>
      <c r="C1636" s="1">
        <v>417578.84</v>
      </c>
    </row>
    <row r="1637" spans="1:4" x14ac:dyDescent="0.25">
      <c r="A1637" t="s">
        <v>932</v>
      </c>
      <c r="B1637" s="1">
        <v>3533231.5</v>
      </c>
      <c r="C1637" s="1">
        <v>4221627.87</v>
      </c>
      <c r="D1637" s="1">
        <v>-688396.37</v>
      </c>
    </row>
    <row r="1638" spans="1:4" x14ac:dyDescent="0.25">
      <c r="A1638" t="s">
        <v>933</v>
      </c>
      <c r="B1638" s="1">
        <v>421760.7</v>
      </c>
      <c r="C1638" s="1">
        <v>562347.6</v>
      </c>
      <c r="D1638" s="1">
        <v>-140586.9</v>
      </c>
    </row>
    <row r="1639" spans="1:4" x14ac:dyDescent="0.25">
      <c r="B1639" t="s">
        <v>8</v>
      </c>
      <c r="C1639" t="s">
        <v>8</v>
      </c>
      <c r="D1639" t="s">
        <v>8</v>
      </c>
    </row>
    <row r="1640" spans="1:4" x14ac:dyDescent="0.25">
      <c r="A1640" t="s">
        <v>934</v>
      </c>
      <c r="B1640" s="1">
        <v>4372571.04</v>
      </c>
      <c r="C1640" s="1">
        <v>5201554.3099999996</v>
      </c>
      <c r="D1640" s="1">
        <v>-828983.27</v>
      </c>
    </row>
    <row r="1642" spans="1:4" x14ac:dyDescent="0.25">
      <c r="B1642" t="s">
        <v>8</v>
      </c>
      <c r="C1642" t="s">
        <v>8</v>
      </c>
      <c r="D1642" t="s">
        <v>8</v>
      </c>
    </row>
    <row r="1643" spans="1:4" x14ac:dyDescent="0.25">
      <c r="A1643" t="s">
        <v>935</v>
      </c>
      <c r="B1643" s="1">
        <v>4372571.04</v>
      </c>
      <c r="C1643" s="1">
        <v>5201554.3099999996</v>
      </c>
      <c r="D1643" s="1">
        <v>-828983.27</v>
      </c>
    </row>
    <row r="1645" spans="1:4" x14ac:dyDescent="0.25">
      <c r="A1645" t="s">
        <v>936</v>
      </c>
    </row>
    <row r="1647" spans="1:4" x14ac:dyDescent="0.25">
      <c r="A1647" t="s">
        <v>937</v>
      </c>
    </row>
    <row r="1649" spans="1:4" x14ac:dyDescent="0.25">
      <c r="A1649" t="s">
        <v>938</v>
      </c>
      <c r="B1649" s="1">
        <v>127841.34</v>
      </c>
      <c r="C1649" s="1">
        <v>127841.34</v>
      </c>
    </row>
    <row r="1650" spans="1:4" x14ac:dyDescent="0.25">
      <c r="A1650" t="s">
        <v>939</v>
      </c>
      <c r="B1650" s="1">
        <v>486445.86</v>
      </c>
      <c r="C1650" s="1">
        <v>465304.63</v>
      </c>
      <c r="D1650" s="1">
        <v>21141.23</v>
      </c>
    </row>
    <row r="1651" spans="1:4" x14ac:dyDescent="0.25">
      <c r="A1651" t="s">
        <v>940</v>
      </c>
      <c r="B1651" s="1">
        <v>271461.07</v>
      </c>
      <c r="C1651" s="1">
        <v>225599.35999999999</v>
      </c>
      <c r="D1651" s="1">
        <v>45861.71</v>
      </c>
    </row>
    <row r="1652" spans="1:4" x14ac:dyDescent="0.25">
      <c r="B1652" t="s">
        <v>8</v>
      </c>
      <c r="C1652" t="s">
        <v>8</v>
      </c>
      <c r="D1652" t="s">
        <v>8</v>
      </c>
    </row>
    <row r="1653" spans="1:4" x14ac:dyDescent="0.25">
      <c r="A1653" t="s">
        <v>941</v>
      </c>
      <c r="B1653" s="1">
        <v>885748.27</v>
      </c>
      <c r="C1653" s="1">
        <v>818745.33</v>
      </c>
      <c r="D1653" s="1">
        <v>67002.94</v>
      </c>
    </row>
    <row r="1655" spans="1:4" x14ac:dyDescent="0.25">
      <c r="B1655" t="s">
        <v>8</v>
      </c>
      <c r="C1655" t="s">
        <v>8</v>
      </c>
      <c r="D1655" t="s">
        <v>8</v>
      </c>
    </row>
    <row r="1656" spans="1:4" x14ac:dyDescent="0.25">
      <c r="A1656" t="s">
        <v>942</v>
      </c>
      <c r="B1656" s="1">
        <v>885748.27</v>
      </c>
      <c r="C1656" s="1">
        <v>818745.33</v>
      </c>
      <c r="D1656" s="1">
        <v>67002.94</v>
      </c>
    </row>
    <row r="1658" spans="1:4" x14ac:dyDescent="0.25">
      <c r="A1658" t="s">
        <v>943</v>
      </c>
    </row>
    <row r="1660" spans="1:4" x14ac:dyDescent="0.25">
      <c r="A1660" t="s">
        <v>944</v>
      </c>
    </row>
    <row r="1662" spans="1:4" x14ac:dyDescent="0.25">
      <c r="A1662" t="s">
        <v>945</v>
      </c>
      <c r="B1662" s="1">
        <v>1302755.76</v>
      </c>
      <c r="C1662" s="1">
        <v>1302755.76</v>
      </c>
    </row>
    <row r="1663" spans="1:4" x14ac:dyDescent="0.25">
      <c r="A1663" t="s">
        <v>946</v>
      </c>
      <c r="B1663" s="1">
        <v>93687.19</v>
      </c>
      <c r="C1663" s="1">
        <v>93687.19</v>
      </c>
    </row>
    <row r="1664" spans="1:4" x14ac:dyDescent="0.25">
      <c r="A1664" t="s">
        <v>947</v>
      </c>
      <c r="B1664" s="1">
        <v>3319894.02</v>
      </c>
      <c r="C1664" s="1">
        <v>3319894.02</v>
      </c>
    </row>
    <row r="1665" spans="1:4" x14ac:dyDescent="0.25">
      <c r="A1665" t="s">
        <v>948</v>
      </c>
      <c r="B1665" s="1">
        <v>14426318.880000001</v>
      </c>
      <c r="C1665" s="1">
        <v>14426318.880000001</v>
      </c>
    </row>
    <row r="1666" spans="1:4" x14ac:dyDescent="0.25">
      <c r="A1666" t="s">
        <v>949</v>
      </c>
      <c r="B1666" s="1">
        <v>1554392.59</v>
      </c>
      <c r="C1666" s="1">
        <v>1554392.59</v>
      </c>
    </row>
    <row r="1667" spans="1:4" x14ac:dyDescent="0.25">
      <c r="A1667" t="s">
        <v>950</v>
      </c>
      <c r="B1667" s="1">
        <v>378519.81</v>
      </c>
      <c r="C1667" s="1">
        <v>378519.81</v>
      </c>
    </row>
    <row r="1668" spans="1:4" x14ac:dyDescent="0.25">
      <c r="A1668" t="s">
        <v>951</v>
      </c>
      <c r="B1668" s="1">
        <v>8930658.1600000001</v>
      </c>
      <c r="C1668" s="1">
        <v>8930658.1600000001</v>
      </c>
    </row>
    <row r="1669" spans="1:4" x14ac:dyDescent="0.25">
      <c r="A1669" t="s">
        <v>952</v>
      </c>
      <c r="B1669" s="1">
        <v>6460054.7999999998</v>
      </c>
      <c r="C1669" s="1">
        <v>6460054.7999999998</v>
      </c>
    </row>
    <row r="1670" spans="1:4" x14ac:dyDescent="0.25">
      <c r="B1670" t="s">
        <v>8</v>
      </c>
      <c r="C1670" t="s">
        <v>8</v>
      </c>
      <c r="D1670" t="s">
        <v>8</v>
      </c>
    </row>
    <row r="1671" spans="1:4" x14ac:dyDescent="0.25">
      <c r="A1671" t="s">
        <v>953</v>
      </c>
      <c r="B1671" s="1">
        <v>36466281.210000001</v>
      </c>
      <c r="C1671" s="1">
        <v>36466281.210000001</v>
      </c>
    </row>
    <row r="1673" spans="1:4" x14ac:dyDescent="0.25">
      <c r="B1673" t="s">
        <v>8</v>
      </c>
      <c r="C1673" t="s">
        <v>8</v>
      </c>
      <c r="D1673" t="s">
        <v>8</v>
      </c>
    </row>
    <row r="1674" spans="1:4" x14ac:dyDescent="0.25">
      <c r="A1674" t="s">
        <v>954</v>
      </c>
      <c r="B1674" s="1">
        <v>36466281.210000001</v>
      </c>
      <c r="C1674" s="1">
        <v>36466281.210000001</v>
      </c>
    </row>
    <row r="1676" spans="1:4" x14ac:dyDescent="0.25">
      <c r="A1676" t="s">
        <v>955</v>
      </c>
    </row>
    <row r="1677" spans="1:4" x14ac:dyDescent="0.25">
      <c r="B1677" t="s">
        <v>8</v>
      </c>
      <c r="C1677" t="s">
        <v>8</v>
      </c>
      <c r="D1677" t="s">
        <v>8</v>
      </c>
    </row>
    <row r="1678" spans="1:4" x14ac:dyDescent="0.25">
      <c r="A1678" t="s">
        <v>956</v>
      </c>
    </row>
    <row r="1680" spans="1:4" x14ac:dyDescent="0.25">
      <c r="A1680" t="s">
        <v>957</v>
      </c>
    </row>
    <row r="1681" spans="1:4" x14ac:dyDescent="0.25">
      <c r="B1681" t="s">
        <v>8</v>
      </c>
      <c r="C1681" t="s">
        <v>8</v>
      </c>
      <c r="D1681" t="s">
        <v>8</v>
      </c>
    </row>
    <row r="1682" spans="1:4" x14ac:dyDescent="0.25">
      <c r="A1682" t="s">
        <v>958</v>
      </c>
    </row>
    <row r="1684" spans="1:4" x14ac:dyDescent="0.25">
      <c r="A1684" t="s">
        <v>959</v>
      </c>
    </row>
    <row r="1685" spans="1:4" x14ac:dyDescent="0.25">
      <c r="B1685" t="s">
        <v>8</v>
      </c>
      <c r="C1685" t="s">
        <v>8</v>
      </c>
      <c r="D1685" t="s">
        <v>8</v>
      </c>
    </row>
    <row r="1686" spans="1:4" x14ac:dyDescent="0.25">
      <c r="A1686" t="s">
        <v>960</v>
      </c>
    </row>
    <row r="1688" spans="1:4" x14ac:dyDescent="0.25">
      <c r="A1688" t="s">
        <v>961</v>
      </c>
    </row>
    <row r="1689" spans="1:4" x14ac:dyDescent="0.25">
      <c r="B1689" t="s">
        <v>8</v>
      </c>
      <c r="C1689" t="s">
        <v>8</v>
      </c>
      <c r="D1689" t="s">
        <v>8</v>
      </c>
    </row>
    <row r="1690" spans="1:4" x14ac:dyDescent="0.25">
      <c r="A1690" t="s">
        <v>962</v>
      </c>
    </row>
    <row r="1692" spans="1:4" x14ac:dyDescent="0.25">
      <c r="A1692" t="s">
        <v>963</v>
      </c>
    </row>
    <row r="1694" spans="1:4" x14ac:dyDescent="0.25">
      <c r="A1694" t="s">
        <v>964</v>
      </c>
    </row>
    <row r="1696" spans="1:4" x14ac:dyDescent="0.25">
      <c r="A1696" t="s">
        <v>965</v>
      </c>
      <c r="B1696" s="1">
        <v>494486.12</v>
      </c>
      <c r="C1696" s="1">
        <v>849025.12</v>
      </c>
      <c r="D1696" s="1">
        <v>-354539</v>
      </c>
    </row>
    <row r="1697" spans="1:4" x14ac:dyDescent="0.25">
      <c r="A1697" t="s">
        <v>966</v>
      </c>
      <c r="B1697" s="1">
        <v>7200</v>
      </c>
      <c r="C1697" s="1">
        <v>7200</v>
      </c>
    </row>
    <row r="1698" spans="1:4" x14ac:dyDescent="0.25">
      <c r="A1698" t="s">
        <v>967</v>
      </c>
      <c r="B1698" s="1">
        <v>2201283.39</v>
      </c>
      <c r="C1698" s="1">
        <v>6506156.5</v>
      </c>
      <c r="D1698" s="1">
        <v>-4304873.1100000003</v>
      </c>
    </row>
    <row r="1699" spans="1:4" x14ac:dyDescent="0.25">
      <c r="A1699" t="s">
        <v>968</v>
      </c>
      <c r="B1699" s="1">
        <v>511414.54</v>
      </c>
      <c r="C1699" s="1">
        <v>557991.55000000005</v>
      </c>
      <c r="D1699" s="1">
        <v>-46577.01</v>
      </c>
    </row>
    <row r="1700" spans="1:4" x14ac:dyDescent="0.25">
      <c r="A1700" t="s">
        <v>969</v>
      </c>
      <c r="B1700" s="1">
        <v>1644907.22</v>
      </c>
      <c r="C1700" s="1">
        <v>2715089.94</v>
      </c>
      <c r="D1700" s="1">
        <v>-1070182.72</v>
      </c>
    </row>
    <row r="1701" spans="1:4" x14ac:dyDescent="0.25">
      <c r="A1701" t="s">
        <v>2374</v>
      </c>
      <c r="B1701" s="1">
        <v>1500</v>
      </c>
      <c r="C1701" s="1">
        <v>1500</v>
      </c>
    </row>
    <row r="1702" spans="1:4" x14ac:dyDescent="0.25">
      <c r="A1702" t="s">
        <v>970</v>
      </c>
      <c r="B1702" s="1">
        <v>2425237.67</v>
      </c>
      <c r="C1702" s="1">
        <v>2528940.0699999998</v>
      </c>
      <c r="D1702" s="1">
        <v>-103702.39999999999</v>
      </c>
    </row>
    <row r="1703" spans="1:4" x14ac:dyDescent="0.25">
      <c r="A1703" t="s">
        <v>971</v>
      </c>
      <c r="B1703">
        <v>590</v>
      </c>
      <c r="C1703">
        <v>590</v>
      </c>
    </row>
    <row r="1704" spans="1:4" x14ac:dyDescent="0.25">
      <c r="A1704" t="s">
        <v>972</v>
      </c>
      <c r="B1704" s="1">
        <v>2197043.5099999998</v>
      </c>
      <c r="C1704" s="1">
        <v>2690523.77</v>
      </c>
      <c r="D1704" s="1">
        <v>-493480.26</v>
      </c>
    </row>
    <row r="1705" spans="1:4" x14ac:dyDescent="0.25">
      <c r="B1705" t="s">
        <v>8</v>
      </c>
      <c r="C1705" t="s">
        <v>8</v>
      </c>
      <c r="D1705" t="s">
        <v>8</v>
      </c>
    </row>
    <row r="1706" spans="1:4" x14ac:dyDescent="0.25">
      <c r="A1706" t="s">
        <v>973</v>
      </c>
      <c r="B1706" s="1">
        <v>9483662.4499999993</v>
      </c>
      <c r="C1706" s="1">
        <v>15857016.949999999</v>
      </c>
      <c r="D1706" s="1">
        <v>-6373354.5</v>
      </c>
    </row>
    <row r="1708" spans="1:4" x14ac:dyDescent="0.25">
      <c r="B1708" t="s">
        <v>8</v>
      </c>
      <c r="C1708" t="s">
        <v>8</v>
      </c>
      <c r="D1708" t="s">
        <v>8</v>
      </c>
    </row>
    <row r="1709" spans="1:4" x14ac:dyDescent="0.25">
      <c r="A1709" t="s">
        <v>974</v>
      </c>
      <c r="B1709" s="1">
        <v>9483662.4499999993</v>
      </c>
      <c r="C1709" s="1">
        <v>15857016.949999999</v>
      </c>
      <c r="D1709" s="1">
        <v>-6373354.5</v>
      </c>
    </row>
    <row r="1711" spans="1:4" x14ac:dyDescent="0.25">
      <c r="A1711" t="s">
        <v>975</v>
      </c>
    </row>
    <row r="1713" spans="1:4" x14ac:dyDescent="0.25">
      <c r="A1713" t="s">
        <v>976</v>
      </c>
    </row>
    <row r="1715" spans="1:4" x14ac:dyDescent="0.25">
      <c r="A1715" t="s">
        <v>977</v>
      </c>
      <c r="B1715" s="1">
        <v>1195310548.26</v>
      </c>
      <c r="C1715" s="1">
        <v>1480124291.1400001</v>
      </c>
      <c r="D1715" s="1">
        <v>-284813742.88</v>
      </c>
    </row>
    <row r="1716" spans="1:4" x14ac:dyDescent="0.25">
      <c r="B1716" t="s">
        <v>8</v>
      </c>
      <c r="C1716" t="s">
        <v>8</v>
      </c>
      <c r="D1716" t="s">
        <v>8</v>
      </c>
    </row>
    <row r="1717" spans="1:4" x14ac:dyDescent="0.25">
      <c r="A1717" t="s">
        <v>978</v>
      </c>
      <c r="B1717" s="1">
        <v>1195310548.26</v>
      </c>
      <c r="C1717" s="1">
        <v>1480124291.1400001</v>
      </c>
      <c r="D1717" s="1">
        <v>-284813742.88</v>
      </c>
    </row>
    <row r="1719" spans="1:4" x14ac:dyDescent="0.25">
      <c r="A1719" t="s">
        <v>979</v>
      </c>
    </row>
    <row r="1721" spans="1:4" x14ac:dyDescent="0.25">
      <c r="A1721" t="s">
        <v>980</v>
      </c>
    </row>
    <row r="1722" spans="1:4" x14ac:dyDescent="0.25">
      <c r="B1722" t="s">
        <v>8</v>
      </c>
      <c r="C1722" t="s">
        <v>8</v>
      </c>
      <c r="D1722" t="s">
        <v>8</v>
      </c>
    </row>
    <row r="1723" spans="1:4" x14ac:dyDescent="0.25">
      <c r="A1723" t="s">
        <v>981</v>
      </c>
    </row>
    <row r="1725" spans="1:4" x14ac:dyDescent="0.25">
      <c r="A1725" t="s">
        <v>982</v>
      </c>
    </row>
    <row r="1726" spans="1:4" x14ac:dyDescent="0.25">
      <c r="B1726" t="s">
        <v>8</v>
      </c>
      <c r="C1726" t="s">
        <v>8</v>
      </c>
      <c r="D1726" t="s">
        <v>8</v>
      </c>
    </row>
    <row r="1727" spans="1:4" x14ac:dyDescent="0.25">
      <c r="A1727" t="s">
        <v>983</v>
      </c>
    </row>
    <row r="1729" spans="1:4" x14ac:dyDescent="0.25">
      <c r="B1729" t="s">
        <v>8</v>
      </c>
      <c r="C1729" t="s">
        <v>8</v>
      </c>
      <c r="D1729" t="s">
        <v>8</v>
      </c>
    </row>
    <row r="1730" spans="1:4" x14ac:dyDescent="0.25">
      <c r="A1730" t="s">
        <v>984</v>
      </c>
    </row>
    <row r="1732" spans="1:4" x14ac:dyDescent="0.25">
      <c r="A1732" t="s">
        <v>985</v>
      </c>
    </row>
    <row r="1734" spans="1:4" x14ac:dyDescent="0.25">
      <c r="A1734" t="s">
        <v>986</v>
      </c>
    </row>
    <row r="1735" spans="1:4" x14ac:dyDescent="0.25">
      <c r="B1735" t="s">
        <v>8</v>
      </c>
      <c r="C1735" t="s">
        <v>8</v>
      </c>
      <c r="D1735" t="s">
        <v>8</v>
      </c>
    </row>
    <row r="1736" spans="1:4" x14ac:dyDescent="0.25">
      <c r="A1736" t="s">
        <v>987</v>
      </c>
    </row>
    <row r="1738" spans="1:4" x14ac:dyDescent="0.25">
      <c r="B1738" t="s">
        <v>8</v>
      </c>
      <c r="C1738" t="s">
        <v>8</v>
      </c>
      <c r="D1738" t="s">
        <v>8</v>
      </c>
    </row>
    <row r="1739" spans="1:4" x14ac:dyDescent="0.25">
      <c r="A1739" t="s">
        <v>988</v>
      </c>
    </row>
    <row r="1741" spans="1:4" x14ac:dyDescent="0.25">
      <c r="A1741" t="s">
        <v>989</v>
      </c>
    </row>
    <row r="1743" spans="1:4" x14ac:dyDescent="0.25">
      <c r="A1743" t="s">
        <v>990</v>
      </c>
    </row>
    <row r="1744" spans="1:4" x14ac:dyDescent="0.25">
      <c r="B1744" t="s">
        <v>8</v>
      </c>
      <c r="C1744" t="s">
        <v>8</v>
      </c>
      <c r="D1744" t="s">
        <v>8</v>
      </c>
    </row>
    <row r="1745" spans="1:4" x14ac:dyDescent="0.25">
      <c r="A1745" t="s">
        <v>991</v>
      </c>
    </row>
    <row r="1747" spans="1:4" x14ac:dyDescent="0.25">
      <c r="B1747" t="s">
        <v>8</v>
      </c>
      <c r="C1747" t="s">
        <v>8</v>
      </c>
      <c r="D1747" t="s">
        <v>8</v>
      </c>
    </row>
    <row r="1748" spans="1:4" x14ac:dyDescent="0.25">
      <c r="A1748" t="s">
        <v>992</v>
      </c>
    </row>
    <row r="1750" spans="1:4" x14ac:dyDescent="0.25">
      <c r="B1750" t="s">
        <v>8</v>
      </c>
      <c r="C1750" t="s">
        <v>8</v>
      </c>
      <c r="D1750" t="s">
        <v>8</v>
      </c>
    </row>
    <row r="1751" spans="1:4" x14ac:dyDescent="0.25">
      <c r="A1751" t="s">
        <v>993</v>
      </c>
      <c r="B1751" s="1">
        <v>1195310548.26</v>
      </c>
      <c r="C1751" s="1">
        <v>1480124291.1400001</v>
      </c>
      <c r="D1751" s="1">
        <v>-284813742.88</v>
      </c>
    </row>
    <row r="1753" spans="1:4" x14ac:dyDescent="0.25">
      <c r="A1753" t="s">
        <v>994</v>
      </c>
    </row>
    <row r="1755" spans="1:4" x14ac:dyDescent="0.25">
      <c r="A1755" t="s">
        <v>995</v>
      </c>
    </row>
    <row r="1757" spans="1:4" x14ac:dyDescent="0.25">
      <c r="A1757" t="s">
        <v>996</v>
      </c>
      <c r="B1757" s="1">
        <v>26831371</v>
      </c>
      <c r="C1757" s="1">
        <v>55231371</v>
      </c>
      <c r="D1757" s="1">
        <v>-28400000</v>
      </c>
    </row>
    <row r="1758" spans="1:4" x14ac:dyDescent="0.25">
      <c r="B1758" t="s">
        <v>8</v>
      </c>
      <c r="C1758" t="s">
        <v>8</v>
      </c>
      <c r="D1758" t="s">
        <v>8</v>
      </c>
    </row>
    <row r="1759" spans="1:4" x14ac:dyDescent="0.25">
      <c r="A1759" t="s">
        <v>997</v>
      </c>
      <c r="B1759" s="1">
        <v>26831371</v>
      </c>
      <c r="C1759" s="1">
        <v>55231371</v>
      </c>
      <c r="D1759" s="1">
        <v>-28400000</v>
      </c>
    </row>
    <row r="1761" spans="1:4" x14ac:dyDescent="0.25">
      <c r="A1761" t="s">
        <v>998</v>
      </c>
    </row>
    <row r="1762" spans="1:4" x14ac:dyDescent="0.25">
      <c r="B1762" t="s">
        <v>8</v>
      </c>
      <c r="C1762" t="s">
        <v>8</v>
      </c>
      <c r="D1762" t="s">
        <v>8</v>
      </c>
    </row>
    <row r="1763" spans="1:4" x14ac:dyDescent="0.25">
      <c r="A1763" t="s">
        <v>999</v>
      </c>
    </row>
    <row r="1765" spans="1:4" x14ac:dyDescent="0.25">
      <c r="A1765" t="s">
        <v>1000</v>
      </c>
    </row>
    <row r="1766" spans="1:4" x14ac:dyDescent="0.25">
      <c r="B1766" t="s">
        <v>8</v>
      </c>
      <c r="C1766" t="s">
        <v>8</v>
      </c>
      <c r="D1766" t="s">
        <v>8</v>
      </c>
    </row>
    <row r="1767" spans="1:4" x14ac:dyDescent="0.25">
      <c r="A1767" t="s">
        <v>1001</v>
      </c>
    </row>
    <row r="1769" spans="1:4" x14ac:dyDescent="0.25">
      <c r="A1769" t="s">
        <v>1002</v>
      </c>
    </row>
    <row r="1770" spans="1:4" x14ac:dyDescent="0.25">
      <c r="B1770" t="s">
        <v>8</v>
      </c>
      <c r="C1770" t="s">
        <v>8</v>
      </c>
      <c r="D1770" t="s">
        <v>8</v>
      </c>
    </row>
    <row r="1771" spans="1:4" x14ac:dyDescent="0.25">
      <c r="A1771" t="s">
        <v>1003</v>
      </c>
    </row>
    <row r="1773" spans="1:4" x14ac:dyDescent="0.25">
      <c r="A1773" t="s">
        <v>1004</v>
      </c>
    </row>
    <row r="1774" spans="1:4" x14ac:dyDescent="0.25">
      <c r="B1774" t="s">
        <v>8</v>
      </c>
      <c r="C1774" t="s">
        <v>8</v>
      </c>
      <c r="D1774" t="s">
        <v>8</v>
      </c>
    </row>
    <row r="1775" spans="1:4" x14ac:dyDescent="0.25">
      <c r="A1775" t="s">
        <v>1005</v>
      </c>
    </row>
    <row r="1777" spans="1:4" x14ac:dyDescent="0.25">
      <c r="A1777" t="s">
        <v>1006</v>
      </c>
    </row>
    <row r="1778" spans="1:4" x14ac:dyDescent="0.25">
      <c r="B1778" t="s">
        <v>8</v>
      </c>
      <c r="C1778" t="s">
        <v>8</v>
      </c>
      <c r="D1778" t="s">
        <v>8</v>
      </c>
    </row>
    <row r="1779" spans="1:4" x14ac:dyDescent="0.25">
      <c r="A1779" t="s">
        <v>1007</v>
      </c>
    </row>
    <row r="1781" spans="1:4" x14ac:dyDescent="0.25">
      <c r="B1781" t="s">
        <v>8</v>
      </c>
      <c r="C1781" t="s">
        <v>8</v>
      </c>
      <c r="D1781" t="s">
        <v>8</v>
      </c>
    </row>
    <row r="1782" spans="1:4" x14ac:dyDescent="0.25">
      <c r="A1782" t="s">
        <v>1008</v>
      </c>
      <c r="B1782" s="1">
        <v>26831371</v>
      </c>
      <c r="C1782" s="1">
        <v>55231371</v>
      </c>
      <c r="D1782" s="1">
        <v>-28400000</v>
      </c>
    </row>
    <row r="1784" spans="1:4" x14ac:dyDescent="0.25">
      <c r="A1784" t="s">
        <v>1009</v>
      </c>
    </row>
    <row r="1786" spans="1:4" x14ac:dyDescent="0.25">
      <c r="A1786" t="s">
        <v>1010</v>
      </c>
    </row>
    <row r="1788" spans="1:4" x14ac:dyDescent="0.25">
      <c r="A1788" t="s">
        <v>1011</v>
      </c>
      <c r="B1788" s="1">
        <v>8694187.1300000008</v>
      </c>
      <c r="C1788" s="1">
        <v>5798231.3099999996</v>
      </c>
      <c r="D1788" s="1">
        <v>2895955.82</v>
      </c>
    </row>
    <row r="1789" spans="1:4" x14ac:dyDescent="0.25">
      <c r="B1789" t="s">
        <v>8</v>
      </c>
      <c r="C1789" t="s">
        <v>8</v>
      </c>
      <c r="D1789" t="s">
        <v>8</v>
      </c>
    </row>
    <row r="1790" spans="1:4" x14ac:dyDescent="0.25">
      <c r="A1790" t="s">
        <v>1012</v>
      </c>
      <c r="B1790" s="1">
        <v>8694187.1300000008</v>
      </c>
      <c r="C1790" s="1">
        <v>5798231.3099999996</v>
      </c>
      <c r="D1790" s="1">
        <v>2895955.82</v>
      </c>
    </row>
    <row r="1792" spans="1:4" x14ac:dyDescent="0.25">
      <c r="B1792" t="s">
        <v>8</v>
      </c>
      <c r="C1792" t="s">
        <v>8</v>
      </c>
      <c r="D1792" t="s">
        <v>8</v>
      </c>
    </row>
    <row r="1793" spans="1:4" x14ac:dyDescent="0.25">
      <c r="A1793" t="s">
        <v>1013</v>
      </c>
      <c r="B1793" s="1">
        <v>8694187.1300000008</v>
      </c>
      <c r="C1793" s="1">
        <v>5798231.3099999996</v>
      </c>
      <c r="D1793" s="1">
        <v>2895955.82</v>
      </c>
    </row>
    <row r="1795" spans="1:4" x14ac:dyDescent="0.25">
      <c r="A1795" t="s">
        <v>1014</v>
      </c>
    </row>
    <row r="1797" spans="1:4" x14ac:dyDescent="0.25">
      <c r="A1797" t="s">
        <v>1015</v>
      </c>
    </row>
    <row r="1798" spans="1:4" x14ac:dyDescent="0.25">
      <c r="B1798" t="s">
        <v>8</v>
      </c>
      <c r="C1798" t="s">
        <v>8</v>
      </c>
      <c r="D1798" t="s">
        <v>8</v>
      </c>
    </row>
    <row r="1799" spans="1:4" x14ac:dyDescent="0.25">
      <c r="A1799" t="s">
        <v>1016</v>
      </c>
    </row>
    <row r="1801" spans="1:4" x14ac:dyDescent="0.25">
      <c r="A1801" t="s">
        <v>1017</v>
      </c>
    </row>
    <row r="1802" spans="1:4" x14ac:dyDescent="0.25">
      <c r="B1802" t="s">
        <v>8</v>
      </c>
      <c r="C1802" t="s">
        <v>8</v>
      </c>
      <c r="D1802" t="s">
        <v>8</v>
      </c>
    </row>
    <row r="1803" spans="1:4" x14ac:dyDescent="0.25">
      <c r="A1803" t="s">
        <v>1018</v>
      </c>
    </row>
    <row r="1805" spans="1:4" x14ac:dyDescent="0.25">
      <c r="B1805" t="s">
        <v>8</v>
      </c>
      <c r="C1805" t="s">
        <v>8</v>
      </c>
      <c r="D1805" t="s">
        <v>8</v>
      </c>
    </row>
    <row r="1806" spans="1:4" x14ac:dyDescent="0.25">
      <c r="A1806" t="s">
        <v>1019</v>
      </c>
    </row>
    <row r="1808" spans="1:4" x14ac:dyDescent="0.25">
      <c r="A1808" t="s">
        <v>1020</v>
      </c>
    </row>
    <row r="1810" spans="1:4" x14ac:dyDescent="0.25">
      <c r="A1810" t="s">
        <v>1021</v>
      </c>
    </row>
    <row r="1812" spans="1:4" x14ac:dyDescent="0.25">
      <c r="A1812" t="s">
        <v>1022</v>
      </c>
      <c r="B1812" s="1">
        <v>38561532.399999999</v>
      </c>
      <c r="C1812" s="1">
        <v>39818848.450000003</v>
      </c>
      <c r="D1812" s="1">
        <v>-1257316.05</v>
      </c>
    </row>
    <row r="1813" spans="1:4" x14ac:dyDescent="0.25">
      <c r="B1813" t="s">
        <v>8</v>
      </c>
      <c r="C1813" t="s">
        <v>8</v>
      </c>
      <c r="D1813" t="s">
        <v>8</v>
      </c>
    </row>
    <row r="1814" spans="1:4" x14ac:dyDescent="0.25">
      <c r="A1814" t="s">
        <v>1023</v>
      </c>
      <c r="B1814" s="1">
        <v>38561532.399999999</v>
      </c>
      <c r="C1814" s="1">
        <v>39818848.450000003</v>
      </c>
      <c r="D1814" s="1">
        <v>-1257316.05</v>
      </c>
    </row>
    <row r="1816" spans="1:4" x14ac:dyDescent="0.25">
      <c r="A1816" t="s">
        <v>1024</v>
      </c>
    </row>
    <row r="1817" spans="1:4" x14ac:dyDescent="0.25">
      <c r="B1817" t="s">
        <v>8</v>
      </c>
      <c r="C1817" t="s">
        <v>8</v>
      </c>
      <c r="D1817" t="s">
        <v>8</v>
      </c>
    </row>
    <row r="1818" spans="1:4" x14ac:dyDescent="0.25">
      <c r="A1818" t="s">
        <v>1025</v>
      </c>
    </row>
    <row r="1820" spans="1:4" x14ac:dyDescent="0.25">
      <c r="A1820" t="s">
        <v>1026</v>
      </c>
    </row>
    <row r="1821" spans="1:4" x14ac:dyDescent="0.25">
      <c r="B1821" t="s">
        <v>8</v>
      </c>
      <c r="C1821" t="s">
        <v>8</v>
      </c>
      <c r="D1821" t="s">
        <v>8</v>
      </c>
    </row>
    <row r="1822" spans="1:4" x14ac:dyDescent="0.25">
      <c r="A1822" t="s">
        <v>1027</v>
      </c>
    </row>
    <row r="1824" spans="1:4" x14ac:dyDescent="0.25">
      <c r="A1824" t="s">
        <v>1028</v>
      </c>
    </row>
    <row r="1825" spans="1:4" x14ac:dyDescent="0.25">
      <c r="B1825" t="s">
        <v>8</v>
      </c>
      <c r="C1825" t="s">
        <v>8</v>
      </c>
      <c r="D1825" t="s">
        <v>8</v>
      </c>
    </row>
    <row r="1826" spans="1:4" x14ac:dyDescent="0.25">
      <c r="A1826" t="s">
        <v>1029</v>
      </c>
    </row>
    <row r="1828" spans="1:4" x14ac:dyDescent="0.25">
      <c r="B1828" t="s">
        <v>8</v>
      </c>
      <c r="C1828" t="s">
        <v>8</v>
      </c>
      <c r="D1828" t="s">
        <v>8</v>
      </c>
    </row>
    <row r="1829" spans="1:4" x14ac:dyDescent="0.25">
      <c r="A1829" t="s">
        <v>1030</v>
      </c>
      <c r="B1829" s="1">
        <v>38561532.399999999</v>
      </c>
      <c r="C1829" s="1">
        <v>39818848.450000003</v>
      </c>
      <c r="D1829" s="1">
        <v>-1257316.05</v>
      </c>
    </row>
    <row r="1831" spans="1:4" x14ac:dyDescent="0.25">
      <c r="A1831" t="s">
        <v>1031</v>
      </c>
    </row>
    <row r="1833" spans="1:4" x14ac:dyDescent="0.25">
      <c r="A1833" t="s">
        <v>1032</v>
      </c>
    </row>
    <row r="1834" spans="1:4" x14ac:dyDescent="0.25">
      <c r="B1834" t="s">
        <v>8</v>
      </c>
      <c r="C1834" t="s">
        <v>8</v>
      </c>
      <c r="D1834" t="s">
        <v>8</v>
      </c>
    </row>
    <row r="1835" spans="1:4" x14ac:dyDescent="0.25">
      <c r="A1835" t="s">
        <v>1033</v>
      </c>
    </row>
    <row r="1837" spans="1:4" x14ac:dyDescent="0.25">
      <c r="A1837" t="s">
        <v>1034</v>
      </c>
    </row>
    <row r="1838" spans="1:4" x14ac:dyDescent="0.25">
      <c r="B1838" t="s">
        <v>8</v>
      </c>
      <c r="C1838" t="s">
        <v>8</v>
      </c>
      <c r="D1838" t="s">
        <v>8</v>
      </c>
    </row>
    <row r="1839" spans="1:4" x14ac:dyDescent="0.25">
      <c r="A1839" t="s">
        <v>1035</v>
      </c>
    </row>
    <row r="1841" spans="1:4" x14ac:dyDescent="0.25">
      <c r="A1841" t="s">
        <v>1036</v>
      </c>
    </row>
    <row r="1843" spans="1:4" x14ac:dyDescent="0.25">
      <c r="A1843" t="s">
        <v>2375</v>
      </c>
      <c r="B1843" s="1">
        <v>810000</v>
      </c>
      <c r="C1843" s="1">
        <v>810000</v>
      </c>
    </row>
    <row r="1844" spans="1:4" x14ac:dyDescent="0.25">
      <c r="A1844" t="s">
        <v>2376</v>
      </c>
      <c r="B1844" s="1">
        <v>810000</v>
      </c>
      <c r="C1844" s="1">
        <v>810000</v>
      </c>
    </row>
    <row r="1845" spans="1:4" x14ac:dyDescent="0.25">
      <c r="B1845" t="s">
        <v>8</v>
      </c>
      <c r="C1845" t="s">
        <v>8</v>
      </c>
      <c r="D1845" t="s">
        <v>8</v>
      </c>
    </row>
    <row r="1846" spans="1:4" x14ac:dyDescent="0.25">
      <c r="A1846" t="s">
        <v>1037</v>
      </c>
      <c r="B1846" s="1">
        <v>1620000</v>
      </c>
      <c r="C1846" s="1">
        <v>1620000</v>
      </c>
    </row>
    <row r="1848" spans="1:4" x14ac:dyDescent="0.25">
      <c r="B1848" t="s">
        <v>8</v>
      </c>
      <c r="C1848" t="s">
        <v>8</v>
      </c>
      <c r="D1848" t="s">
        <v>8</v>
      </c>
    </row>
    <row r="1849" spans="1:4" x14ac:dyDescent="0.25">
      <c r="A1849" t="s">
        <v>1038</v>
      </c>
      <c r="B1849" s="1">
        <v>1620000</v>
      </c>
      <c r="C1849" s="1">
        <v>1620000</v>
      </c>
    </row>
    <row r="1851" spans="1:4" x14ac:dyDescent="0.25">
      <c r="A1851" t="s">
        <v>1039</v>
      </c>
    </row>
    <row r="1853" spans="1:4" x14ac:dyDescent="0.25">
      <c r="A1853" t="s">
        <v>1040</v>
      </c>
    </row>
    <row r="1854" spans="1:4" x14ac:dyDescent="0.25">
      <c r="B1854" t="s">
        <v>8</v>
      </c>
      <c r="C1854" t="s">
        <v>8</v>
      </c>
      <c r="D1854" t="s">
        <v>8</v>
      </c>
    </row>
    <row r="1855" spans="1:4" x14ac:dyDescent="0.25">
      <c r="A1855" t="s">
        <v>1041</v>
      </c>
    </row>
    <row r="1857" spans="1:4" x14ac:dyDescent="0.25">
      <c r="A1857" t="s">
        <v>1042</v>
      </c>
    </row>
    <row r="1858" spans="1:4" x14ac:dyDescent="0.25">
      <c r="B1858" t="s">
        <v>8</v>
      </c>
      <c r="C1858" t="s">
        <v>8</v>
      </c>
      <c r="D1858" t="s">
        <v>8</v>
      </c>
    </row>
    <row r="1859" spans="1:4" x14ac:dyDescent="0.25">
      <c r="A1859" t="s">
        <v>1043</v>
      </c>
    </row>
    <row r="1861" spans="1:4" x14ac:dyDescent="0.25">
      <c r="B1861" t="s">
        <v>8</v>
      </c>
      <c r="C1861" t="s">
        <v>8</v>
      </c>
      <c r="D1861" t="s">
        <v>8</v>
      </c>
    </row>
    <row r="1862" spans="1:4" x14ac:dyDescent="0.25">
      <c r="A1862" t="s">
        <v>1044</v>
      </c>
    </row>
    <row r="1864" spans="1:4" x14ac:dyDescent="0.25">
      <c r="A1864" t="s">
        <v>1045</v>
      </c>
    </row>
    <row r="1866" spans="1:4" x14ac:dyDescent="0.25">
      <c r="A1866" t="s">
        <v>1046</v>
      </c>
    </row>
    <row r="1868" spans="1:4" x14ac:dyDescent="0.25">
      <c r="A1868" t="s">
        <v>2377</v>
      </c>
      <c r="B1868" s="1">
        <v>4200000</v>
      </c>
      <c r="C1868" s="1">
        <v>4200000</v>
      </c>
    </row>
    <row r="1869" spans="1:4" x14ac:dyDescent="0.25">
      <c r="B1869" t="s">
        <v>8</v>
      </c>
      <c r="C1869" t="s">
        <v>8</v>
      </c>
      <c r="D1869" t="s">
        <v>8</v>
      </c>
    </row>
    <row r="1870" spans="1:4" x14ac:dyDescent="0.25">
      <c r="A1870" t="s">
        <v>1047</v>
      </c>
      <c r="B1870" s="1">
        <v>4200000</v>
      </c>
      <c r="C1870" s="1">
        <v>4200000</v>
      </c>
    </row>
    <row r="1872" spans="1:4" x14ac:dyDescent="0.25">
      <c r="B1872" t="s">
        <v>8</v>
      </c>
      <c r="C1872" t="s">
        <v>8</v>
      </c>
      <c r="D1872" t="s">
        <v>8</v>
      </c>
    </row>
    <row r="1873" spans="1:4" x14ac:dyDescent="0.25">
      <c r="A1873" t="s">
        <v>1048</v>
      </c>
      <c r="B1873" s="1">
        <v>4200000</v>
      </c>
      <c r="C1873" s="1">
        <v>4200000</v>
      </c>
    </row>
    <row r="1875" spans="1:4" x14ac:dyDescent="0.25">
      <c r="A1875" t="s">
        <v>1049</v>
      </c>
    </row>
    <row r="1877" spans="1:4" x14ac:dyDescent="0.25">
      <c r="A1877" t="s">
        <v>1050</v>
      </c>
    </row>
    <row r="1879" spans="1:4" x14ac:dyDescent="0.25">
      <c r="A1879" t="s">
        <v>1051</v>
      </c>
      <c r="B1879" s="1">
        <v>22567388.5</v>
      </c>
      <c r="C1879" s="1">
        <v>24692269.829999998</v>
      </c>
      <c r="D1879" s="1">
        <v>-2124881.33</v>
      </c>
    </row>
    <row r="1880" spans="1:4" x14ac:dyDescent="0.25">
      <c r="B1880" t="s">
        <v>8</v>
      </c>
      <c r="C1880" t="s">
        <v>8</v>
      </c>
      <c r="D1880" t="s">
        <v>8</v>
      </c>
    </row>
    <row r="1881" spans="1:4" x14ac:dyDescent="0.25">
      <c r="A1881" t="s">
        <v>1052</v>
      </c>
      <c r="B1881" s="1">
        <v>22567388.5</v>
      </c>
      <c r="C1881" s="1">
        <v>24692269.829999998</v>
      </c>
      <c r="D1881" s="1">
        <v>-2124881.33</v>
      </c>
    </row>
    <row r="1883" spans="1:4" x14ac:dyDescent="0.25">
      <c r="A1883" t="s">
        <v>1053</v>
      </c>
    </row>
    <row r="1884" spans="1:4" x14ac:dyDescent="0.25">
      <c r="B1884" t="s">
        <v>8</v>
      </c>
      <c r="C1884" t="s">
        <v>8</v>
      </c>
      <c r="D1884" t="s">
        <v>8</v>
      </c>
    </row>
    <row r="1885" spans="1:4" x14ac:dyDescent="0.25">
      <c r="A1885" t="s">
        <v>1054</v>
      </c>
    </row>
    <row r="1887" spans="1:4" x14ac:dyDescent="0.25">
      <c r="A1887" t="s">
        <v>1055</v>
      </c>
    </row>
    <row r="1888" spans="1:4" x14ac:dyDescent="0.25">
      <c r="B1888" t="s">
        <v>8</v>
      </c>
      <c r="C1888" t="s">
        <v>8</v>
      </c>
      <c r="D1888" t="s">
        <v>8</v>
      </c>
    </row>
    <row r="1889" spans="1:4" x14ac:dyDescent="0.25">
      <c r="A1889" t="s">
        <v>1056</v>
      </c>
    </row>
    <row r="1891" spans="1:4" x14ac:dyDescent="0.25">
      <c r="A1891" t="s">
        <v>1057</v>
      </c>
    </row>
    <row r="1892" spans="1:4" x14ac:dyDescent="0.25">
      <c r="B1892" t="s">
        <v>8</v>
      </c>
      <c r="C1892" t="s">
        <v>8</v>
      </c>
      <c r="D1892" t="s">
        <v>8</v>
      </c>
    </row>
    <row r="1893" spans="1:4" x14ac:dyDescent="0.25">
      <c r="A1893" t="s">
        <v>1058</v>
      </c>
    </row>
    <row r="1895" spans="1:4" x14ac:dyDescent="0.25">
      <c r="B1895" t="s">
        <v>8</v>
      </c>
      <c r="C1895" t="s">
        <v>8</v>
      </c>
      <c r="D1895" t="s">
        <v>8</v>
      </c>
    </row>
    <row r="1896" spans="1:4" x14ac:dyDescent="0.25">
      <c r="A1896" t="s">
        <v>1059</v>
      </c>
      <c r="B1896" s="1">
        <v>22567388.5</v>
      </c>
      <c r="C1896" s="1">
        <v>24692269.829999998</v>
      </c>
      <c r="D1896" s="1">
        <v>-2124881.33</v>
      </c>
    </row>
    <row r="1898" spans="1:4" x14ac:dyDescent="0.25">
      <c r="A1898" t="s">
        <v>1060</v>
      </c>
    </row>
    <row r="1900" spans="1:4" x14ac:dyDescent="0.25">
      <c r="A1900" t="s">
        <v>1061</v>
      </c>
    </row>
    <row r="1901" spans="1:4" x14ac:dyDescent="0.25">
      <c r="B1901" t="s">
        <v>8</v>
      </c>
      <c r="C1901" t="s">
        <v>8</v>
      </c>
      <c r="D1901" t="s">
        <v>8</v>
      </c>
    </row>
    <row r="1902" spans="1:4" x14ac:dyDescent="0.25">
      <c r="A1902" t="s">
        <v>1062</v>
      </c>
    </row>
    <row r="1904" spans="1:4" x14ac:dyDescent="0.25">
      <c r="A1904" t="s">
        <v>1063</v>
      </c>
    </row>
    <row r="1906" spans="1:4" x14ac:dyDescent="0.25">
      <c r="A1906" t="s">
        <v>1064</v>
      </c>
      <c r="B1906" s="1">
        <v>15849.79</v>
      </c>
      <c r="C1906" s="1">
        <v>15849.79</v>
      </c>
    </row>
    <row r="1907" spans="1:4" x14ac:dyDescent="0.25">
      <c r="B1907" t="s">
        <v>8</v>
      </c>
      <c r="C1907" t="s">
        <v>8</v>
      </c>
      <c r="D1907" t="s">
        <v>8</v>
      </c>
    </row>
    <row r="1908" spans="1:4" x14ac:dyDescent="0.25">
      <c r="A1908" t="s">
        <v>1065</v>
      </c>
      <c r="B1908" s="1">
        <v>15849.79</v>
      </c>
      <c r="C1908" s="1">
        <v>15849.79</v>
      </c>
    </row>
    <row r="1910" spans="1:4" x14ac:dyDescent="0.25">
      <c r="B1910" t="s">
        <v>8</v>
      </c>
      <c r="C1910" t="s">
        <v>8</v>
      </c>
      <c r="D1910" t="s">
        <v>8</v>
      </c>
    </row>
    <row r="1911" spans="1:4" x14ac:dyDescent="0.25">
      <c r="A1911" t="s">
        <v>1066</v>
      </c>
      <c r="B1911" s="1">
        <v>15849.79</v>
      </c>
      <c r="C1911" s="1">
        <v>15849.79</v>
      </c>
    </row>
    <row r="1913" spans="1:4" x14ac:dyDescent="0.25">
      <c r="A1913" t="s">
        <v>1067</v>
      </c>
    </row>
    <row r="1914" spans="1:4" x14ac:dyDescent="0.25">
      <c r="B1914" t="s">
        <v>8</v>
      </c>
      <c r="C1914" t="s">
        <v>8</v>
      </c>
      <c r="D1914" t="s">
        <v>8</v>
      </c>
    </row>
    <row r="1915" spans="1:4" x14ac:dyDescent="0.25">
      <c r="A1915" t="s">
        <v>1068</v>
      </c>
    </row>
    <row r="1917" spans="1:4" x14ac:dyDescent="0.25">
      <c r="A1917" t="s">
        <v>1069</v>
      </c>
    </row>
    <row r="1919" spans="1:4" x14ac:dyDescent="0.25">
      <c r="A1919" t="s">
        <v>1070</v>
      </c>
    </row>
    <row r="1921" spans="1:4" x14ac:dyDescent="0.25">
      <c r="A1921" t="s">
        <v>1071</v>
      </c>
      <c r="B1921" s="1">
        <v>83201984.890000001</v>
      </c>
      <c r="C1921" s="1">
        <v>108867387.78</v>
      </c>
      <c r="D1921" s="1">
        <v>-25665402.890000001</v>
      </c>
    </row>
    <row r="1922" spans="1:4" x14ac:dyDescent="0.25">
      <c r="B1922" t="s">
        <v>8</v>
      </c>
      <c r="C1922" t="s">
        <v>8</v>
      </c>
      <c r="D1922" t="s">
        <v>8</v>
      </c>
    </row>
    <row r="1923" spans="1:4" x14ac:dyDescent="0.25">
      <c r="A1923" t="s">
        <v>1072</v>
      </c>
      <c r="B1923" s="1">
        <v>83201984.890000001</v>
      </c>
      <c r="C1923" s="1">
        <v>108867387.78</v>
      </c>
      <c r="D1923" s="1">
        <v>-25665402.890000001</v>
      </c>
    </row>
    <row r="1925" spans="1:4" x14ac:dyDescent="0.25">
      <c r="A1925" t="s">
        <v>1073</v>
      </c>
    </row>
    <row r="1926" spans="1:4" x14ac:dyDescent="0.25">
      <c r="B1926" t="s">
        <v>8</v>
      </c>
      <c r="C1926" t="s">
        <v>8</v>
      </c>
      <c r="D1926" t="s">
        <v>8</v>
      </c>
    </row>
    <row r="1927" spans="1:4" x14ac:dyDescent="0.25">
      <c r="A1927" t="s">
        <v>1074</v>
      </c>
    </row>
    <row r="1929" spans="1:4" x14ac:dyDescent="0.25">
      <c r="A1929" t="s">
        <v>1075</v>
      </c>
    </row>
    <row r="1930" spans="1:4" x14ac:dyDescent="0.25">
      <c r="B1930" t="s">
        <v>8</v>
      </c>
      <c r="C1930" t="s">
        <v>8</v>
      </c>
      <c r="D1930" t="s">
        <v>8</v>
      </c>
    </row>
    <row r="1931" spans="1:4" x14ac:dyDescent="0.25">
      <c r="A1931" t="s">
        <v>1076</v>
      </c>
    </row>
    <row r="1933" spans="1:4" x14ac:dyDescent="0.25">
      <c r="A1933" t="s">
        <v>1077</v>
      </c>
    </row>
    <row r="1934" spans="1:4" x14ac:dyDescent="0.25">
      <c r="B1934" t="s">
        <v>8</v>
      </c>
      <c r="C1934" t="s">
        <v>8</v>
      </c>
      <c r="D1934" t="s">
        <v>8</v>
      </c>
    </row>
    <row r="1935" spans="1:4" x14ac:dyDescent="0.25">
      <c r="A1935" t="s">
        <v>1078</v>
      </c>
    </row>
    <row r="1937" spans="1:4" x14ac:dyDescent="0.25">
      <c r="A1937" t="s">
        <v>1079</v>
      </c>
    </row>
    <row r="1938" spans="1:4" x14ac:dyDescent="0.25">
      <c r="B1938" t="s">
        <v>8</v>
      </c>
      <c r="C1938" t="s">
        <v>8</v>
      </c>
      <c r="D1938" t="s">
        <v>8</v>
      </c>
    </row>
    <row r="1939" spans="1:4" x14ac:dyDescent="0.25">
      <c r="A1939" t="s">
        <v>1080</v>
      </c>
    </row>
    <row r="1941" spans="1:4" x14ac:dyDescent="0.25">
      <c r="B1941" t="s">
        <v>8</v>
      </c>
      <c r="C1941" t="s">
        <v>8</v>
      </c>
      <c r="D1941" t="s">
        <v>8</v>
      </c>
    </row>
    <row r="1942" spans="1:4" x14ac:dyDescent="0.25">
      <c r="A1942" t="s">
        <v>1081</v>
      </c>
      <c r="B1942" s="1">
        <v>83201984.890000001</v>
      </c>
      <c r="C1942" s="1">
        <v>108867387.78</v>
      </c>
      <c r="D1942" s="1">
        <v>-25665402.890000001</v>
      </c>
    </row>
    <row r="1944" spans="1:4" x14ac:dyDescent="0.25">
      <c r="A1944" t="s">
        <v>1082</v>
      </c>
    </row>
    <row r="1945" spans="1:4" x14ac:dyDescent="0.25">
      <c r="B1945" t="s">
        <v>8</v>
      </c>
      <c r="C1945" t="s">
        <v>8</v>
      </c>
      <c r="D1945" t="s">
        <v>8</v>
      </c>
    </row>
    <row r="1946" spans="1:4" x14ac:dyDescent="0.25">
      <c r="A1946" t="s">
        <v>1083</v>
      </c>
    </row>
    <row r="1948" spans="1:4" x14ac:dyDescent="0.25">
      <c r="A1948" t="s">
        <v>1084</v>
      </c>
    </row>
    <row r="1949" spans="1:4" x14ac:dyDescent="0.25">
      <c r="B1949" t="s">
        <v>8</v>
      </c>
      <c r="C1949" t="s">
        <v>8</v>
      </c>
      <c r="D1949" t="s">
        <v>8</v>
      </c>
    </row>
    <row r="1950" spans="1:4" x14ac:dyDescent="0.25">
      <c r="A1950" t="s">
        <v>1085</v>
      </c>
    </row>
    <row r="1952" spans="1:4" x14ac:dyDescent="0.25">
      <c r="A1952" t="s">
        <v>1086</v>
      </c>
    </row>
    <row r="1954" spans="1:4" x14ac:dyDescent="0.25">
      <c r="A1954" t="s">
        <v>1087</v>
      </c>
    </row>
    <row r="1956" spans="1:4" x14ac:dyDescent="0.25">
      <c r="A1956" t="s">
        <v>1088</v>
      </c>
      <c r="B1956" s="1">
        <v>4075786.59</v>
      </c>
      <c r="C1956" s="1">
        <v>4075786.59</v>
      </c>
    </row>
    <row r="1957" spans="1:4" x14ac:dyDescent="0.25">
      <c r="A1957" t="s">
        <v>1089</v>
      </c>
      <c r="B1957" s="1">
        <v>1755802.61</v>
      </c>
      <c r="C1957" s="1">
        <v>1755802.61</v>
      </c>
    </row>
    <row r="1958" spans="1:4" x14ac:dyDescent="0.25">
      <c r="B1958" t="s">
        <v>8</v>
      </c>
      <c r="C1958" t="s">
        <v>8</v>
      </c>
      <c r="D1958" t="s">
        <v>8</v>
      </c>
    </row>
    <row r="1959" spans="1:4" x14ac:dyDescent="0.25">
      <c r="A1959" t="s">
        <v>1090</v>
      </c>
      <c r="B1959" s="1">
        <v>5831589.2000000002</v>
      </c>
      <c r="C1959" s="1">
        <v>5831589.2000000002</v>
      </c>
    </row>
    <row r="1961" spans="1:4" x14ac:dyDescent="0.25">
      <c r="A1961" t="s">
        <v>1091</v>
      </c>
    </row>
    <row r="1963" spans="1:4" x14ac:dyDescent="0.25">
      <c r="A1963" t="s">
        <v>1092</v>
      </c>
      <c r="B1963" s="1">
        <v>4266046.9800000004</v>
      </c>
      <c r="C1963" s="1">
        <v>4848575.2300000004</v>
      </c>
      <c r="D1963" s="1">
        <v>-582528.25</v>
      </c>
    </row>
    <row r="1964" spans="1:4" x14ac:dyDescent="0.25">
      <c r="A1964" t="s">
        <v>1093</v>
      </c>
      <c r="B1964" s="1">
        <v>156201.51</v>
      </c>
      <c r="C1964" s="1">
        <v>174416.21</v>
      </c>
      <c r="D1964" s="1">
        <v>-18214.7</v>
      </c>
    </row>
    <row r="1965" spans="1:4" x14ac:dyDescent="0.25">
      <c r="A1965" t="s">
        <v>1094</v>
      </c>
      <c r="B1965" s="1">
        <v>27024.97</v>
      </c>
      <c r="C1965" s="1">
        <v>29658.3</v>
      </c>
      <c r="D1965" s="1">
        <v>-2633.33</v>
      </c>
    </row>
    <row r="1966" spans="1:4" x14ac:dyDescent="0.25">
      <c r="A1966" t="s">
        <v>1095</v>
      </c>
      <c r="B1966" s="1">
        <v>542500</v>
      </c>
      <c r="C1966" s="1">
        <v>599750</v>
      </c>
      <c r="D1966" s="1">
        <v>-57250</v>
      </c>
    </row>
    <row r="1967" spans="1:4" x14ac:dyDescent="0.25">
      <c r="A1967" t="s">
        <v>1096</v>
      </c>
      <c r="B1967" s="1">
        <v>43336822.789999999</v>
      </c>
      <c r="C1967" s="1">
        <v>43336822.789999999</v>
      </c>
    </row>
    <row r="1968" spans="1:4" x14ac:dyDescent="0.25">
      <c r="A1968" t="s">
        <v>2378</v>
      </c>
      <c r="B1968" s="1">
        <v>180000</v>
      </c>
      <c r="C1968" s="1">
        <v>180000</v>
      </c>
    </row>
    <row r="1969" spans="1:4" x14ac:dyDescent="0.25">
      <c r="B1969" t="s">
        <v>8</v>
      </c>
      <c r="C1969" t="s">
        <v>8</v>
      </c>
      <c r="D1969" t="s">
        <v>8</v>
      </c>
    </row>
    <row r="1970" spans="1:4" x14ac:dyDescent="0.25">
      <c r="A1970" t="s">
        <v>1097</v>
      </c>
      <c r="B1970" s="1">
        <v>48508596.25</v>
      </c>
      <c r="C1970" s="1">
        <v>49169222.530000001</v>
      </c>
      <c r="D1970" s="1">
        <v>-660626.28</v>
      </c>
    </row>
    <row r="1972" spans="1:4" x14ac:dyDescent="0.25">
      <c r="B1972" t="s">
        <v>8</v>
      </c>
      <c r="C1972" t="s">
        <v>8</v>
      </c>
      <c r="D1972" t="s">
        <v>8</v>
      </c>
    </row>
    <row r="1973" spans="1:4" x14ac:dyDescent="0.25">
      <c r="A1973" t="s">
        <v>1098</v>
      </c>
      <c r="B1973" s="1">
        <v>54340185.450000003</v>
      </c>
      <c r="C1973" s="1">
        <v>55000811.729999997</v>
      </c>
      <c r="D1973" s="1">
        <v>-660626.28</v>
      </c>
    </row>
    <row r="1975" spans="1:4" x14ac:dyDescent="0.25">
      <c r="A1975" t="s">
        <v>1099</v>
      </c>
    </row>
    <row r="1977" spans="1:4" x14ac:dyDescent="0.25">
      <c r="A1977" t="s">
        <v>1100</v>
      </c>
    </row>
    <row r="1979" spans="1:4" x14ac:dyDescent="0.25">
      <c r="A1979" t="s">
        <v>1101</v>
      </c>
      <c r="B1979" s="1">
        <v>10920001.689999999</v>
      </c>
      <c r="C1979" s="1">
        <v>12041281.949999999</v>
      </c>
      <c r="D1979" s="1">
        <v>-1121280.26</v>
      </c>
    </row>
    <row r="1980" spans="1:4" x14ac:dyDescent="0.25">
      <c r="A1980" t="s">
        <v>1102</v>
      </c>
      <c r="B1980" s="1">
        <v>151772</v>
      </c>
      <c r="C1980" s="1">
        <v>167381</v>
      </c>
      <c r="D1980" s="1">
        <v>-15609</v>
      </c>
    </row>
    <row r="1981" spans="1:4" x14ac:dyDescent="0.25">
      <c r="B1981" t="s">
        <v>8</v>
      </c>
      <c r="C1981" t="s">
        <v>8</v>
      </c>
      <c r="D1981" t="s">
        <v>8</v>
      </c>
    </row>
    <row r="1982" spans="1:4" x14ac:dyDescent="0.25">
      <c r="A1982" t="s">
        <v>1103</v>
      </c>
      <c r="B1982" s="1">
        <v>11071773.689999999</v>
      </c>
      <c r="C1982" s="1">
        <v>12208662.949999999</v>
      </c>
      <c r="D1982" s="1">
        <v>-1136889.26</v>
      </c>
    </row>
    <row r="1984" spans="1:4" x14ac:dyDescent="0.25">
      <c r="A1984" t="s">
        <v>1104</v>
      </c>
    </row>
    <row r="1985" spans="1:4" x14ac:dyDescent="0.25">
      <c r="B1985" t="s">
        <v>8</v>
      </c>
      <c r="C1985" t="s">
        <v>8</v>
      </c>
      <c r="D1985" t="s">
        <v>8</v>
      </c>
    </row>
    <row r="1986" spans="1:4" x14ac:dyDescent="0.25">
      <c r="A1986" t="s">
        <v>1105</v>
      </c>
    </row>
    <row r="1988" spans="1:4" x14ac:dyDescent="0.25">
      <c r="A1988" t="s">
        <v>1106</v>
      </c>
    </row>
    <row r="1990" spans="1:4" x14ac:dyDescent="0.25">
      <c r="A1990" t="s">
        <v>1107</v>
      </c>
      <c r="B1990" s="1">
        <v>722490.75</v>
      </c>
      <c r="C1990" s="1">
        <v>794562.83</v>
      </c>
      <c r="D1990" s="1">
        <v>-72072.08</v>
      </c>
    </row>
    <row r="1991" spans="1:4" x14ac:dyDescent="0.25">
      <c r="B1991" t="s">
        <v>8</v>
      </c>
      <c r="C1991" t="s">
        <v>8</v>
      </c>
      <c r="D1991" t="s">
        <v>8</v>
      </c>
    </row>
    <row r="1992" spans="1:4" x14ac:dyDescent="0.25">
      <c r="A1992" t="s">
        <v>1108</v>
      </c>
      <c r="B1992" s="1">
        <v>722490.75</v>
      </c>
      <c r="C1992" s="1">
        <v>794562.83</v>
      </c>
      <c r="D1992" s="1">
        <v>-72072.08</v>
      </c>
    </row>
    <row r="1994" spans="1:4" x14ac:dyDescent="0.25">
      <c r="B1994" t="s">
        <v>8</v>
      </c>
      <c r="C1994" t="s">
        <v>8</v>
      </c>
      <c r="D1994" t="s">
        <v>8</v>
      </c>
    </row>
    <row r="1995" spans="1:4" x14ac:dyDescent="0.25">
      <c r="A1995" t="s">
        <v>1109</v>
      </c>
      <c r="B1995" s="1">
        <v>11794264.439999999</v>
      </c>
      <c r="C1995" s="1">
        <v>13003225.779999999</v>
      </c>
      <c r="D1995" s="1">
        <v>-1208961.3400000001</v>
      </c>
    </row>
    <row r="1997" spans="1:4" x14ac:dyDescent="0.25">
      <c r="A1997" t="s">
        <v>1110</v>
      </c>
    </row>
    <row r="1998" spans="1:4" x14ac:dyDescent="0.25">
      <c r="B1998" t="s">
        <v>8</v>
      </c>
      <c r="C1998" t="s">
        <v>8</v>
      </c>
      <c r="D1998" t="s">
        <v>8</v>
      </c>
    </row>
    <row r="1999" spans="1:4" x14ac:dyDescent="0.25">
      <c r="A1999" t="s">
        <v>1111</v>
      </c>
    </row>
    <row r="2001" spans="1:4" x14ac:dyDescent="0.25">
      <c r="A2001" t="s">
        <v>1112</v>
      </c>
    </row>
    <row r="2002" spans="1:4" x14ac:dyDescent="0.25">
      <c r="B2002" t="s">
        <v>8</v>
      </c>
      <c r="C2002" t="s">
        <v>8</v>
      </c>
      <c r="D2002" t="s">
        <v>8</v>
      </c>
    </row>
    <row r="2003" spans="1:4" x14ac:dyDescent="0.25">
      <c r="A2003" t="s">
        <v>1113</v>
      </c>
    </row>
    <row r="2005" spans="1:4" x14ac:dyDescent="0.25">
      <c r="A2005" t="s">
        <v>1114</v>
      </c>
    </row>
    <row r="2007" spans="1:4" x14ac:dyDescent="0.25">
      <c r="A2007" t="s">
        <v>1115</v>
      </c>
    </row>
    <row r="2009" spans="1:4" x14ac:dyDescent="0.25">
      <c r="A2009" t="s">
        <v>1116</v>
      </c>
      <c r="B2009" s="1">
        <v>17835333.32</v>
      </c>
      <c r="C2009" s="1">
        <v>17835333.32</v>
      </c>
    </row>
    <row r="2010" spans="1:4" x14ac:dyDescent="0.25">
      <c r="B2010" t="s">
        <v>8</v>
      </c>
      <c r="C2010" t="s">
        <v>8</v>
      </c>
      <c r="D2010" t="s">
        <v>8</v>
      </c>
    </row>
    <row r="2011" spans="1:4" x14ac:dyDescent="0.25">
      <c r="A2011" t="s">
        <v>1117</v>
      </c>
      <c r="B2011" s="1">
        <v>17835333.32</v>
      </c>
      <c r="C2011" s="1">
        <v>17835333.32</v>
      </c>
    </row>
    <row r="2013" spans="1:4" x14ac:dyDescent="0.25">
      <c r="B2013" t="s">
        <v>8</v>
      </c>
      <c r="C2013" t="s">
        <v>8</v>
      </c>
      <c r="D2013" t="s">
        <v>8</v>
      </c>
    </row>
    <row r="2014" spans="1:4" x14ac:dyDescent="0.25">
      <c r="A2014" t="s">
        <v>1118</v>
      </c>
      <c r="B2014" s="1">
        <v>17835333.32</v>
      </c>
      <c r="C2014" s="1">
        <v>17835333.32</v>
      </c>
    </row>
    <row r="2016" spans="1:4" x14ac:dyDescent="0.25">
      <c r="A2016" t="s">
        <v>1119</v>
      </c>
    </row>
    <row r="2018" spans="1:4" x14ac:dyDescent="0.25">
      <c r="A2018" t="s">
        <v>1120</v>
      </c>
    </row>
    <row r="2020" spans="1:4" x14ac:dyDescent="0.25">
      <c r="A2020" t="s">
        <v>1121</v>
      </c>
      <c r="B2020" s="1">
        <v>13759546.73</v>
      </c>
      <c r="C2020" s="1">
        <v>13759546.73</v>
      </c>
    </row>
    <row r="2021" spans="1:4" x14ac:dyDescent="0.25">
      <c r="B2021" t="s">
        <v>8</v>
      </c>
      <c r="C2021" t="s">
        <v>8</v>
      </c>
      <c r="D2021" t="s">
        <v>8</v>
      </c>
    </row>
    <row r="2022" spans="1:4" x14ac:dyDescent="0.25">
      <c r="A2022" t="s">
        <v>1122</v>
      </c>
      <c r="B2022" s="1">
        <v>13759546.73</v>
      </c>
      <c r="C2022" s="1">
        <v>13759546.73</v>
      </c>
    </row>
    <row r="2024" spans="1:4" x14ac:dyDescent="0.25">
      <c r="B2024" t="s">
        <v>8</v>
      </c>
      <c r="C2024" t="s">
        <v>8</v>
      </c>
      <c r="D2024" t="s">
        <v>8</v>
      </c>
    </row>
    <row r="2025" spans="1:4" x14ac:dyDescent="0.25">
      <c r="A2025" t="s">
        <v>1123</v>
      </c>
      <c r="B2025" s="1">
        <v>13759546.73</v>
      </c>
      <c r="C2025" s="1">
        <v>13759546.73</v>
      </c>
    </row>
    <row r="2027" spans="1:4" x14ac:dyDescent="0.25">
      <c r="A2027" t="s">
        <v>1124</v>
      </c>
    </row>
    <row r="2028" spans="1:4" x14ac:dyDescent="0.25">
      <c r="B2028" t="s">
        <v>8</v>
      </c>
      <c r="C2028" t="s">
        <v>8</v>
      </c>
      <c r="D2028" t="s">
        <v>8</v>
      </c>
    </row>
    <row r="2029" spans="1:4" x14ac:dyDescent="0.25">
      <c r="A2029" t="s">
        <v>1125</v>
      </c>
    </row>
    <row r="2031" spans="1:4" x14ac:dyDescent="0.25">
      <c r="A2031" t="s">
        <v>1126</v>
      </c>
    </row>
    <row r="2033" spans="1:4" x14ac:dyDescent="0.25">
      <c r="A2033" t="s">
        <v>1127</v>
      </c>
    </row>
    <row r="2035" spans="1:4" x14ac:dyDescent="0.25">
      <c r="A2035" t="s">
        <v>1128</v>
      </c>
      <c r="B2035" s="1">
        <v>176043.35</v>
      </c>
      <c r="C2035" s="1">
        <v>4375246.67</v>
      </c>
      <c r="D2035" s="1">
        <v>-4199203.32</v>
      </c>
    </row>
    <row r="2036" spans="1:4" x14ac:dyDescent="0.25">
      <c r="A2036" t="s">
        <v>1129</v>
      </c>
      <c r="C2036" s="1">
        <v>6033988.0199999996</v>
      </c>
      <c r="D2036" s="1">
        <v>-6033988.0199999996</v>
      </c>
    </row>
    <row r="2037" spans="1:4" x14ac:dyDescent="0.25">
      <c r="A2037" t="s">
        <v>2379</v>
      </c>
      <c r="C2037" s="1">
        <v>6116657.1500000004</v>
      </c>
      <c r="D2037" s="1">
        <v>-6116657.1500000004</v>
      </c>
    </row>
    <row r="2038" spans="1:4" x14ac:dyDescent="0.25">
      <c r="B2038" t="s">
        <v>8</v>
      </c>
      <c r="C2038" t="s">
        <v>8</v>
      </c>
      <c r="D2038" t="s">
        <v>8</v>
      </c>
    </row>
    <row r="2039" spans="1:4" x14ac:dyDescent="0.25">
      <c r="A2039" t="s">
        <v>1130</v>
      </c>
      <c r="B2039" s="1">
        <v>176043.35</v>
      </c>
      <c r="C2039" s="1">
        <v>16525891.84</v>
      </c>
      <c r="D2039" s="1">
        <v>-16349848.49</v>
      </c>
    </row>
    <row r="2041" spans="1:4" x14ac:dyDescent="0.25">
      <c r="B2041" t="s">
        <v>8</v>
      </c>
      <c r="C2041" t="s">
        <v>8</v>
      </c>
      <c r="D2041" t="s">
        <v>8</v>
      </c>
    </row>
    <row r="2042" spans="1:4" x14ac:dyDescent="0.25">
      <c r="A2042" t="s">
        <v>1131</v>
      </c>
      <c r="B2042" s="1">
        <v>176043.35</v>
      </c>
      <c r="C2042" s="1">
        <v>16525891.84</v>
      </c>
      <c r="D2042" s="1">
        <v>-16349848.49</v>
      </c>
    </row>
    <row r="2044" spans="1:4" x14ac:dyDescent="0.25">
      <c r="A2044" t="s">
        <v>1132</v>
      </c>
    </row>
    <row r="2045" spans="1:4" x14ac:dyDescent="0.25">
      <c r="B2045" t="s">
        <v>8</v>
      </c>
      <c r="C2045" t="s">
        <v>8</v>
      </c>
      <c r="D2045" t="s">
        <v>8</v>
      </c>
    </row>
    <row r="2046" spans="1:4" x14ac:dyDescent="0.25">
      <c r="A2046" t="s">
        <v>1133</v>
      </c>
    </row>
    <row r="2048" spans="1:4" x14ac:dyDescent="0.25">
      <c r="A2048" t="s">
        <v>1134</v>
      </c>
    </row>
    <row r="2050" spans="1:4" x14ac:dyDescent="0.25">
      <c r="A2050" t="s">
        <v>1135</v>
      </c>
    </row>
    <row r="2051" spans="1:4" x14ac:dyDescent="0.25">
      <c r="B2051" t="s">
        <v>8</v>
      </c>
      <c r="C2051" t="s">
        <v>8</v>
      </c>
      <c r="D2051" t="s">
        <v>8</v>
      </c>
    </row>
    <row r="2052" spans="1:4" x14ac:dyDescent="0.25">
      <c r="A2052" t="s">
        <v>1136</v>
      </c>
    </row>
    <row r="2054" spans="1:4" x14ac:dyDescent="0.25">
      <c r="A2054" t="s">
        <v>1137</v>
      </c>
    </row>
    <row r="2055" spans="1:4" x14ac:dyDescent="0.25">
      <c r="B2055" t="s">
        <v>8</v>
      </c>
      <c r="C2055" t="s">
        <v>8</v>
      </c>
      <c r="D2055" t="s">
        <v>8</v>
      </c>
    </row>
    <row r="2056" spans="1:4" x14ac:dyDescent="0.25">
      <c r="A2056" t="s">
        <v>1138</v>
      </c>
    </row>
    <row r="2058" spans="1:4" x14ac:dyDescent="0.25">
      <c r="A2058" t="s">
        <v>1139</v>
      </c>
    </row>
    <row r="2059" spans="1:4" x14ac:dyDescent="0.25">
      <c r="B2059" t="s">
        <v>8</v>
      </c>
      <c r="C2059" t="s">
        <v>8</v>
      </c>
      <c r="D2059" t="s">
        <v>8</v>
      </c>
    </row>
    <row r="2060" spans="1:4" x14ac:dyDescent="0.25">
      <c r="A2060" t="s">
        <v>1140</v>
      </c>
    </row>
    <row r="2062" spans="1:4" x14ac:dyDescent="0.25">
      <c r="A2062" t="s">
        <v>1141</v>
      </c>
    </row>
    <row r="2063" spans="1:4" x14ac:dyDescent="0.25">
      <c r="B2063" t="s">
        <v>8</v>
      </c>
      <c r="C2063" t="s">
        <v>8</v>
      </c>
      <c r="D2063" t="s">
        <v>8</v>
      </c>
    </row>
    <row r="2064" spans="1:4" x14ac:dyDescent="0.25">
      <c r="A2064" t="s">
        <v>1142</v>
      </c>
    </row>
    <row r="2066" spans="1:4" x14ac:dyDescent="0.25">
      <c r="A2066" t="s">
        <v>1143</v>
      </c>
    </row>
    <row r="2067" spans="1:4" x14ac:dyDescent="0.25">
      <c r="B2067" t="s">
        <v>8</v>
      </c>
      <c r="C2067" t="s">
        <v>8</v>
      </c>
      <c r="D2067" t="s">
        <v>8</v>
      </c>
    </row>
    <row r="2068" spans="1:4" x14ac:dyDescent="0.25">
      <c r="A2068" t="s">
        <v>1144</v>
      </c>
    </row>
    <row r="2070" spans="1:4" x14ac:dyDescent="0.25">
      <c r="A2070" t="s">
        <v>1145</v>
      </c>
    </row>
    <row r="2071" spans="1:4" x14ac:dyDescent="0.25">
      <c r="B2071" t="s">
        <v>8</v>
      </c>
      <c r="C2071" t="s">
        <v>8</v>
      </c>
      <c r="D2071" t="s">
        <v>8</v>
      </c>
    </row>
    <row r="2072" spans="1:4" x14ac:dyDescent="0.25">
      <c r="A2072" t="s">
        <v>1146</v>
      </c>
    </row>
    <row r="2074" spans="1:4" x14ac:dyDescent="0.25">
      <c r="B2074" t="s">
        <v>8</v>
      </c>
      <c r="C2074" t="s">
        <v>8</v>
      </c>
      <c r="D2074" t="s">
        <v>8</v>
      </c>
    </row>
    <row r="2075" spans="1:4" x14ac:dyDescent="0.25">
      <c r="A2075" t="s">
        <v>1147</v>
      </c>
    </row>
    <row r="2077" spans="1:4" x14ac:dyDescent="0.25">
      <c r="A2077" t="s">
        <v>1148</v>
      </c>
    </row>
    <row r="2079" spans="1:4" x14ac:dyDescent="0.25">
      <c r="A2079" t="s">
        <v>1149</v>
      </c>
    </row>
    <row r="2080" spans="1:4" x14ac:dyDescent="0.25">
      <c r="B2080" t="s">
        <v>8</v>
      </c>
      <c r="C2080" t="s">
        <v>8</v>
      </c>
      <c r="D2080" t="s">
        <v>8</v>
      </c>
    </row>
    <row r="2081" spans="1:4" x14ac:dyDescent="0.25">
      <c r="A2081" t="s">
        <v>1150</v>
      </c>
    </row>
    <row r="2083" spans="1:4" x14ac:dyDescent="0.25">
      <c r="A2083" t="s">
        <v>1151</v>
      </c>
    </row>
    <row r="2084" spans="1:4" x14ac:dyDescent="0.25">
      <c r="B2084" t="s">
        <v>8</v>
      </c>
      <c r="C2084" t="s">
        <v>8</v>
      </c>
      <c r="D2084" t="s">
        <v>8</v>
      </c>
    </row>
    <row r="2085" spans="1:4" x14ac:dyDescent="0.25">
      <c r="A2085" t="s">
        <v>1152</v>
      </c>
    </row>
    <row r="2087" spans="1:4" x14ac:dyDescent="0.25">
      <c r="A2087" t="s">
        <v>1153</v>
      </c>
    </row>
    <row r="2088" spans="1:4" x14ac:dyDescent="0.25">
      <c r="B2088" t="s">
        <v>8</v>
      </c>
      <c r="C2088" t="s">
        <v>8</v>
      </c>
      <c r="D2088" t="s">
        <v>8</v>
      </c>
    </row>
    <row r="2089" spans="1:4" x14ac:dyDescent="0.25">
      <c r="A2089" t="s">
        <v>1154</v>
      </c>
    </row>
    <row r="2091" spans="1:4" x14ac:dyDescent="0.25">
      <c r="A2091" t="s">
        <v>1155</v>
      </c>
    </row>
    <row r="2092" spans="1:4" x14ac:dyDescent="0.25">
      <c r="B2092" t="s">
        <v>8</v>
      </c>
      <c r="C2092" t="s">
        <v>8</v>
      </c>
      <c r="D2092" t="s">
        <v>8</v>
      </c>
    </row>
    <row r="2093" spans="1:4" x14ac:dyDescent="0.25">
      <c r="A2093" t="s">
        <v>1156</v>
      </c>
    </row>
    <row r="2095" spans="1:4" x14ac:dyDescent="0.25">
      <c r="A2095" t="s">
        <v>1157</v>
      </c>
    </row>
    <row r="2096" spans="1:4" x14ac:dyDescent="0.25">
      <c r="B2096" t="s">
        <v>8</v>
      </c>
      <c r="C2096" t="s">
        <v>8</v>
      </c>
      <c r="D2096" t="s">
        <v>8</v>
      </c>
    </row>
    <row r="2097" spans="1:4" x14ac:dyDescent="0.25">
      <c r="A2097" t="s">
        <v>1158</v>
      </c>
    </row>
    <row r="2099" spans="1:4" x14ac:dyDescent="0.25">
      <c r="A2099" t="s">
        <v>1159</v>
      </c>
    </row>
    <row r="2100" spans="1:4" x14ac:dyDescent="0.25">
      <c r="B2100" t="s">
        <v>8</v>
      </c>
      <c r="C2100" t="s">
        <v>8</v>
      </c>
      <c r="D2100" t="s">
        <v>8</v>
      </c>
    </row>
    <row r="2101" spans="1:4" x14ac:dyDescent="0.25">
      <c r="A2101" t="s">
        <v>1160</v>
      </c>
    </row>
    <row r="2103" spans="1:4" x14ac:dyDescent="0.25">
      <c r="A2103" t="s">
        <v>1161</v>
      </c>
    </row>
    <row r="2104" spans="1:4" x14ac:dyDescent="0.25">
      <c r="B2104" t="s">
        <v>8</v>
      </c>
      <c r="C2104" t="s">
        <v>8</v>
      </c>
      <c r="D2104" t="s">
        <v>8</v>
      </c>
    </row>
    <row r="2105" spans="1:4" x14ac:dyDescent="0.25">
      <c r="A2105" t="s">
        <v>1162</v>
      </c>
    </row>
    <row r="2107" spans="1:4" x14ac:dyDescent="0.25">
      <c r="A2107" t="s">
        <v>1163</v>
      </c>
    </row>
    <row r="2108" spans="1:4" x14ac:dyDescent="0.25">
      <c r="B2108" t="s">
        <v>8</v>
      </c>
      <c r="C2108" t="s">
        <v>8</v>
      </c>
      <c r="D2108" t="s">
        <v>8</v>
      </c>
    </row>
    <row r="2109" spans="1:4" x14ac:dyDescent="0.25">
      <c r="A2109" t="s">
        <v>1164</v>
      </c>
    </row>
    <row r="2111" spans="1:4" x14ac:dyDescent="0.25">
      <c r="B2111" t="s">
        <v>8</v>
      </c>
      <c r="C2111" t="s">
        <v>8</v>
      </c>
      <c r="D2111" t="s">
        <v>8</v>
      </c>
    </row>
    <row r="2112" spans="1:4" x14ac:dyDescent="0.25">
      <c r="A2112" t="s">
        <v>1165</v>
      </c>
    </row>
    <row r="2114" spans="1:4" x14ac:dyDescent="0.25">
      <c r="A2114" t="s">
        <v>1166</v>
      </c>
    </row>
    <row r="2116" spans="1:4" x14ac:dyDescent="0.25">
      <c r="A2116" t="s">
        <v>1167</v>
      </c>
    </row>
    <row r="2118" spans="1:4" x14ac:dyDescent="0.25">
      <c r="A2118" t="s">
        <v>1168</v>
      </c>
      <c r="B2118" s="1">
        <v>19843.900000000001</v>
      </c>
      <c r="C2118" s="1">
        <v>19843.900000000001</v>
      </c>
    </row>
    <row r="2119" spans="1:4" x14ac:dyDescent="0.25">
      <c r="A2119" t="s">
        <v>1169</v>
      </c>
      <c r="B2119">
        <v>40</v>
      </c>
      <c r="C2119">
        <v>40</v>
      </c>
    </row>
    <row r="2120" spans="1:4" x14ac:dyDescent="0.25">
      <c r="A2120" t="s">
        <v>1170</v>
      </c>
      <c r="B2120" s="1">
        <v>430903.72</v>
      </c>
      <c r="C2120" s="1">
        <v>430903.72</v>
      </c>
    </row>
    <row r="2121" spans="1:4" x14ac:dyDescent="0.25">
      <c r="A2121" t="s">
        <v>1171</v>
      </c>
      <c r="B2121" s="1">
        <v>1229.45</v>
      </c>
      <c r="C2121" s="1">
        <v>1229.45</v>
      </c>
    </row>
    <row r="2122" spans="1:4" x14ac:dyDescent="0.25">
      <c r="A2122" t="s">
        <v>1172</v>
      </c>
      <c r="B2122" s="1">
        <v>83772852.030000001</v>
      </c>
      <c r="C2122" s="1">
        <v>83772852.030000001</v>
      </c>
    </row>
    <row r="2123" spans="1:4" x14ac:dyDescent="0.25">
      <c r="A2123" t="s">
        <v>1173</v>
      </c>
      <c r="B2123" s="1">
        <v>61324839.159999996</v>
      </c>
      <c r="C2123" s="1">
        <v>61324839.159999996</v>
      </c>
    </row>
    <row r="2124" spans="1:4" x14ac:dyDescent="0.25">
      <c r="B2124" t="s">
        <v>8</v>
      </c>
      <c r="C2124" t="s">
        <v>8</v>
      </c>
      <c r="D2124" t="s">
        <v>8</v>
      </c>
    </row>
    <row r="2125" spans="1:4" x14ac:dyDescent="0.25">
      <c r="A2125" t="s">
        <v>1174</v>
      </c>
      <c r="B2125" s="1">
        <v>145549708.25999999</v>
      </c>
      <c r="C2125" s="1">
        <v>145549708.25999999</v>
      </c>
    </row>
    <row r="2127" spans="1:4" x14ac:dyDescent="0.25">
      <c r="A2127" t="s">
        <v>1175</v>
      </c>
    </row>
    <row r="2129" spans="1:4" x14ac:dyDescent="0.25">
      <c r="A2129" t="s">
        <v>1176</v>
      </c>
      <c r="B2129" s="1">
        <v>175199.71</v>
      </c>
      <c r="C2129" s="1">
        <v>175199.71</v>
      </c>
    </row>
    <row r="2130" spans="1:4" x14ac:dyDescent="0.25">
      <c r="A2130" t="s">
        <v>1177</v>
      </c>
      <c r="B2130" s="1">
        <v>1442.5</v>
      </c>
      <c r="C2130" s="1">
        <v>1442.5</v>
      </c>
    </row>
    <row r="2131" spans="1:4" x14ac:dyDescent="0.25">
      <c r="A2131" t="s">
        <v>1178</v>
      </c>
      <c r="B2131" s="1">
        <v>39783.74</v>
      </c>
      <c r="C2131" s="1">
        <v>39783.74</v>
      </c>
    </row>
    <row r="2132" spans="1:4" x14ac:dyDescent="0.25">
      <c r="B2132" t="s">
        <v>8</v>
      </c>
      <c r="C2132" t="s">
        <v>8</v>
      </c>
      <c r="D2132" t="s">
        <v>8</v>
      </c>
    </row>
    <row r="2133" spans="1:4" x14ac:dyDescent="0.25">
      <c r="A2133" t="s">
        <v>1179</v>
      </c>
      <c r="B2133" s="1">
        <v>216425.95</v>
      </c>
      <c r="C2133" s="1">
        <v>216425.95</v>
      </c>
    </row>
    <row r="2135" spans="1:4" x14ac:dyDescent="0.25">
      <c r="A2135" t="s">
        <v>1180</v>
      </c>
    </row>
    <row r="2136" spans="1:4" x14ac:dyDescent="0.25">
      <c r="B2136" t="s">
        <v>8</v>
      </c>
      <c r="C2136" t="s">
        <v>8</v>
      </c>
      <c r="D2136" t="s">
        <v>8</v>
      </c>
    </row>
    <row r="2137" spans="1:4" x14ac:dyDescent="0.25">
      <c r="A2137" t="s">
        <v>1181</v>
      </c>
    </row>
    <row r="2139" spans="1:4" x14ac:dyDescent="0.25">
      <c r="A2139" t="s">
        <v>1182</v>
      </c>
    </row>
    <row r="2140" spans="1:4" x14ac:dyDescent="0.25">
      <c r="B2140" t="s">
        <v>8</v>
      </c>
      <c r="C2140" t="s">
        <v>8</v>
      </c>
      <c r="D2140" t="s">
        <v>8</v>
      </c>
    </row>
    <row r="2141" spans="1:4" x14ac:dyDescent="0.25">
      <c r="A2141" t="s">
        <v>1183</v>
      </c>
    </row>
    <row r="2143" spans="1:4" x14ac:dyDescent="0.25">
      <c r="A2143" t="s">
        <v>1184</v>
      </c>
    </row>
    <row r="2144" spans="1:4" x14ac:dyDescent="0.25">
      <c r="B2144" t="s">
        <v>8</v>
      </c>
      <c r="C2144" t="s">
        <v>8</v>
      </c>
      <c r="D2144" t="s">
        <v>8</v>
      </c>
    </row>
    <row r="2145" spans="1:4" x14ac:dyDescent="0.25">
      <c r="A2145" t="s">
        <v>1185</v>
      </c>
    </row>
    <row r="2147" spans="1:4" x14ac:dyDescent="0.25">
      <c r="A2147" t="s">
        <v>1186</v>
      </c>
    </row>
    <row r="2149" spans="1:4" x14ac:dyDescent="0.25">
      <c r="A2149" t="s">
        <v>2380</v>
      </c>
      <c r="B2149" s="1">
        <v>2687.07</v>
      </c>
      <c r="C2149" s="1">
        <v>2687.07</v>
      </c>
    </row>
    <row r="2150" spans="1:4" x14ac:dyDescent="0.25">
      <c r="A2150" t="s">
        <v>1187</v>
      </c>
      <c r="B2150" s="1">
        <v>355579.82</v>
      </c>
      <c r="C2150" s="1">
        <v>355579.82</v>
      </c>
    </row>
    <row r="2151" spans="1:4" x14ac:dyDescent="0.25">
      <c r="A2151" t="s">
        <v>1188</v>
      </c>
      <c r="B2151" s="1">
        <v>43687767.229999997</v>
      </c>
      <c r="C2151" s="1">
        <v>43687767.229999997</v>
      </c>
    </row>
    <row r="2152" spans="1:4" x14ac:dyDescent="0.25">
      <c r="A2152" t="s">
        <v>1189</v>
      </c>
      <c r="B2152" s="1">
        <v>154678.67000000001</v>
      </c>
      <c r="C2152" s="1">
        <v>154678.67000000001</v>
      </c>
    </row>
    <row r="2153" spans="1:4" x14ac:dyDescent="0.25">
      <c r="B2153" t="s">
        <v>8</v>
      </c>
      <c r="C2153" t="s">
        <v>8</v>
      </c>
      <c r="D2153" t="s">
        <v>8</v>
      </c>
    </row>
    <row r="2154" spans="1:4" x14ac:dyDescent="0.25">
      <c r="A2154" t="s">
        <v>1190</v>
      </c>
      <c r="B2154" s="1">
        <v>44200712.789999999</v>
      </c>
      <c r="C2154" s="1">
        <v>44200712.789999999</v>
      </c>
    </row>
    <row r="2156" spans="1:4" x14ac:dyDescent="0.25">
      <c r="B2156" t="s">
        <v>8</v>
      </c>
      <c r="C2156" t="s">
        <v>8</v>
      </c>
      <c r="D2156" t="s">
        <v>8</v>
      </c>
    </row>
    <row r="2157" spans="1:4" x14ac:dyDescent="0.25">
      <c r="A2157" t="s">
        <v>1191</v>
      </c>
      <c r="B2157" s="1">
        <v>189966847</v>
      </c>
      <c r="C2157" s="1">
        <v>189966847</v>
      </c>
    </row>
    <row r="2159" spans="1:4" x14ac:dyDescent="0.25">
      <c r="A2159" t="s">
        <v>1192</v>
      </c>
    </row>
    <row r="2161" spans="1:4" x14ac:dyDescent="0.25">
      <c r="A2161" t="s">
        <v>1193</v>
      </c>
    </row>
    <row r="2162" spans="1:4" x14ac:dyDescent="0.25">
      <c r="B2162" t="s">
        <v>8</v>
      </c>
      <c r="C2162" t="s">
        <v>8</v>
      </c>
      <c r="D2162" t="s">
        <v>8</v>
      </c>
    </row>
    <row r="2163" spans="1:4" x14ac:dyDescent="0.25">
      <c r="A2163" t="s">
        <v>1194</v>
      </c>
    </row>
    <row r="2165" spans="1:4" x14ac:dyDescent="0.25">
      <c r="A2165" t="s">
        <v>1195</v>
      </c>
    </row>
    <row r="2166" spans="1:4" x14ac:dyDescent="0.25">
      <c r="B2166" t="s">
        <v>8</v>
      </c>
      <c r="C2166" t="s">
        <v>8</v>
      </c>
      <c r="D2166" t="s">
        <v>8</v>
      </c>
    </row>
    <row r="2167" spans="1:4" x14ac:dyDescent="0.25">
      <c r="A2167" t="s">
        <v>1196</v>
      </c>
    </row>
    <row r="2169" spans="1:4" x14ac:dyDescent="0.25">
      <c r="A2169" t="s">
        <v>1197</v>
      </c>
    </row>
    <row r="2170" spans="1:4" x14ac:dyDescent="0.25">
      <c r="B2170" t="s">
        <v>8</v>
      </c>
      <c r="C2170" t="s">
        <v>8</v>
      </c>
      <c r="D2170" t="s">
        <v>8</v>
      </c>
    </row>
    <row r="2171" spans="1:4" x14ac:dyDescent="0.25">
      <c r="A2171" t="s">
        <v>1198</v>
      </c>
    </row>
    <row r="2173" spans="1:4" x14ac:dyDescent="0.25">
      <c r="B2173" t="s">
        <v>8</v>
      </c>
      <c r="C2173" t="s">
        <v>8</v>
      </c>
      <c r="D2173" t="s">
        <v>8</v>
      </c>
    </row>
    <row r="2174" spans="1:4" x14ac:dyDescent="0.25">
      <c r="A2174" t="s">
        <v>1199</v>
      </c>
    </row>
    <row r="2176" spans="1:4" x14ac:dyDescent="0.25">
      <c r="A2176" t="s">
        <v>1200</v>
      </c>
    </row>
    <row r="2178" spans="1:4" x14ac:dyDescent="0.25">
      <c r="A2178" t="s">
        <v>1201</v>
      </c>
    </row>
    <row r="2179" spans="1:4" x14ac:dyDescent="0.25">
      <c r="B2179" t="s">
        <v>8</v>
      </c>
      <c r="C2179" t="s">
        <v>8</v>
      </c>
      <c r="D2179" t="s">
        <v>8</v>
      </c>
    </row>
    <row r="2180" spans="1:4" x14ac:dyDescent="0.25">
      <c r="A2180" t="s">
        <v>1202</v>
      </c>
    </row>
    <row r="2182" spans="1:4" x14ac:dyDescent="0.25">
      <c r="A2182" t="s">
        <v>1203</v>
      </c>
    </row>
    <row r="2183" spans="1:4" x14ac:dyDescent="0.25">
      <c r="B2183" t="s">
        <v>8</v>
      </c>
      <c r="C2183" t="s">
        <v>8</v>
      </c>
      <c r="D2183" t="s">
        <v>8</v>
      </c>
    </row>
    <row r="2184" spans="1:4" x14ac:dyDescent="0.25">
      <c r="A2184" t="s">
        <v>1204</v>
      </c>
    </row>
    <row r="2186" spans="1:4" x14ac:dyDescent="0.25">
      <c r="B2186" t="s">
        <v>8</v>
      </c>
      <c r="C2186" t="s">
        <v>8</v>
      </c>
      <c r="D2186" t="s">
        <v>8</v>
      </c>
    </row>
    <row r="2187" spans="1:4" x14ac:dyDescent="0.25">
      <c r="A2187" t="s">
        <v>1205</v>
      </c>
    </row>
    <row r="2189" spans="1:4" x14ac:dyDescent="0.25">
      <c r="A2189" t="s">
        <v>1206</v>
      </c>
    </row>
    <row r="2191" spans="1:4" x14ac:dyDescent="0.25">
      <c r="A2191" t="s">
        <v>1207</v>
      </c>
    </row>
    <row r="2192" spans="1:4" x14ac:dyDescent="0.25">
      <c r="B2192" t="s">
        <v>8</v>
      </c>
      <c r="C2192" t="s">
        <v>8</v>
      </c>
      <c r="D2192" t="s">
        <v>8</v>
      </c>
    </row>
    <row r="2193" spans="1:4" x14ac:dyDescent="0.25">
      <c r="A2193" t="s">
        <v>1208</v>
      </c>
    </row>
    <row r="2195" spans="1:4" x14ac:dyDescent="0.25">
      <c r="A2195" t="s">
        <v>1209</v>
      </c>
    </row>
    <row r="2196" spans="1:4" x14ac:dyDescent="0.25">
      <c r="B2196" t="s">
        <v>8</v>
      </c>
      <c r="C2196" t="s">
        <v>8</v>
      </c>
      <c r="D2196" t="s">
        <v>8</v>
      </c>
    </row>
    <row r="2197" spans="1:4" x14ac:dyDescent="0.25">
      <c r="A2197" t="s">
        <v>1210</v>
      </c>
    </row>
    <row r="2199" spans="1:4" x14ac:dyDescent="0.25">
      <c r="B2199" t="s">
        <v>8</v>
      </c>
      <c r="C2199" t="s">
        <v>8</v>
      </c>
      <c r="D2199" t="s">
        <v>8</v>
      </c>
    </row>
    <row r="2200" spans="1:4" x14ac:dyDescent="0.25">
      <c r="A2200" t="s">
        <v>1211</v>
      </c>
    </row>
    <row r="2202" spans="1:4" x14ac:dyDescent="0.25">
      <c r="A2202" t="s">
        <v>1212</v>
      </c>
    </row>
    <row r="2203" spans="1:4" x14ac:dyDescent="0.25">
      <c r="B2203" t="s">
        <v>8</v>
      </c>
      <c r="C2203" t="s">
        <v>8</v>
      </c>
      <c r="D2203" t="s">
        <v>8</v>
      </c>
    </row>
    <row r="2204" spans="1:4" x14ac:dyDescent="0.25">
      <c r="A2204" t="s">
        <v>1213</v>
      </c>
    </row>
    <row r="2206" spans="1:4" x14ac:dyDescent="0.25">
      <c r="A2206" t="s">
        <v>1214</v>
      </c>
    </row>
    <row r="2208" spans="1:4" x14ac:dyDescent="0.25">
      <c r="A2208" t="s">
        <v>1215</v>
      </c>
    </row>
    <row r="2210" spans="1:4" x14ac:dyDescent="0.25">
      <c r="A2210" t="s">
        <v>1216</v>
      </c>
      <c r="B2210" s="1">
        <v>3676039.71</v>
      </c>
      <c r="C2210" s="1">
        <v>3676039.71</v>
      </c>
    </row>
    <row r="2211" spans="1:4" x14ac:dyDescent="0.25">
      <c r="A2211" t="s">
        <v>1217</v>
      </c>
      <c r="B2211" s="1">
        <v>1085629.8</v>
      </c>
      <c r="C2211" s="1">
        <v>1085629.8</v>
      </c>
    </row>
    <row r="2212" spans="1:4" x14ac:dyDescent="0.25">
      <c r="A2212" t="s">
        <v>1218</v>
      </c>
      <c r="B2212" s="1">
        <v>1554392.59</v>
      </c>
      <c r="C2212" s="1">
        <v>1554392.59</v>
      </c>
    </row>
    <row r="2213" spans="1:4" x14ac:dyDescent="0.25">
      <c r="A2213" t="s">
        <v>1219</v>
      </c>
      <c r="B2213" s="1">
        <v>4465329.12</v>
      </c>
      <c r="C2213" s="1">
        <v>4465329.12</v>
      </c>
    </row>
    <row r="2214" spans="1:4" x14ac:dyDescent="0.25">
      <c r="A2214" t="s">
        <v>1220</v>
      </c>
      <c r="B2214" s="1">
        <v>9617546.0999999996</v>
      </c>
      <c r="C2214" s="1">
        <v>9617546.0999999996</v>
      </c>
    </row>
    <row r="2215" spans="1:4" x14ac:dyDescent="0.25">
      <c r="A2215" t="s">
        <v>1221</v>
      </c>
      <c r="B2215" s="1">
        <v>3223483.7</v>
      </c>
      <c r="C2215" s="1">
        <v>3223483.7</v>
      </c>
    </row>
    <row r="2216" spans="1:4" x14ac:dyDescent="0.25">
      <c r="B2216" t="s">
        <v>8</v>
      </c>
      <c r="C2216" t="s">
        <v>8</v>
      </c>
      <c r="D2216" t="s">
        <v>8</v>
      </c>
    </row>
    <row r="2217" spans="1:4" x14ac:dyDescent="0.25">
      <c r="A2217" t="s">
        <v>1222</v>
      </c>
      <c r="B2217" s="1">
        <v>23622421.02</v>
      </c>
      <c r="C2217" s="1">
        <v>23622421.02</v>
      </c>
    </row>
    <row r="2219" spans="1:4" x14ac:dyDescent="0.25">
      <c r="A2219" t="s">
        <v>1223</v>
      </c>
    </row>
    <row r="2221" spans="1:4" x14ac:dyDescent="0.25">
      <c r="A2221" t="s">
        <v>1224</v>
      </c>
      <c r="B2221" s="1">
        <v>378519.81</v>
      </c>
      <c r="C2221" s="1">
        <v>378519.81</v>
      </c>
    </row>
    <row r="2222" spans="1:4" x14ac:dyDescent="0.25">
      <c r="B2222" t="s">
        <v>8</v>
      </c>
      <c r="C2222" t="s">
        <v>8</v>
      </c>
      <c r="D2222" t="s">
        <v>8</v>
      </c>
    </row>
    <row r="2223" spans="1:4" x14ac:dyDescent="0.25">
      <c r="A2223" t="s">
        <v>1225</v>
      </c>
      <c r="B2223" s="1">
        <v>378519.81</v>
      </c>
      <c r="C2223" s="1">
        <v>378519.81</v>
      </c>
    </row>
    <row r="2225" spans="1:4" x14ac:dyDescent="0.25">
      <c r="B2225" t="s">
        <v>8</v>
      </c>
      <c r="C2225" t="s">
        <v>8</v>
      </c>
      <c r="D2225" t="s">
        <v>8</v>
      </c>
    </row>
    <row r="2226" spans="1:4" x14ac:dyDescent="0.25">
      <c r="A2226" t="s">
        <v>1226</v>
      </c>
      <c r="B2226" s="1">
        <v>24000940.829999998</v>
      </c>
      <c r="C2226" s="1">
        <v>24000940.829999998</v>
      </c>
    </row>
    <row r="2228" spans="1:4" x14ac:dyDescent="0.25">
      <c r="A2228" t="s">
        <v>1227</v>
      </c>
    </row>
    <row r="2230" spans="1:4" x14ac:dyDescent="0.25">
      <c r="A2230" t="s">
        <v>1228</v>
      </c>
    </row>
    <row r="2232" spans="1:4" x14ac:dyDescent="0.25">
      <c r="A2232" t="s">
        <v>1229</v>
      </c>
      <c r="B2232" s="1">
        <v>417578.84</v>
      </c>
      <c r="C2232" s="1">
        <v>417578.84</v>
      </c>
    </row>
    <row r="2233" spans="1:4" x14ac:dyDescent="0.25">
      <c r="A2233" t="s">
        <v>1230</v>
      </c>
      <c r="B2233" s="1">
        <v>3783952.58</v>
      </c>
      <c r="C2233" s="1">
        <v>3783952.58</v>
      </c>
    </row>
    <row r="2234" spans="1:4" x14ac:dyDescent="0.25">
      <c r="A2234" t="s">
        <v>1231</v>
      </c>
      <c r="B2234" s="1">
        <v>562347.6</v>
      </c>
      <c r="C2234" s="1">
        <v>1239330.08</v>
      </c>
      <c r="D2234" s="1">
        <v>-676982.48</v>
      </c>
    </row>
    <row r="2235" spans="1:4" x14ac:dyDescent="0.25">
      <c r="B2235" t="s">
        <v>8</v>
      </c>
      <c r="C2235" t="s">
        <v>8</v>
      </c>
      <c r="D2235" t="s">
        <v>8</v>
      </c>
    </row>
    <row r="2236" spans="1:4" x14ac:dyDescent="0.25">
      <c r="A2236" t="s">
        <v>1232</v>
      </c>
      <c r="B2236" s="1">
        <v>4763879.0199999996</v>
      </c>
      <c r="C2236" s="1">
        <v>5440861.5</v>
      </c>
      <c r="D2236" s="1">
        <v>-676982.48</v>
      </c>
    </row>
    <row r="2238" spans="1:4" x14ac:dyDescent="0.25">
      <c r="B2238" t="s">
        <v>8</v>
      </c>
      <c r="C2238" t="s">
        <v>8</v>
      </c>
      <c r="D2238" t="s">
        <v>8</v>
      </c>
    </row>
    <row r="2239" spans="1:4" x14ac:dyDescent="0.25">
      <c r="A2239" t="s">
        <v>1233</v>
      </c>
      <c r="B2239" s="1">
        <v>4763879.0199999996</v>
      </c>
      <c r="C2239" s="1">
        <v>5440861.5</v>
      </c>
      <c r="D2239" s="1">
        <v>-676982.48</v>
      </c>
    </row>
    <row r="2241" spans="1:4" x14ac:dyDescent="0.25">
      <c r="A2241" t="s">
        <v>1234</v>
      </c>
    </row>
    <row r="2243" spans="1:4" x14ac:dyDescent="0.25">
      <c r="A2243" t="s">
        <v>1235</v>
      </c>
    </row>
    <row r="2245" spans="1:4" x14ac:dyDescent="0.25">
      <c r="A2245" t="s">
        <v>1236</v>
      </c>
      <c r="B2245" s="1">
        <v>127841.34</v>
      </c>
      <c r="C2245" s="1">
        <v>127841.34</v>
      </c>
    </row>
    <row r="2246" spans="1:4" x14ac:dyDescent="0.25">
      <c r="A2246" t="s">
        <v>1237</v>
      </c>
      <c r="B2246" s="1">
        <v>360238.84</v>
      </c>
      <c r="C2246" s="1">
        <v>360238.84</v>
      </c>
    </row>
    <row r="2247" spans="1:4" x14ac:dyDescent="0.25">
      <c r="A2247" t="s">
        <v>1238</v>
      </c>
      <c r="B2247" s="1">
        <v>371596.17</v>
      </c>
      <c r="C2247" s="1">
        <v>248413.58</v>
      </c>
      <c r="D2247" s="1">
        <v>123182.59</v>
      </c>
    </row>
    <row r="2248" spans="1:4" x14ac:dyDescent="0.25">
      <c r="B2248" t="s">
        <v>8</v>
      </c>
      <c r="C2248" t="s">
        <v>8</v>
      </c>
      <c r="D2248" t="s">
        <v>8</v>
      </c>
    </row>
    <row r="2249" spans="1:4" x14ac:dyDescent="0.25">
      <c r="A2249" t="s">
        <v>1239</v>
      </c>
      <c r="B2249" s="1">
        <v>859676.35</v>
      </c>
      <c r="C2249" s="1">
        <v>736493.76</v>
      </c>
      <c r="D2249" s="1">
        <v>123182.59</v>
      </c>
    </row>
    <row r="2251" spans="1:4" x14ac:dyDescent="0.25">
      <c r="B2251" t="s">
        <v>8</v>
      </c>
      <c r="C2251" t="s">
        <v>8</v>
      </c>
      <c r="D2251" t="s">
        <v>8</v>
      </c>
    </row>
    <row r="2252" spans="1:4" x14ac:dyDescent="0.25">
      <c r="A2252" t="s">
        <v>1240</v>
      </c>
      <c r="B2252" s="1">
        <v>859676.35</v>
      </c>
      <c r="C2252" s="1">
        <v>736493.76</v>
      </c>
      <c r="D2252" s="1">
        <v>123182.59</v>
      </c>
    </row>
    <row r="2254" spans="1:4" x14ac:dyDescent="0.25">
      <c r="A2254" t="s">
        <v>1241</v>
      </c>
    </row>
    <row r="2255" spans="1:4" x14ac:dyDescent="0.25">
      <c r="B2255" t="s">
        <v>8</v>
      </c>
      <c r="C2255" t="s">
        <v>8</v>
      </c>
      <c r="D2255" t="s">
        <v>8</v>
      </c>
    </row>
    <row r="2256" spans="1:4" x14ac:dyDescent="0.25">
      <c r="A2256" t="s">
        <v>1242</v>
      </c>
    </row>
    <row r="2258" spans="1:4" x14ac:dyDescent="0.25">
      <c r="A2258" t="s">
        <v>1243</v>
      </c>
    </row>
    <row r="2259" spans="1:4" x14ac:dyDescent="0.25">
      <c r="B2259" t="s">
        <v>8</v>
      </c>
      <c r="C2259" t="s">
        <v>8</v>
      </c>
      <c r="D2259" t="s">
        <v>8</v>
      </c>
    </row>
    <row r="2260" spans="1:4" x14ac:dyDescent="0.25">
      <c r="A2260" t="s">
        <v>1244</v>
      </c>
    </row>
    <row r="2262" spans="1:4" x14ac:dyDescent="0.25">
      <c r="A2262" t="s">
        <v>1245</v>
      </c>
    </row>
    <row r="2263" spans="1:4" x14ac:dyDescent="0.25">
      <c r="B2263" t="s">
        <v>8</v>
      </c>
      <c r="C2263" t="s">
        <v>8</v>
      </c>
      <c r="D2263" t="s">
        <v>8</v>
      </c>
    </row>
    <row r="2264" spans="1:4" x14ac:dyDescent="0.25">
      <c r="A2264" t="s">
        <v>1246</v>
      </c>
    </row>
    <row r="2266" spans="1:4" x14ac:dyDescent="0.25">
      <c r="A2266" t="s">
        <v>1247</v>
      </c>
    </row>
    <row r="2267" spans="1:4" x14ac:dyDescent="0.25">
      <c r="B2267" t="s">
        <v>8</v>
      </c>
      <c r="C2267" t="s">
        <v>8</v>
      </c>
      <c r="D2267" t="s">
        <v>8</v>
      </c>
    </row>
    <row r="2268" spans="1:4" x14ac:dyDescent="0.25">
      <c r="A2268" t="s">
        <v>1248</v>
      </c>
    </row>
    <row r="2270" spans="1:4" x14ac:dyDescent="0.25">
      <c r="A2270" t="s">
        <v>1249</v>
      </c>
    </row>
    <row r="2271" spans="1:4" x14ac:dyDescent="0.25">
      <c r="B2271" t="s">
        <v>8</v>
      </c>
      <c r="C2271" t="s">
        <v>8</v>
      </c>
      <c r="D2271" t="s">
        <v>8</v>
      </c>
    </row>
    <row r="2272" spans="1:4" x14ac:dyDescent="0.25">
      <c r="A2272" t="s">
        <v>1250</v>
      </c>
    </row>
    <row r="2274" spans="1:4" x14ac:dyDescent="0.25">
      <c r="A2274" t="s">
        <v>1251</v>
      </c>
    </row>
    <row r="2275" spans="1:4" x14ac:dyDescent="0.25">
      <c r="B2275" t="s">
        <v>8</v>
      </c>
      <c r="C2275" t="s">
        <v>8</v>
      </c>
      <c r="D2275" t="s">
        <v>8</v>
      </c>
    </row>
    <row r="2276" spans="1:4" x14ac:dyDescent="0.25">
      <c r="A2276" t="s">
        <v>1252</v>
      </c>
    </row>
    <row r="2278" spans="1:4" x14ac:dyDescent="0.25">
      <c r="A2278" t="s">
        <v>1253</v>
      </c>
    </row>
    <row r="2279" spans="1:4" x14ac:dyDescent="0.25">
      <c r="B2279" t="s">
        <v>8</v>
      </c>
      <c r="C2279" t="s">
        <v>8</v>
      </c>
      <c r="D2279" t="s">
        <v>8</v>
      </c>
    </row>
    <row r="2280" spans="1:4" x14ac:dyDescent="0.25">
      <c r="A2280" t="s">
        <v>1254</v>
      </c>
    </row>
    <row r="2282" spans="1:4" x14ac:dyDescent="0.25">
      <c r="A2282" t="s">
        <v>1255</v>
      </c>
    </row>
    <row r="2283" spans="1:4" x14ac:dyDescent="0.25">
      <c r="B2283" t="s">
        <v>8</v>
      </c>
      <c r="C2283" t="s">
        <v>8</v>
      </c>
      <c r="D2283" t="s">
        <v>8</v>
      </c>
    </row>
    <row r="2284" spans="1:4" x14ac:dyDescent="0.25">
      <c r="A2284" t="s">
        <v>1256</v>
      </c>
    </row>
    <row r="2286" spans="1:4" x14ac:dyDescent="0.25">
      <c r="A2286" t="s">
        <v>1257</v>
      </c>
    </row>
    <row r="2287" spans="1:4" x14ac:dyDescent="0.25">
      <c r="B2287" t="s">
        <v>8</v>
      </c>
      <c r="C2287" t="s">
        <v>8</v>
      </c>
      <c r="D2287" t="s">
        <v>8</v>
      </c>
    </row>
    <row r="2288" spans="1:4" x14ac:dyDescent="0.25">
      <c r="A2288" t="s">
        <v>1258</v>
      </c>
    </row>
    <row r="2290" spans="1:4" x14ac:dyDescent="0.25">
      <c r="A2290" t="s">
        <v>1259</v>
      </c>
    </row>
    <row r="2291" spans="1:4" x14ac:dyDescent="0.25">
      <c r="B2291" t="s">
        <v>8</v>
      </c>
      <c r="C2291" t="s">
        <v>8</v>
      </c>
      <c r="D2291" t="s">
        <v>8</v>
      </c>
    </row>
    <row r="2292" spans="1:4" x14ac:dyDescent="0.25">
      <c r="A2292" t="s">
        <v>1260</v>
      </c>
    </row>
    <row r="2294" spans="1:4" x14ac:dyDescent="0.25">
      <c r="A2294" t="s">
        <v>1261</v>
      </c>
    </row>
    <row r="2295" spans="1:4" x14ac:dyDescent="0.25">
      <c r="B2295" t="s">
        <v>8</v>
      </c>
      <c r="C2295" t="s">
        <v>8</v>
      </c>
      <c r="D2295" t="s">
        <v>8</v>
      </c>
    </row>
    <row r="2296" spans="1:4" x14ac:dyDescent="0.25">
      <c r="A2296" t="s">
        <v>1262</v>
      </c>
    </row>
    <row r="2298" spans="1:4" x14ac:dyDescent="0.25">
      <c r="A2298" t="s">
        <v>1263</v>
      </c>
    </row>
    <row r="2299" spans="1:4" x14ac:dyDescent="0.25">
      <c r="B2299" t="s">
        <v>8</v>
      </c>
      <c r="C2299" t="s">
        <v>8</v>
      </c>
      <c r="D2299" t="s">
        <v>8</v>
      </c>
    </row>
    <row r="2300" spans="1:4" x14ac:dyDescent="0.25">
      <c r="A2300" t="s">
        <v>1264</v>
      </c>
    </row>
    <row r="2302" spans="1:4" x14ac:dyDescent="0.25">
      <c r="A2302" t="s">
        <v>1265</v>
      </c>
    </row>
    <row r="2303" spans="1:4" x14ac:dyDescent="0.25">
      <c r="B2303" t="s">
        <v>8</v>
      </c>
      <c r="C2303" t="s">
        <v>8</v>
      </c>
      <c r="D2303" t="s">
        <v>8</v>
      </c>
    </row>
    <row r="2304" spans="1:4" x14ac:dyDescent="0.25">
      <c r="A2304" t="s">
        <v>1266</v>
      </c>
    </row>
    <row r="2306" spans="1:4" x14ac:dyDescent="0.25">
      <c r="A2306" t="s">
        <v>1267</v>
      </c>
    </row>
    <row r="2307" spans="1:4" x14ac:dyDescent="0.25">
      <c r="B2307" t="s">
        <v>8</v>
      </c>
      <c r="C2307" t="s">
        <v>8</v>
      </c>
      <c r="D2307" t="s">
        <v>8</v>
      </c>
    </row>
    <row r="2308" spans="1:4" x14ac:dyDescent="0.25">
      <c r="A2308" t="s">
        <v>1268</v>
      </c>
    </row>
    <row r="2310" spans="1:4" x14ac:dyDescent="0.25">
      <c r="A2310" t="s">
        <v>1269</v>
      </c>
    </row>
    <row r="2312" spans="1:4" x14ac:dyDescent="0.25">
      <c r="A2312" t="s">
        <v>1270</v>
      </c>
    </row>
    <row r="2313" spans="1:4" x14ac:dyDescent="0.25">
      <c r="B2313" t="s">
        <v>8</v>
      </c>
      <c r="C2313" t="s">
        <v>8</v>
      </c>
      <c r="D2313" t="s">
        <v>8</v>
      </c>
    </row>
    <row r="2314" spans="1:4" x14ac:dyDescent="0.25">
      <c r="A2314" t="s">
        <v>1271</v>
      </c>
    </row>
    <row r="2316" spans="1:4" x14ac:dyDescent="0.25">
      <c r="B2316" t="s">
        <v>8</v>
      </c>
      <c r="C2316" t="s">
        <v>8</v>
      </c>
      <c r="D2316" t="s">
        <v>8</v>
      </c>
    </row>
    <row r="2317" spans="1:4" x14ac:dyDescent="0.25">
      <c r="A2317" t="s">
        <v>1272</v>
      </c>
    </row>
    <row r="2319" spans="1:4" x14ac:dyDescent="0.25">
      <c r="A2319" t="s">
        <v>1273</v>
      </c>
    </row>
    <row r="2320" spans="1:4" x14ac:dyDescent="0.25">
      <c r="B2320" t="s">
        <v>8</v>
      </c>
      <c r="C2320" t="s">
        <v>8</v>
      </c>
      <c r="D2320" t="s">
        <v>8</v>
      </c>
    </row>
    <row r="2321" spans="1:4" x14ac:dyDescent="0.25">
      <c r="A2321" t="s">
        <v>1274</v>
      </c>
    </row>
    <row r="2323" spans="1:4" x14ac:dyDescent="0.25">
      <c r="A2323" t="s">
        <v>1275</v>
      </c>
    </row>
    <row r="2325" spans="1:4" x14ac:dyDescent="0.25">
      <c r="A2325" t="s">
        <v>1276</v>
      </c>
    </row>
    <row r="2326" spans="1:4" x14ac:dyDescent="0.25">
      <c r="B2326" t="s">
        <v>8</v>
      </c>
      <c r="C2326" t="s">
        <v>8</v>
      </c>
      <c r="D2326" t="s">
        <v>8</v>
      </c>
    </row>
    <row r="2327" spans="1:4" x14ac:dyDescent="0.25">
      <c r="A2327" t="s">
        <v>1277</v>
      </c>
    </row>
    <row r="2329" spans="1:4" x14ac:dyDescent="0.25">
      <c r="A2329" t="s">
        <v>1278</v>
      </c>
    </row>
    <row r="2330" spans="1:4" x14ac:dyDescent="0.25">
      <c r="B2330" t="s">
        <v>8</v>
      </c>
      <c r="C2330" t="s">
        <v>8</v>
      </c>
      <c r="D2330" t="s">
        <v>8</v>
      </c>
    </row>
    <row r="2331" spans="1:4" x14ac:dyDescent="0.25">
      <c r="A2331" t="s">
        <v>1279</v>
      </c>
    </row>
    <row r="2333" spans="1:4" x14ac:dyDescent="0.25">
      <c r="A2333" t="s">
        <v>1280</v>
      </c>
    </row>
    <row r="2334" spans="1:4" x14ac:dyDescent="0.25">
      <c r="B2334" t="s">
        <v>8</v>
      </c>
      <c r="C2334" t="s">
        <v>8</v>
      </c>
      <c r="D2334" t="s">
        <v>8</v>
      </c>
    </row>
    <row r="2335" spans="1:4" x14ac:dyDescent="0.25">
      <c r="A2335" t="s">
        <v>1281</v>
      </c>
    </row>
    <row r="2337" spans="1:4" x14ac:dyDescent="0.25">
      <c r="B2337" t="s">
        <v>8</v>
      </c>
      <c r="C2337" t="s">
        <v>8</v>
      </c>
      <c r="D2337" t="s">
        <v>8</v>
      </c>
    </row>
    <row r="2338" spans="1:4" x14ac:dyDescent="0.25">
      <c r="A2338" t="s">
        <v>1282</v>
      </c>
    </row>
    <row r="2340" spans="1:4" x14ac:dyDescent="0.25">
      <c r="A2340" t="s">
        <v>1283</v>
      </c>
    </row>
    <row r="2341" spans="1:4" x14ac:dyDescent="0.25">
      <c r="B2341" t="s">
        <v>8</v>
      </c>
      <c r="C2341" t="s">
        <v>8</v>
      </c>
      <c r="D2341" t="s">
        <v>8</v>
      </c>
    </row>
    <row r="2342" spans="1:4" x14ac:dyDescent="0.25">
      <c r="A2342" t="s">
        <v>1284</v>
      </c>
    </row>
    <row r="2344" spans="1:4" x14ac:dyDescent="0.25">
      <c r="A2344" t="s">
        <v>1285</v>
      </c>
    </row>
    <row r="2345" spans="1:4" x14ac:dyDescent="0.25">
      <c r="B2345" t="s">
        <v>8</v>
      </c>
      <c r="C2345" t="s">
        <v>8</v>
      </c>
      <c r="D2345" t="s">
        <v>8</v>
      </c>
    </row>
    <row r="2346" spans="1:4" x14ac:dyDescent="0.25">
      <c r="A2346" t="s">
        <v>1286</v>
      </c>
    </row>
    <row r="2348" spans="1:4" x14ac:dyDescent="0.25">
      <c r="A2348" t="s">
        <v>1287</v>
      </c>
    </row>
    <row r="2349" spans="1:4" x14ac:dyDescent="0.25">
      <c r="B2349" t="s">
        <v>8</v>
      </c>
      <c r="C2349" t="s">
        <v>8</v>
      </c>
      <c r="D2349" t="s">
        <v>8</v>
      </c>
    </row>
    <row r="2350" spans="1:4" x14ac:dyDescent="0.25">
      <c r="A2350" t="s">
        <v>1288</v>
      </c>
    </row>
    <row r="2351" spans="1:4" x14ac:dyDescent="0.25">
      <c r="B2351" t="s">
        <v>8</v>
      </c>
      <c r="C2351" t="s">
        <v>8</v>
      </c>
      <c r="D2351" t="s">
        <v>8</v>
      </c>
    </row>
    <row r="2352" spans="1:4" x14ac:dyDescent="0.25">
      <c r="A2352" t="s">
        <v>1289</v>
      </c>
      <c r="B2352" s="1">
        <v>1841555084.1800001</v>
      </c>
      <c r="C2352" s="1">
        <v>2206829042.3400002</v>
      </c>
      <c r="D2352" s="1">
        <v>-365273958.16000003</v>
      </c>
    </row>
    <row r="2354" spans="1:4" x14ac:dyDescent="0.25">
      <c r="A2354" t="s">
        <v>1290</v>
      </c>
    </row>
    <row r="2356" spans="1:4" x14ac:dyDescent="0.25">
      <c r="A2356" t="s">
        <v>1291</v>
      </c>
    </row>
    <row r="2358" spans="1:4" x14ac:dyDescent="0.25">
      <c r="A2358" t="s">
        <v>1292</v>
      </c>
    </row>
    <row r="2360" spans="1:4" x14ac:dyDescent="0.25">
      <c r="A2360" t="s">
        <v>1293</v>
      </c>
      <c r="C2360" s="1">
        <v>9175000</v>
      </c>
      <c r="D2360" s="1">
        <v>-9175000</v>
      </c>
    </row>
    <row r="2361" spans="1:4" x14ac:dyDescent="0.25">
      <c r="B2361" t="s">
        <v>8</v>
      </c>
      <c r="C2361" t="s">
        <v>8</v>
      </c>
      <c r="D2361" t="s">
        <v>8</v>
      </c>
    </row>
    <row r="2362" spans="1:4" x14ac:dyDescent="0.25">
      <c r="A2362" t="s">
        <v>1294</v>
      </c>
      <c r="C2362" s="1">
        <v>9175000</v>
      </c>
      <c r="D2362" s="1">
        <v>-9175000</v>
      </c>
    </row>
    <row r="2364" spans="1:4" x14ac:dyDescent="0.25">
      <c r="A2364" t="s">
        <v>1295</v>
      </c>
    </row>
    <row r="2365" spans="1:4" x14ac:dyDescent="0.25">
      <c r="B2365" t="s">
        <v>8</v>
      </c>
      <c r="C2365" t="s">
        <v>8</v>
      </c>
      <c r="D2365" t="s">
        <v>8</v>
      </c>
    </row>
    <row r="2366" spans="1:4" x14ac:dyDescent="0.25">
      <c r="A2366" t="s">
        <v>1296</v>
      </c>
    </row>
    <row r="2368" spans="1:4" x14ac:dyDescent="0.25">
      <c r="B2368" t="s">
        <v>8</v>
      </c>
      <c r="C2368" t="s">
        <v>8</v>
      </c>
      <c r="D2368" t="s">
        <v>8</v>
      </c>
    </row>
    <row r="2369" spans="1:4" x14ac:dyDescent="0.25">
      <c r="A2369" t="s">
        <v>1297</v>
      </c>
      <c r="C2369" s="1">
        <v>9175000</v>
      </c>
      <c r="D2369" s="1">
        <v>-9175000</v>
      </c>
    </row>
    <row r="2371" spans="1:4" x14ac:dyDescent="0.25">
      <c r="A2371" t="s">
        <v>1298</v>
      </c>
    </row>
    <row r="2373" spans="1:4" x14ac:dyDescent="0.25">
      <c r="A2373" t="s">
        <v>1299</v>
      </c>
    </row>
    <row r="2374" spans="1:4" x14ac:dyDescent="0.25">
      <c r="B2374" t="s">
        <v>8</v>
      </c>
      <c r="C2374" t="s">
        <v>8</v>
      </c>
      <c r="D2374" t="s">
        <v>8</v>
      </c>
    </row>
    <row r="2375" spans="1:4" x14ac:dyDescent="0.25">
      <c r="A2375" t="s">
        <v>1300</v>
      </c>
    </row>
    <row r="2377" spans="1:4" x14ac:dyDescent="0.25">
      <c r="B2377" t="s">
        <v>8</v>
      </c>
      <c r="C2377" t="s">
        <v>8</v>
      </c>
      <c r="D2377" t="s">
        <v>8</v>
      </c>
    </row>
    <row r="2378" spans="1:4" x14ac:dyDescent="0.25">
      <c r="A2378" t="s">
        <v>1301</v>
      </c>
    </row>
    <row r="2380" spans="1:4" x14ac:dyDescent="0.25">
      <c r="A2380" t="s">
        <v>1302</v>
      </c>
    </row>
    <row r="2382" spans="1:4" x14ac:dyDescent="0.25">
      <c r="A2382" t="s">
        <v>1303</v>
      </c>
    </row>
    <row r="2384" spans="1:4" x14ac:dyDescent="0.25">
      <c r="A2384" t="s">
        <v>1304</v>
      </c>
      <c r="C2384" s="1">
        <v>109706817.76000001</v>
      </c>
      <c r="D2384" s="1">
        <v>-109706817.76000001</v>
      </c>
    </row>
    <row r="2385" spans="1:4" x14ac:dyDescent="0.25">
      <c r="B2385" t="s">
        <v>8</v>
      </c>
      <c r="C2385" t="s">
        <v>8</v>
      </c>
      <c r="D2385" t="s">
        <v>8</v>
      </c>
    </row>
    <row r="2386" spans="1:4" x14ac:dyDescent="0.25">
      <c r="A2386" t="s">
        <v>1305</v>
      </c>
      <c r="C2386" s="1">
        <v>109706817.76000001</v>
      </c>
      <c r="D2386" s="1">
        <v>-109706817.76000001</v>
      </c>
    </row>
    <row r="2388" spans="1:4" x14ac:dyDescent="0.25">
      <c r="B2388" t="s">
        <v>8</v>
      </c>
      <c r="C2388" t="s">
        <v>8</v>
      </c>
      <c r="D2388" t="s">
        <v>8</v>
      </c>
    </row>
    <row r="2389" spans="1:4" x14ac:dyDescent="0.25">
      <c r="A2389" t="s">
        <v>1306</v>
      </c>
      <c r="C2389" s="1">
        <v>109706817.76000001</v>
      </c>
      <c r="D2389" s="1">
        <v>-109706817.76000001</v>
      </c>
    </row>
    <row r="2391" spans="1:4" x14ac:dyDescent="0.25">
      <c r="A2391" t="s">
        <v>1307</v>
      </c>
    </row>
    <row r="2393" spans="1:4" x14ac:dyDescent="0.25">
      <c r="A2393" t="s">
        <v>1308</v>
      </c>
    </row>
    <row r="2394" spans="1:4" x14ac:dyDescent="0.25">
      <c r="B2394" t="s">
        <v>8</v>
      </c>
      <c r="C2394" t="s">
        <v>8</v>
      </c>
      <c r="D2394" t="s">
        <v>8</v>
      </c>
    </row>
    <row r="2395" spans="1:4" x14ac:dyDescent="0.25">
      <c r="A2395" t="s">
        <v>1309</v>
      </c>
    </row>
    <row r="2397" spans="1:4" x14ac:dyDescent="0.25">
      <c r="B2397" t="s">
        <v>8</v>
      </c>
      <c r="C2397" t="s">
        <v>8</v>
      </c>
      <c r="D2397" t="s">
        <v>8</v>
      </c>
    </row>
    <row r="2398" spans="1:4" x14ac:dyDescent="0.25">
      <c r="A2398" t="s">
        <v>1310</v>
      </c>
    </row>
    <row r="2400" spans="1:4" x14ac:dyDescent="0.25">
      <c r="A2400" t="s">
        <v>1311</v>
      </c>
    </row>
    <row r="2401" spans="1:4" x14ac:dyDescent="0.25">
      <c r="B2401" t="s">
        <v>8</v>
      </c>
      <c r="C2401" t="s">
        <v>8</v>
      </c>
      <c r="D2401" t="s">
        <v>8</v>
      </c>
    </row>
    <row r="2402" spans="1:4" x14ac:dyDescent="0.25">
      <c r="A2402" t="s">
        <v>1312</v>
      </c>
    </row>
    <row r="2404" spans="1:4" x14ac:dyDescent="0.25">
      <c r="A2404" t="s">
        <v>1313</v>
      </c>
    </row>
    <row r="2405" spans="1:4" x14ac:dyDescent="0.25">
      <c r="B2405" t="s">
        <v>8</v>
      </c>
      <c r="C2405" t="s">
        <v>8</v>
      </c>
      <c r="D2405" t="s">
        <v>8</v>
      </c>
    </row>
    <row r="2406" spans="1:4" x14ac:dyDescent="0.25">
      <c r="A2406" t="s">
        <v>1314</v>
      </c>
    </row>
    <row r="2408" spans="1:4" x14ac:dyDescent="0.25">
      <c r="A2408" t="s">
        <v>1315</v>
      </c>
    </row>
    <row r="2410" spans="1:4" x14ac:dyDescent="0.25">
      <c r="A2410" t="s">
        <v>1316</v>
      </c>
    </row>
    <row r="2411" spans="1:4" x14ac:dyDescent="0.25">
      <c r="B2411" t="s">
        <v>8</v>
      </c>
      <c r="C2411" t="s">
        <v>8</v>
      </c>
      <c r="D2411" t="s">
        <v>8</v>
      </c>
    </row>
    <row r="2412" spans="1:4" x14ac:dyDescent="0.25">
      <c r="A2412" t="s">
        <v>1317</v>
      </c>
    </row>
    <row r="2414" spans="1:4" x14ac:dyDescent="0.25">
      <c r="B2414" t="s">
        <v>8</v>
      </c>
      <c r="C2414" t="s">
        <v>8</v>
      </c>
      <c r="D2414" t="s">
        <v>8</v>
      </c>
    </row>
    <row r="2415" spans="1:4" x14ac:dyDescent="0.25">
      <c r="A2415" t="s">
        <v>1318</v>
      </c>
    </row>
    <row r="2417" spans="1:4" x14ac:dyDescent="0.25">
      <c r="A2417" t="s">
        <v>1319</v>
      </c>
    </row>
    <row r="2418" spans="1:4" x14ac:dyDescent="0.25">
      <c r="B2418" t="s">
        <v>8</v>
      </c>
      <c r="C2418" t="s">
        <v>8</v>
      </c>
      <c r="D2418" t="s">
        <v>8</v>
      </c>
    </row>
    <row r="2419" spans="1:4" x14ac:dyDescent="0.25">
      <c r="A2419" t="s">
        <v>1320</v>
      </c>
    </row>
    <row r="2421" spans="1:4" x14ac:dyDescent="0.25">
      <c r="A2421" t="s">
        <v>1321</v>
      </c>
    </row>
    <row r="2422" spans="1:4" x14ac:dyDescent="0.25">
      <c r="B2422" t="s">
        <v>8</v>
      </c>
      <c r="C2422" t="s">
        <v>8</v>
      </c>
      <c r="D2422" t="s">
        <v>8</v>
      </c>
    </row>
    <row r="2423" spans="1:4" x14ac:dyDescent="0.25">
      <c r="A2423" t="s">
        <v>1322</v>
      </c>
    </row>
    <row r="2425" spans="1:4" x14ac:dyDescent="0.25">
      <c r="A2425" t="s">
        <v>1323</v>
      </c>
    </row>
    <row r="2427" spans="1:4" x14ac:dyDescent="0.25">
      <c r="A2427" t="s">
        <v>1324</v>
      </c>
    </row>
    <row r="2429" spans="1:4" x14ac:dyDescent="0.25">
      <c r="A2429" t="s">
        <v>1325</v>
      </c>
      <c r="C2429" s="1">
        <v>1835000</v>
      </c>
      <c r="D2429" s="1">
        <v>-1835000</v>
      </c>
    </row>
    <row r="2430" spans="1:4" x14ac:dyDescent="0.25">
      <c r="A2430" t="s">
        <v>1326</v>
      </c>
      <c r="C2430" s="1">
        <v>116837.8</v>
      </c>
      <c r="D2430" s="1">
        <v>-116837.8</v>
      </c>
    </row>
    <row r="2431" spans="1:4" x14ac:dyDescent="0.25">
      <c r="B2431" t="s">
        <v>8</v>
      </c>
      <c r="C2431" t="s">
        <v>8</v>
      </c>
      <c r="D2431" t="s">
        <v>8</v>
      </c>
    </row>
    <row r="2432" spans="1:4" x14ac:dyDescent="0.25">
      <c r="A2432" t="s">
        <v>1327</v>
      </c>
      <c r="C2432" s="1">
        <v>1951837.8</v>
      </c>
      <c r="D2432" s="1">
        <v>-1951837.8</v>
      </c>
    </row>
    <row r="2434" spans="1:4" x14ac:dyDescent="0.25">
      <c r="A2434" t="s">
        <v>1328</v>
      </c>
    </row>
    <row r="2435" spans="1:4" x14ac:dyDescent="0.25">
      <c r="B2435" t="s">
        <v>8</v>
      </c>
      <c r="C2435" t="s">
        <v>8</v>
      </c>
      <c r="D2435" t="s">
        <v>8</v>
      </c>
    </row>
    <row r="2436" spans="1:4" x14ac:dyDescent="0.25">
      <c r="A2436" t="s">
        <v>1329</v>
      </c>
    </row>
    <row r="2438" spans="1:4" x14ac:dyDescent="0.25">
      <c r="A2438" t="s">
        <v>1330</v>
      </c>
    </row>
    <row r="2440" spans="1:4" x14ac:dyDescent="0.25">
      <c r="A2440" t="s">
        <v>1331</v>
      </c>
      <c r="C2440" s="1">
        <v>9829812.7699999996</v>
      </c>
      <c r="D2440" s="1">
        <v>-9829812.7699999996</v>
      </c>
    </row>
    <row r="2441" spans="1:4" x14ac:dyDescent="0.25">
      <c r="A2441" t="s">
        <v>1332</v>
      </c>
      <c r="C2441" s="1">
        <v>2006050.2</v>
      </c>
      <c r="D2441" s="1">
        <v>-2006050.2</v>
      </c>
    </row>
    <row r="2442" spans="1:4" x14ac:dyDescent="0.25">
      <c r="B2442" t="s">
        <v>8</v>
      </c>
      <c r="C2442" t="s">
        <v>8</v>
      </c>
      <c r="D2442" t="s">
        <v>8</v>
      </c>
    </row>
    <row r="2443" spans="1:4" x14ac:dyDescent="0.25">
      <c r="A2443" t="s">
        <v>1333</v>
      </c>
      <c r="C2443" s="1">
        <v>11835862.970000001</v>
      </c>
      <c r="D2443" s="1">
        <v>-11835862.970000001</v>
      </c>
    </row>
    <row r="2445" spans="1:4" x14ac:dyDescent="0.25">
      <c r="B2445" t="s">
        <v>8</v>
      </c>
      <c r="C2445" t="s">
        <v>8</v>
      </c>
      <c r="D2445" t="s">
        <v>8</v>
      </c>
    </row>
    <row r="2446" spans="1:4" x14ac:dyDescent="0.25">
      <c r="A2446" t="s">
        <v>1334</v>
      </c>
      <c r="C2446" s="1">
        <v>13787700.77</v>
      </c>
      <c r="D2446" s="1">
        <v>-13787700.77</v>
      </c>
    </row>
    <row r="2448" spans="1:4" x14ac:dyDescent="0.25">
      <c r="A2448" t="s">
        <v>1335</v>
      </c>
    </row>
    <row r="2449" spans="1:4" x14ac:dyDescent="0.25">
      <c r="B2449" t="s">
        <v>8</v>
      </c>
      <c r="C2449" t="s">
        <v>8</v>
      </c>
      <c r="D2449" t="s">
        <v>8</v>
      </c>
    </row>
    <row r="2450" spans="1:4" x14ac:dyDescent="0.25">
      <c r="A2450" t="s">
        <v>1336</v>
      </c>
    </row>
    <row r="2452" spans="1:4" x14ac:dyDescent="0.25">
      <c r="A2452" t="s">
        <v>1337</v>
      </c>
    </row>
    <row r="2454" spans="1:4" x14ac:dyDescent="0.25">
      <c r="A2454" t="s">
        <v>1338</v>
      </c>
    </row>
    <row r="2456" spans="1:4" x14ac:dyDescent="0.25">
      <c r="A2456" t="s">
        <v>1339</v>
      </c>
      <c r="C2456" s="1">
        <v>32583996.829999998</v>
      </c>
      <c r="D2456" s="1">
        <v>-32583996.829999998</v>
      </c>
    </row>
    <row r="2457" spans="1:4" x14ac:dyDescent="0.25">
      <c r="B2457" t="s">
        <v>8</v>
      </c>
      <c r="C2457" t="s">
        <v>8</v>
      </c>
      <c r="D2457" t="s">
        <v>8</v>
      </c>
    </row>
    <row r="2458" spans="1:4" x14ac:dyDescent="0.25">
      <c r="A2458" t="s">
        <v>1340</v>
      </c>
      <c r="C2458" s="1">
        <v>32583996.829999998</v>
      </c>
      <c r="D2458" s="1">
        <v>-32583996.829999998</v>
      </c>
    </row>
    <row r="2460" spans="1:4" x14ac:dyDescent="0.25">
      <c r="A2460" t="s">
        <v>1341</v>
      </c>
    </row>
    <row r="2461" spans="1:4" x14ac:dyDescent="0.25">
      <c r="B2461" t="s">
        <v>8</v>
      </c>
      <c r="C2461" t="s">
        <v>8</v>
      </c>
      <c r="D2461" t="s">
        <v>8</v>
      </c>
    </row>
    <row r="2462" spans="1:4" x14ac:dyDescent="0.25">
      <c r="A2462" t="s">
        <v>1342</v>
      </c>
    </row>
    <row r="2464" spans="1:4" x14ac:dyDescent="0.25">
      <c r="A2464" t="s">
        <v>1343</v>
      </c>
    </row>
    <row r="2466" spans="1:4" x14ac:dyDescent="0.25">
      <c r="A2466" t="s">
        <v>1344</v>
      </c>
      <c r="C2466" s="1">
        <v>47353082.840000004</v>
      </c>
      <c r="D2466" s="1">
        <v>-47353082.840000004</v>
      </c>
    </row>
    <row r="2467" spans="1:4" x14ac:dyDescent="0.25">
      <c r="B2467" t="s">
        <v>8</v>
      </c>
      <c r="C2467" t="s">
        <v>8</v>
      </c>
      <c r="D2467" t="s">
        <v>8</v>
      </c>
    </row>
    <row r="2468" spans="1:4" x14ac:dyDescent="0.25">
      <c r="A2468" t="s">
        <v>1345</v>
      </c>
      <c r="C2468" s="1">
        <v>47353082.840000004</v>
      </c>
      <c r="D2468" s="1">
        <v>-47353082.840000004</v>
      </c>
    </row>
    <row r="2470" spans="1:4" x14ac:dyDescent="0.25">
      <c r="B2470" t="s">
        <v>8</v>
      </c>
      <c r="C2470" t="s">
        <v>8</v>
      </c>
      <c r="D2470" t="s">
        <v>8</v>
      </c>
    </row>
    <row r="2471" spans="1:4" x14ac:dyDescent="0.25">
      <c r="A2471" t="s">
        <v>1346</v>
      </c>
      <c r="C2471" s="1">
        <v>79937079.670000002</v>
      </c>
      <c r="D2471" s="1">
        <v>-79937079.670000002</v>
      </c>
    </row>
    <row r="2473" spans="1:4" x14ac:dyDescent="0.25">
      <c r="A2473" t="s">
        <v>1347</v>
      </c>
    </row>
    <row r="2474" spans="1:4" x14ac:dyDescent="0.25">
      <c r="B2474" t="s">
        <v>8</v>
      </c>
      <c r="C2474" t="s">
        <v>8</v>
      </c>
      <c r="D2474" t="s">
        <v>8</v>
      </c>
    </row>
    <row r="2475" spans="1:4" x14ac:dyDescent="0.25">
      <c r="A2475" t="s">
        <v>1348</v>
      </c>
    </row>
    <row r="2477" spans="1:4" x14ac:dyDescent="0.25">
      <c r="A2477" t="s">
        <v>1349</v>
      </c>
    </row>
    <row r="2478" spans="1:4" x14ac:dyDescent="0.25">
      <c r="B2478" t="s">
        <v>8</v>
      </c>
      <c r="C2478" t="s">
        <v>8</v>
      </c>
      <c r="D2478" t="s">
        <v>8</v>
      </c>
    </row>
    <row r="2479" spans="1:4" x14ac:dyDescent="0.25">
      <c r="A2479" t="s">
        <v>1350</v>
      </c>
    </row>
    <row r="2481" spans="1:4" x14ac:dyDescent="0.25">
      <c r="A2481" t="s">
        <v>1351</v>
      </c>
    </row>
    <row r="2483" spans="1:4" x14ac:dyDescent="0.25">
      <c r="A2483" t="s">
        <v>1352</v>
      </c>
      <c r="C2483" s="1">
        <v>598215.79</v>
      </c>
      <c r="D2483" s="1">
        <v>-598215.79</v>
      </c>
    </row>
    <row r="2484" spans="1:4" x14ac:dyDescent="0.25">
      <c r="A2484" t="s">
        <v>1353</v>
      </c>
      <c r="C2484" s="1">
        <v>97037.05</v>
      </c>
      <c r="D2484" s="1">
        <v>-97037.05</v>
      </c>
    </row>
    <row r="2485" spans="1:4" x14ac:dyDescent="0.25">
      <c r="B2485" t="s">
        <v>8</v>
      </c>
      <c r="C2485" t="s">
        <v>8</v>
      </c>
      <c r="D2485" t="s">
        <v>8</v>
      </c>
    </row>
    <row r="2486" spans="1:4" x14ac:dyDescent="0.25">
      <c r="A2486" t="s">
        <v>1354</v>
      </c>
      <c r="C2486" s="1">
        <v>695252.84</v>
      </c>
      <c r="D2486" s="1">
        <v>-695252.84</v>
      </c>
    </row>
    <row r="2488" spans="1:4" x14ac:dyDescent="0.25">
      <c r="A2488" t="s">
        <v>2381</v>
      </c>
    </row>
    <row r="2490" spans="1:4" x14ac:dyDescent="0.25">
      <c r="A2490" t="s">
        <v>2382</v>
      </c>
      <c r="C2490" s="1">
        <v>21176.99</v>
      </c>
      <c r="D2490" s="1">
        <v>-21176.99</v>
      </c>
    </row>
    <row r="2491" spans="1:4" x14ac:dyDescent="0.25">
      <c r="B2491" t="s">
        <v>8</v>
      </c>
      <c r="C2491" t="s">
        <v>8</v>
      </c>
      <c r="D2491" t="s">
        <v>8</v>
      </c>
    </row>
    <row r="2492" spans="1:4" x14ac:dyDescent="0.25">
      <c r="A2492" t="s">
        <v>2383</v>
      </c>
      <c r="C2492" s="1">
        <v>21176.99</v>
      </c>
      <c r="D2492" s="1">
        <v>-21176.99</v>
      </c>
    </row>
    <row r="2494" spans="1:4" x14ac:dyDescent="0.25">
      <c r="A2494" t="s">
        <v>1355</v>
      </c>
    </row>
    <row r="2496" spans="1:4" x14ac:dyDescent="0.25">
      <c r="A2496" t="s">
        <v>1356</v>
      </c>
    </row>
    <row r="2497" spans="1:4" x14ac:dyDescent="0.25">
      <c r="B2497" t="s">
        <v>8</v>
      </c>
      <c r="C2497" t="s">
        <v>8</v>
      </c>
      <c r="D2497" t="s">
        <v>8</v>
      </c>
    </row>
    <row r="2498" spans="1:4" x14ac:dyDescent="0.25">
      <c r="A2498" t="s">
        <v>1357</v>
      </c>
    </row>
    <row r="2500" spans="1:4" x14ac:dyDescent="0.25">
      <c r="A2500" t="s">
        <v>1358</v>
      </c>
    </row>
    <row r="2502" spans="1:4" x14ac:dyDescent="0.25">
      <c r="A2502" t="s">
        <v>1359</v>
      </c>
      <c r="B2502" s="1">
        <v>6679099.29</v>
      </c>
      <c r="C2502" s="1">
        <v>129489603.98999999</v>
      </c>
      <c r="D2502" s="1">
        <v>-122810504.7</v>
      </c>
    </row>
    <row r="2503" spans="1:4" x14ac:dyDescent="0.25">
      <c r="B2503" t="s">
        <v>8</v>
      </c>
      <c r="C2503" t="s">
        <v>8</v>
      </c>
      <c r="D2503" t="s">
        <v>8</v>
      </c>
    </row>
    <row r="2504" spans="1:4" x14ac:dyDescent="0.25">
      <c r="A2504" t="s">
        <v>1360</v>
      </c>
      <c r="B2504" s="1">
        <v>6679099.29</v>
      </c>
      <c r="C2504" s="1">
        <v>129489603.98999999</v>
      </c>
      <c r="D2504" s="1">
        <v>-122810504.7</v>
      </c>
    </row>
    <row r="2506" spans="1:4" x14ac:dyDescent="0.25">
      <c r="B2506" t="s">
        <v>8</v>
      </c>
      <c r="C2506" t="s">
        <v>8</v>
      </c>
      <c r="D2506" t="s">
        <v>8</v>
      </c>
    </row>
    <row r="2507" spans="1:4" x14ac:dyDescent="0.25">
      <c r="A2507" t="s">
        <v>1361</v>
      </c>
      <c r="B2507" s="1">
        <v>6679099.29</v>
      </c>
      <c r="C2507" s="1">
        <v>129489603.98999999</v>
      </c>
      <c r="D2507" s="1">
        <v>-122810504.7</v>
      </c>
    </row>
    <row r="2509" spans="1:4" x14ac:dyDescent="0.25">
      <c r="A2509" t="s">
        <v>1362</v>
      </c>
    </row>
    <row r="2511" spans="1:4" x14ac:dyDescent="0.25">
      <c r="A2511" t="s">
        <v>1363</v>
      </c>
    </row>
    <row r="2512" spans="1:4" x14ac:dyDescent="0.25">
      <c r="B2512" t="s">
        <v>8</v>
      </c>
      <c r="C2512" t="s">
        <v>8</v>
      </c>
      <c r="D2512" t="s">
        <v>8</v>
      </c>
    </row>
    <row r="2513" spans="1:4" x14ac:dyDescent="0.25">
      <c r="A2513" t="s">
        <v>1364</v>
      </c>
    </row>
    <row r="2515" spans="1:4" x14ac:dyDescent="0.25">
      <c r="B2515" t="s">
        <v>8</v>
      </c>
      <c r="C2515" t="s">
        <v>8</v>
      </c>
      <c r="D2515" t="s">
        <v>8</v>
      </c>
    </row>
    <row r="2516" spans="1:4" x14ac:dyDescent="0.25">
      <c r="A2516" t="s">
        <v>1365</v>
      </c>
    </row>
    <row r="2518" spans="1:4" x14ac:dyDescent="0.25">
      <c r="A2518" t="s">
        <v>1366</v>
      </c>
    </row>
    <row r="2520" spans="1:4" x14ac:dyDescent="0.25">
      <c r="A2520" t="s">
        <v>1367</v>
      </c>
    </row>
    <row r="2521" spans="1:4" x14ac:dyDescent="0.25">
      <c r="B2521" t="s">
        <v>8</v>
      </c>
      <c r="C2521" t="s">
        <v>8</v>
      </c>
      <c r="D2521" t="s">
        <v>8</v>
      </c>
    </row>
    <row r="2522" spans="1:4" x14ac:dyDescent="0.25">
      <c r="A2522" t="s">
        <v>1368</v>
      </c>
    </row>
    <row r="2524" spans="1:4" x14ac:dyDescent="0.25">
      <c r="B2524" t="s">
        <v>8</v>
      </c>
      <c r="C2524" t="s">
        <v>8</v>
      </c>
      <c r="D2524" t="s">
        <v>8</v>
      </c>
    </row>
    <row r="2525" spans="1:4" x14ac:dyDescent="0.25">
      <c r="A2525" t="s">
        <v>1369</v>
      </c>
    </row>
    <row r="2527" spans="1:4" x14ac:dyDescent="0.25">
      <c r="A2527" t="s">
        <v>1370</v>
      </c>
    </row>
    <row r="2529" spans="1:4" x14ac:dyDescent="0.25">
      <c r="A2529" t="s">
        <v>1371</v>
      </c>
    </row>
    <row r="2530" spans="1:4" x14ac:dyDescent="0.25">
      <c r="B2530" t="s">
        <v>8</v>
      </c>
      <c r="C2530" t="s">
        <v>8</v>
      </c>
      <c r="D2530" t="s">
        <v>8</v>
      </c>
    </row>
    <row r="2531" spans="1:4" x14ac:dyDescent="0.25">
      <c r="A2531" t="s">
        <v>1372</v>
      </c>
    </row>
    <row r="2532" spans="1:4" x14ac:dyDescent="0.25">
      <c r="B2532" t="s">
        <v>8</v>
      </c>
      <c r="C2532" t="s">
        <v>8</v>
      </c>
      <c r="D2532" t="s">
        <v>8</v>
      </c>
    </row>
    <row r="2533" spans="1:4" x14ac:dyDescent="0.25">
      <c r="A2533" t="s">
        <v>1373</v>
      </c>
    </row>
    <row r="2534" spans="1:4" x14ac:dyDescent="0.25">
      <c r="B2534" t="s">
        <v>8</v>
      </c>
      <c r="C2534" t="s">
        <v>8</v>
      </c>
      <c r="D2534" t="s">
        <v>8</v>
      </c>
    </row>
    <row r="2535" spans="1:4" x14ac:dyDescent="0.25">
      <c r="A2535" t="s">
        <v>1374</v>
      </c>
      <c r="B2535" s="1">
        <v>6679099.29</v>
      </c>
      <c r="C2535" s="1">
        <v>342812632.01999998</v>
      </c>
      <c r="D2535" s="1">
        <v>-336133532.73000002</v>
      </c>
    </row>
    <row r="2537" spans="1:4" x14ac:dyDescent="0.25">
      <c r="A2537" t="s">
        <v>1375</v>
      </c>
    </row>
    <row r="2539" spans="1:4" x14ac:dyDescent="0.25">
      <c r="A2539" t="s">
        <v>1376</v>
      </c>
    </row>
    <row r="2541" spans="1:4" x14ac:dyDescent="0.25">
      <c r="A2541" t="s">
        <v>1377</v>
      </c>
    </row>
    <row r="2543" spans="1:4" x14ac:dyDescent="0.25">
      <c r="A2543" t="s">
        <v>1378</v>
      </c>
      <c r="B2543" s="1">
        <v>16853.29</v>
      </c>
      <c r="C2543" s="1">
        <v>30115264.02</v>
      </c>
      <c r="D2543" s="1">
        <v>-30098410.73</v>
      </c>
    </row>
    <row r="2544" spans="1:4" x14ac:dyDescent="0.25">
      <c r="A2544" t="s">
        <v>1379</v>
      </c>
      <c r="B2544" s="1">
        <v>291239.92</v>
      </c>
      <c r="C2544" s="1">
        <v>10705985.220000001</v>
      </c>
      <c r="D2544" s="1">
        <v>-10414745.300000001</v>
      </c>
    </row>
    <row r="2545" spans="1:4" x14ac:dyDescent="0.25">
      <c r="A2545" t="s">
        <v>1380</v>
      </c>
      <c r="C2545" s="1">
        <v>1972829.96</v>
      </c>
      <c r="D2545" s="1">
        <v>-1972829.96</v>
      </c>
    </row>
    <row r="2546" spans="1:4" x14ac:dyDescent="0.25">
      <c r="A2546" t="s">
        <v>1381</v>
      </c>
      <c r="C2546" s="1">
        <v>125354.28</v>
      </c>
      <c r="D2546" s="1">
        <v>-125354.28</v>
      </c>
    </row>
    <row r="2547" spans="1:4" x14ac:dyDescent="0.25">
      <c r="A2547" t="s">
        <v>1382</v>
      </c>
      <c r="B2547" s="1">
        <v>217284.97</v>
      </c>
      <c r="C2547" s="1">
        <v>16750835.4</v>
      </c>
      <c r="D2547" s="1">
        <v>-16533550.43</v>
      </c>
    </row>
    <row r="2548" spans="1:4" x14ac:dyDescent="0.25">
      <c r="A2548" t="s">
        <v>1383</v>
      </c>
      <c r="B2548" s="1">
        <v>813811.45</v>
      </c>
      <c r="C2548" s="1">
        <v>20346386.559999999</v>
      </c>
      <c r="D2548" s="1">
        <v>-19532575.109999999</v>
      </c>
    </row>
    <row r="2549" spans="1:4" x14ac:dyDescent="0.25">
      <c r="A2549" t="s">
        <v>1384</v>
      </c>
      <c r="B2549" s="1">
        <v>14391.67</v>
      </c>
      <c r="C2549" s="1">
        <v>14077568.02</v>
      </c>
      <c r="D2549" s="1">
        <v>-14063176.35</v>
      </c>
    </row>
    <row r="2550" spans="1:4" x14ac:dyDescent="0.25">
      <c r="A2550" t="s">
        <v>1385</v>
      </c>
      <c r="C2550" s="1">
        <v>58031.42</v>
      </c>
      <c r="D2550" s="1">
        <v>-58031.42</v>
      </c>
    </row>
    <row r="2551" spans="1:4" x14ac:dyDescent="0.25">
      <c r="A2551" t="s">
        <v>1386</v>
      </c>
      <c r="B2551" s="1">
        <v>2509298.5099999998</v>
      </c>
      <c r="C2551" s="1">
        <v>50478794.039999999</v>
      </c>
      <c r="D2551" s="1">
        <v>-47969495.530000001</v>
      </c>
    </row>
    <row r="2552" spans="1:4" x14ac:dyDescent="0.25">
      <c r="A2552" t="s">
        <v>1387</v>
      </c>
      <c r="C2552" s="1">
        <v>392241.85</v>
      </c>
      <c r="D2552" s="1">
        <v>-392241.85</v>
      </c>
    </row>
    <row r="2553" spans="1:4" x14ac:dyDescent="0.25">
      <c r="A2553" t="s">
        <v>1388</v>
      </c>
      <c r="C2553" s="1">
        <v>28509.37</v>
      </c>
      <c r="D2553" s="1">
        <v>-28509.37</v>
      </c>
    </row>
    <row r="2554" spans="1:4" x14ac:dyDescent="0.25">
      <c r="A2554" t="s">
        <v>1389</v>
      </c>
      <c r="C2554" s="1">
        <v>861450.51</v>
      </c>
      <c r="D2554" s="1">
        <v>-861450.51</v>
      </c>
    </row>
    <row r="2555" spans="1:4" x14ac:dyDescent="0.25">
      <c r="A2555" t="s">
        <v>1390</v>
      </c>
      <c r="B2555" s="1">
        <v>826446.23</v>
      </c>
      <c r="C2555" s="1">
        <v>37910523.25</v>
      </c>
      <c r="D2555" s="1">
        <v>-37084077.020000003</v>
      </c>
    </row>
    <row r="2556" spans="1:4" x14ac:dyDescent="0.25">
      <c r="A2556" t="s">
        <v>1391</v>
      </c>
      <c r="B2556" s="1">
        <v>903775</v>
      </c>
      <c r="C2556" s="1">
        <v>101766842.90000001</v>
      </c>
      <c r="D2556" s="1">
        <v>-100863067.90000001</v>
      </c>
    </row>
    <row r="2557" spans="1:4" x14ac:dyDescent="0.25">
      <c r="A2557" t="s">
        <v>1392</v>
      </c>
      <c r="B2557" s="1">
        <v>467430.2</v>
      </c>
      <c r="C2557" s="1">
        <v>29473043.809999999</v>
      </c>
      <c r="D2557" s="1">
        <v>-29005613.609999999</v>
      </c>
    </row>
    <row r="2558" spans="1:4" x14ac:dyDescent="0.25">
      <c r="A2558" t="s">
        <v>1393</v>
      </c>
      <c r="B2558" s="1">
        <v>766916.94</v>
      </c>
      <c r="C2558" s="1">
        <v>45944173.469999999</v>
      </c>
      <c r="D2558" s="1">
        <v>-45177256.530000001</v>
      </c>
    </row>
    <row r="2559" spans="1:4" x14ac:dyDescent="0.25">
      <c r="A2559" t="s">
        <v>1394</v>
      </c>
      <c r="B2559" s="1">
        <v>354359.51</v>
      </c>
      <c r="C2559" s="1">
        <v>7492396.8399999999</v>
      </c>
      <c r="D2559" s="1">
        <v>-7138037.3300000001</v>
      </c>
    </row>
    <row r="2560" spans="1:4" x14ac:dyDescent="0.25">
      <c r="A2560" t="s">
        <v>1395</v>
      </c>
      <c r="B2560" s="1">
        <v>257183.86</v>
      </c>
      <c r="C2560" s="1">
        <v>5517446.5700000003</v>
      </c>
      <c r="D2560" s="1">
        <v>-5260262.71</v>
      </c>
    </row>
    <row r="2561" spans="1:4" x14ac:dyDescent="0.25">
      <c r="A2561" t="s">
        <v>1396</v>
      </c>
      <c r="B2561" s="1">
        <v>41659.43</v>
      </c>
      <c r="C2561" s="1">
        <v>3781263.19</v>
      </c>
      <c r="D2561" s="1">
        <v>-3739603.76</v>
      </c>
    </row>
    <row r="2562" spans="1:4" x14ac:dyDescent="0.25">
      <c r="A2562" t="s">
        <v>1397</v>
      </c>
      <c r="C2562" s="1">
        <v>74916.95</v>
      </c>
      <c r="D2562" s="1">
        <v>-74916.95</v>
      </c>
    </row>
    <row r="2563" spans="1:4" x14ac:dyDescent="0.25">
      <c r="A2563" t="s">
        <v>1398</v>
      </c>
      <c r="B2563" s="1">
        <v>7909199.2400000002</v>
      </c>
      <c r="C2563" s="1">
        <v>465600879.73000002</v>
      </c>
      <c r="D2563" s="1">
        <v>-457691680.49000001</v>
      </c>
    </row>
    <row r="2564" spans="1:4" x14ac:dyDescent="0.25">
      <c r="A2564" t="s">
        <v>1399</v>
      </c>
      <c r="B2564" s="1">
        <v>35526</v>
      </c>
      <c r="C2564" s="1">
        <v>1477435.26</v>
      </c>
      <c r="D2564" s="1">
        <v>-1441909.26</v>
      </c>
    </row>
    <row r="2565" spans="1:4" x14ac:dyDescent="0.25">
      <c r="A2565" t="s">
        <v>1400</v>
      </c>
      <c r="C2565" s="1">
        <v>65100</v>
      </c>
      <c r="D2565" s="1">
        <v>-65100</v>
      </c>
    </row>
    <row r="2566" spans="1:4" x14ac:dyDescent="0.25">
      <c r="A2566" t="s">
        <v>1401</v>
      </c>
      <c r="B2566" s="1">
        <v>1118062.5</v>
      </c>
      <c r="C2566" s="1">
        <v>150480788.80000001</v>
      </c>
      <c r="D2566" s="1">
        <v>-149362726.30000001</v>
      </c>
    </row>
    <row r="2567" spans="1:4" x14ac:dyDescent="0.25">
      <c r="A2567" t="s">
        <v>1402</v>
      </c>
      <c r="C2567" s="1">
        <v>1431741.97</v>
      </c>
      <c r="D2567" s="1">
        <v>-1431741.97</v>
      </c>
    </row>
    <row r="2568" spans="1:4" x14ac:dyDescent="0.25">
      <c r="A2568" t="s">
        <v>1403</v>
      </c>
      <c r="B2568" s="1">
        <v>37035</v>
      </c>
      <c r="C2568" s="1">
        <v>2076728.71</v>
      </c>
      <c r="D2568" s="1">
        <v>-2039693.71</v>
      </c>
    </row>
    <row r="2569" spans="1:4" x14ac:dyDescent="0.25">
      <c r="A2569" t="s">
        <v>1404</v>
      </c>
      <c r="B2569" s="1">
        <v>208962.66</v>
      </c>
      <c r="C2569" s="1">
        <v>3004136.86</v>
      </c>
      <c r="D2569" s="1">
        <v>-2795174.2</v>
      </c>
    </row>
    <row r="2570" spans="1:4" x14ac:dyDescent="0.25">
      <c r="B2570" t="s">
        <v>8</v>
      </c>
      <c r="C2570" t="s">
        <v>8</v>
      </c>
      <c r="D2570" t="s">
        <v>8</v>
      </c>
    </row>
    <row r="2571" spans="1:4" x14ac:dyDescent="0.25">
      <c r="A2571" t="s">
        <v>1405</v>
      </c>
      <c r="B2571" s="1">
        <v>16789436.379999999</v>
      </c>
      <c r="C2571" s="1">
        <v>1002010668.96</v>
      </c>
      <c r="D2571" s="1">
        <v>-985221232.58000004</v>
      </c>
    </row>
    <row r="2573" spans="1:4" x14ac:dyDescent="0.25">
      <c r="A2573" t="s">
        <v>1406</v>
      </c>
    </row>
    <row r="2575" spans="1:4" x14ac:dyDescent="0.25">
      <c r="A2575" t="s">
        <v>1407</v>
      </c>
      <c r="B2575" s="1">
        <v>95256.93</v>
      </c>
      <c r="C2575" s="1">
        <v>3185937.88</v>
      </c>
      <c r="D2575" s="1">
        <v>-3090680.95</v>
      </c>
    </row>
    <row r="2576" spans="1:4" x14ac:dyDescent="0.25">
      <c r="B2576" t="s">
        <v>8</v>
      </c>
      <c r="C2576" t="s">
        <v>8</v>
      </c>
      <c r="D2576" t="s">
        <v>8</v>
      </c>
    </row>
    <row r="2577" spans="1:4" x14ac:dyDescent="0.25">
      <c r="A2577" t="s">
        <v>1408</v>
      </c>
      <c r="B2577" s="1">
        <v>95256.93</v>
      </c>
      <c r="C2577" s="1">
        <v>3185937.88</v>
      </c>
      <c r="D2577" s="1">
        <v>-3090680.95</v>
      </c>
    </row>
    <row r="2579" spans="1:4" x14ac:dyDescent="0.25">
      <c r="A2579" t="s">
        <v>1409</v>
      </c>
    </row>
    <row r="2581" spans="1:4" x14ac:dyDescent="0.25">
      <c r="A2581" t="s">
        <v>1410</v>
      </c>
      <c r="B2581" s="1">
        <v>5110</v>
      </c>
      <c r="C2581" s="1">
        <v>1146511.81</v>
      </c>
      <c r="D2581" s="1">
        <v>-1141401.81</v>
      </c>
    </row>
    <row r="2582" spans="1:4" x14ac:dyDescent="0.25">
      <c r="A2582" t="s">
        <v>1411</v>
      </c>
      <c r="C2582" s="1">
        <v>81284.800000000003</v>
      </c>
      <c r="D2582" s="1">
        <v>-81284.800000000003</v>
      </c>
    </row>
    <row r="2583" spans="1:4" x14ac:dyDescent="0.25">
      <c r="B2583" t="s">
        <v>8</v>
      </c>
      <c r="C2583" t="s">
        <v>8</v>
      </c>
      <c r="D2583" t="s">
        <v>8</v>
      </c>
    </row>
    <row r="2584" spans="1:4" x14ac:dyDescent="0.25">
      <c r="A2584" t="s">
        <v>1412</v>
      </c>
      <c r="B2584" s="1">
        <v>5110</v>
      </c>
      <c r="C2584" s="1">
        <v>1227796.6100000001</v>
      </c>
      <c r="D2584" s="1">
        <v>-1222686.6100000001</v>
      </c>
    </row>
    <row r="2586" spans="1:4" x14ac:dyDescent="0.25">
      <c r="B2586" t="s">
        <v>8</v>
      </c>
      <c r="C2586" t="s">
        <v>8</v>
      </c>
      <c r="D2586" t="s">
        <v>8</v>
      </c>
    </row>
    <row r="2587" spans="1:4" x14ac:dyDescent="0.25">
      <c r="A2587" t="s">
        <v>1413</v>
      </c>
      <c r="B2587" s="1">
        <v>16889803.309999999</v>
      </c>
      <c r="C2587" s="1">
        <v>1006424403.45</v>
      </c>
      <c r="D2587" s="1">
        <v>-989534600.13999999</v>
      </c>
    </row>
    <row r="2589" spans="1:4" x14ac:dyDescent="0.25">
      <c r="A2589" t="s">
        <v>1414</v>
      </c>
    </row>
    <row r="2591" spans="1:4" x14ac:dyDescent="0.25">
      <c r="A2591" t="s">
        <v>1415</v>
      </c>
    </row>
    <row r="2592" spans="1:4" x14ac:dyDescent="0.25">
      <c r="B2592" t="s">
        <v>8</v>
      </c>
      <c r="C2592" t="s">
        <v>8</v>
      </c>
      <c r="D2592" t="s">
        <v>8</v>
      </c>
    </row>
    <row r="2593" spans="1:4" x14ac:dyDescent="0.25">
      <c r="A2593" t="s">
        <v>1416</v>
      </c>
    </row>
    <row r="2595" spans="1:4" x14ac:dyDescent="0.25">
      <c r="A2595" t="s">
        <v>1417</v>
      </c>
    </row>
    <row r="2596" spans="1:4" x14ac:dyDescent="0.25">
      <c r="B2596" t="s">
        <v>8</v>
      </c>
      <c r="C2596" t="s">
        <v>8</v>
      </c>
      <c r="D2596" t="s">
        <v>8</v>
      </c>
    </row>
    <row r="2597" spans="1:4" x14ac:dyDescent="0.25">
      <c r="A2597" t="s">
        <v>1418</v>
      </c>
    </row>
    <row r="2599" spans="1:4" x14ac:dyDescent="0.25">
      <c r="B2599" t="s">
        <v>8</v>
      </c>
      <c r="C2599" t="s">
        <v>8</v>
      </c>
      <c r="D2599" t="s">
        <v>8</v>
      </c>
    </row>
    <row r="2600" spans="1:4" x14ac:dyDescent="0.25">
      <c r="A2600" t="s">
        <v>1419</v>
      </c>
    </row>
    <row r="2602" spans="1:4" x14ac:dyDescent="0.25">
      <c r="A2602" t="s">
        <v>1420</v>
      </c>
    </row>
    <row r="2604" spans="1:4" x14ac:dyDescent="0.25">
      <c r="A2604" t="s">
        <v>1421</v>
      </c>
    </row>
    <row r="2606" spans="1:4" x14ac:dyDescent="0.25">
      <c r="A2606" t="s">
        <v>1422</v>
      </c>
      <c r="B2606" s="1">
        <v>7208477.0199999996</v>
      </c>
      <c r="C2606" s="1">
        <v>32179376.91</v>
      </c>
      <c r="D2606" s="1">
        <v>-24970899.890000001</v>
      </c>
    </row>
    <row r="2607" spans="1:4" x14ac:dyDescent="0.25">
      <c r="B2607" t="s">
        <v>8</v>
      </c>
      <c r="C2607" t="s">
        <v>8</v>
      </c>
      <c r="D2607" t="s">
        <v>8</v>
      </c>
    </row>
    <row r="2608" spans="1:4" x14ac:dyDescent="0.25">
      <c r="A2608" t="s">
        <v>1423</v>
      </c>
      <c r="B2608" s="1">
        <v>7208477.0199999996</v>
      </c>
      <c r="C2608" s="1">
        <v>32179376.91</v>
      </c>
      <c r="D2608" s="1">
        <v>-24970899.890000001</v>
      </c>
    </row>
    <row r="2610" spans="1:4" x14ac:dyDescent="0.25">
      <c r="A2610" t="s">
        <v>1424</v>
      </c>
    </row>
    <row r="2612" spans="1:4" x14ac:dyDescent="0.25">
      <c r="A2612" t="s">
        <v>1425</v>
      </c>
      <c r="B2612" s="1">
        <v>43091.4</v>
      </c>
      <c r="C2612" s="1">
        <v>561190.44999999995</v>
      </c>
      <c r="D2612" s="1">
        <v>-518099.05</v>
      </c>
    </row>
    <row r="2613" spans="1:4" x14ac:dyDescent="0.25">
      <c r="B2613" t="s">
        <v>8</v>
      </c>
      <c r="C2613" t="s">
        <v>8</v>
      </c>
      <c r="D2613" t="s">
        <v>8</v>
      </c>
    </row>
    <row r="2614" spans="1:4" x14ac:dyDescent="0.25">
      <c r="A2614" t="s">
        <v>1426</v>
      </c>
      <c r="B2614" s="1">
        <v>43091.4</v>
      </c>
      <c r="C2614" s="1">
        <v>561190.44999999995</v>
      </c>
      <c r="D2614" s="1">
        <v>-518099.05</v>
      </c>
    </row>
    <row r="2616" spans="1:4" x14ac:dyDescent="0.25">
      <c r="A2616" t="s">
        <v>1427</v>
      </c>
    </row>
    <row r="2617" spans="1:4" x14ac:dyDescent="0.25">
      <c r="B2617" t="s">
        <v>8</v>
      </c>
      <c r="C2617" t="s">
        <v>8</v>
      </c>
      <c r="D2617" t="s">
        <v>8</v>
      </c>
    </row>
    <row r="2618" spans="1:4" x14ac:dyDescent="0.25">
      <c r="A2618" t="s">
        <v>1428</v>
      </c>
    </row>
    <row r="2620" spans="1:4" x14ac:dyDescent="0.25">
      <c r="A2620" t="s">
        <v>1429</v>
      </c>
    </row>
    <row r="2622" spans="1:4" x14ac:dyDescent="0.25">
      <c r="A2622" t="s">
        <v>1430</v>
      </c>
      <c r="B2622" s="1">
        <v>224818.18</v>
      </c>
      <c r="C2622" s="1">
        <v>1004843.85</v>
      </c>
      <c r="D2622" s="1">
        <v>-780025.67</v>
      </c>
    </row>
    <row r="2623" spans="1:4" x14ac:dyDescent="0.25">
      <c r="B2623" t="s">
        <v>8</v>
      </c>
      <c r="C2623" t="s">
        <v>8</v>
      </c>
      <c r="D2623" t="s">
        <v>8</v>
      </c>
    </row>
    <row r="2624" spans="1:4" x14ac:dyDescent="0.25">
      <c r="A2624" t="s">
        <v>1431</v>
      </c>
      <c r="B2624" s="1">
        <v>224818.18</v>
      </c>
      <c r="C2624" s="1">
        <v>1004843.85</v>
      </c>
      <c r="D2624" s="1">
        <v>-780025.67</v>
      </c>
    </row>
    <row r="2626" spans="1:4" x14ac:dyDescent="0.25">
      <c r="A2626" t="s">
        <v>1432</v>
      </c>
    </row>
    <row r="2628" spans="1:4" x14ac:dyDescent="0.25">
      <c r="A2628" t="s">
        <v>1433</v>
      </c>
      <c r="B2628" s="1">
        <v>454945.03</v>
      </c>
      <c r="C2628" s="1">
        <v>1520602.06</v>
      </c>
      <c r="D2628" s="1">
        <v>-1065657.03</v>
      </c>
    </row>
    <row r="2629" spans="1:4" x14ac:dyDescent="0.25">
      <c r="B2629" t="s">
        <v>8</v>
      </c>
      <c r="C2629" t="s">
        <v>8</v>
      </c>
      <c r="D2629" t="s">
        <v>8</v>
      </c>
    </row>
    <row r="2630" spans="1:4" x14ac:dyDescent="0.25">
      <c r="A2630" t="s">
        <v>1434</v>
      </c>
      <c r="B2630" s="1">
        <v>454945.03</v>
      </c>
      <c r="C2630" s="1">
        <v>1520602.06</v>
      </c>
      <c r="D2630" s="1">
        <v>-1065657.03</v>
      </c>
    </row>
    <row r="2632" spans="1:4" x14ac:dyDescent="0.25">
      <c r="B2632" t="s">
        <v>8</v>
      </c>
      <c r="C2632" t="s">
        <v>8</v>
      </c>
      <c r="D2632" t="s">
        <v>8</v>
      </c>
    </row>
    <row r="2633" spans="1:4" x14ac:dyDescent="0.25">
      <c r="A2633" t="s">
        <v>1435</v>
      </c>
      <c r="B2633" s="1">
        <v>7931331.6299999999</v>
      </c>
      <c r="C2633" s="1">
        <v>35266013.270000003</v>
      </c>
      <c r="D2633" s="1">
        <v>-27334681.640000001</v>
      </c>
    </row>
    <row r="2635" spans="1:4" x14ac:dyDescent="0.25">
      <c r="A2635" t="s">
        <v>1436</v>
      </c>
    </row>
    <row r="2637" spans="1:4" x14ac:dyDescent="0.25">
      <c r="A2637" t="s">
        <v>1437</v>
      </c>
    </row>
    <row r="2639" spans="1:4" x14ac:dyDescent="0.25">
      <c r="A2639" t="s">
        <v>1438</v>
      </c>
      <c r="B2639" s="1">
        <v>338850.67</v>
      </c>
      <c r="D2639" s="1">
        <v>338850.67</v>
      </c>
    </row>
    <row r="2640" spans="1:4" x14ac:dyDescent="0.25">
      <c r="A2640" t="s">
        <v>1439</v>
      </c>
      <c r="B2640" s="1">
        <v>404903.35</v>
      </c>
      <c r="C2640" s="1">
        <v>21035.41</v>
      </c>
      <c r="D2640" s="1">
        <v>383867.94</v>
      </c>
    </row>
    <row r="2641" spans="1:4" x14ac:dyDescent="0.25">
      <c r="A2641" t="s">
        <v>1440</v>
      </c>
      <c r="B2641" s="1">
        <v>2692.5</v>
      </c>
      <c r="D2641" s="1">
        <v>2692.5</v>
      </c>
    </row>
    <row r="2642" spans="1:4" x14ac:dyDescent="0.25">
      <c r="A2642" t="s">
        <v>1441</v>
      </c>
      <c r="B2642" s="1">
        <v>200071.08</v>
      </c>
      <c r="D2642" s="1">
        <v>200071.08</v>
      </c>
    </row>
    <row r="2643" spans="1:4" x14ac:dyDescent="0.25">
      <c r="A2643" t="s">
        <v>1442</v>
      </c>
      <c r="B2643" s="1">
        <v>281908.53999999998</v>
      </c>
      <c r="D2643" s="1">
        <v>281908.53999999998</v>
      </c>
    </row>
    <row r="2644" spans="1:4" x14ac:dyDescent="0.25">
      <c r="A2644" t="s">
        <v>1443</v>
      </c>
      <c r="B2644" s="1">
        <v>23105.09</v>
      </c>
      <c r="D2644" s="1">
        <v>23105.09</v>
      </c>
    </row>
    <row r="2645" spans="1:4" x14ac:dyDescent="0.25">
      <c r="A2645" t="s">
        <v>2384</v>
      </c>
      <c r="B2645" s="1">
        <v>1625</v>
      </c>
      <c r="D2645" s="1">
        <v>1625</v>
      </c>
    </row>
    <row r="2646" spans="1:4" x14ac:dyDescent="0.25">
      <c r="A2646" t="s">
        <v>1444</v>
      </c>
      <c r="B2646" s="1">
        <v>1907090.71</v>
      </c>
      <c r="C2646" s="1">
        <v>33222.89</v>
      </c>
      <c r="D2646" s="1">
        <v>1873867.82</v>
      </c>
    </row>
    <row r="2647" spans="1:4" x14ac:dyDescent="0.25">
      <c r="A2647" t="s">
        <v>2385</v>
      </c>
      <c r="B2647" s="1">
        <v>5070</v>
      </c>
      <c r="D2647" s="1">
        <v>5070</v>
      </c>
    </row>
    <row r="2648" spans="1:4" x14ac:dyDescent="0.25">
      <c r="A2648" t="s">
        <v>1445</v>
      </c>
      <c r="B2648" s="1">
        <v>169457.67</v>
      </c>
      <c r="D2648" s="1">
        <v>169457.67</v>
      </c>
    </row>
    <row r="2649" spans="1:4" x14ac:dyDescent="0.25">
      <c r="A2649" t="s">
        <v>1446</v>
      </c>
      <c r="B2649" s="1">
        <v>622541.66</v>
      </c>
      <c r="D2649" s="1">
        <v>622541.66</v>
      </c>
    </row>
    <row r="2650" spans="1:4" x14ac:dyDescent="0.25">
      <c r="A2650" t="s">
        <v>1447</v>
      </c>
      <c r="B2650" s="1">
        <v>166670.6</v>
      </c>
      <c r="C2650" s="1">
        <v>7029</v>
      </c>
      <c r="D2650" s="1">
        <v>159641.60000000001</v>
      </c>
    </row>
    <row r="2651" spans="1:4" x14ac:dyDescent="0.25">
      <c r="A2651" t="s">
        <v>1448</v>
      </c>
      <c r="B2651" s="1">
        <v>66305.210000000006</v>
      </c>
      <c r="D2651" s="1">
        <v>66305.210000000006</v>
      </c>
    </row>
    <row r="2652" spans="1:4" x14ac:dyDescent="0.25">
      <c r="A2652" t="s">
        <v>1449</v>
      </c>
      <c r="B2652" s="1">
        <v>54767.73</v>
      </c>
      <c r="C2652">
        <v>299.89999999999998</v>
      </c>
      <c r="D2652" s="1">
        <v>54467.83</v>
      </c>
    </row>
    <row r="2653" spans="1:4" x14ac:dyDescent="0.25">
      <c r="A2653" t="s">
        <v>2386</v>
      </c>
      <c r="B2653">
        <v>425.25</v>
      </c>
      <c r="D2653">
        <v>425.25</v>
      </c>
    </row>
    <row r="2654" spans="1:4" x14ac:dyDescent="0.25">
      <c r="A2654" t="s">
        <v>1450</v>
      </c>
      <c r="B2654" s="1">
        <v>24251.79</v>
      </c>
      <c r="D2654" s="1">
        <v>24251.79</v>
      </c>
    </row>
    <row r="2655" spans="1:4" x14ac:dyDescent="0.25">
      <c r="A2655" t="s">
        <v>1451</v>
      </c>
      <c r="B2655" s="1">
        <v>4705841.4000000004</v>
      </c>
      <c r="C2655" s="1">
        <v>770147.95</v>
      </c>
      <c r="D2655" s="1">
        <v>3935693.45</v>
      </c>
    </row>
    <row r="2656" spans="1:4" x14ac:dyDescent="0.25">
      <c r="A2656" t="s">
        <v>1452</v>
      </c>
      <c r="B2656" s="1">
        <v>855695.6</v>
      </c>
      <c r="D2656" s="1">
        <v>855695.6</v>
      </c>
    </row>
    <row r="2657" spans="1:4" x14ac:dyDescent="0.25">
      <c r="A2657" t="s">
        <v>1453</v>
      </c>
      <c r="B2657" s="1">
        <v>61520.03</v>
      </c>
      <c r="C2657" s="1">
        <v>1710</v>
      </c>
      <c r="D2657" s="1">
        <v>59810.03</v>
      </c>
    </row>
    <row r="2658" spans="1:4" x14ac:dyDescent="0.25">
      <c r="A2658" t="s">
        <v>1454</v>
      </c>
      <c r="B2658" s="1">
        <v>115902.62</v>
      </c>
      <c r="C2658" s="1">
        <v>2956.25</v>
      </c>
      <c r="D2658" s="1">
        <v>112946.37</v>
      </c>
    </row>
    <row r="2659" spans="1:4" x14ac:dyDescent="0.25">
      <c r="B2659" t="s">
        <v>8</v>
      </c>
      <c r="C2659" t="s">
        <v>8</v>
      </c>
      <c r="D2659" t="s">
        <v>8</v>
      </c>
    </row>
    <row r="2660" spans="1:4" x14ac:dyDescent="0.25">
      <c r="A2660" t="s">
        <v>1455</v>
      </c>
      <c r="B2660" s="1">
        <v>10008696.5</v>
      </c>
      <c r="C2660" s="1">
        <v>836401.4</v>
      </c>
      <c r="D2660" s="1">
        <v>9172295.0999999996</v>
      </c>
    </row>
    <row r="2662" spans="1:4" x14ac:dyDescent="0.25">
      <c r="B2662" t="s">
        <v>8</v>
      </c>
      <c r="C2662" t="s">
        <v>8</v>
      </c>
      <c r="D2662" t="s">
        <v>8</v>
      </c>
    </row>
    <row r="2663" spans="1:4" x14ac:dyDescent="0.25">
      <c r="A2663" t="s">
        <v>1456</v>
      </c>
      <c r="B2663" s="1">
        <v>10008696.5</v>
      </c>
      <c r="C2663" s="1">
        <v>836401.4</v>
      </c>
      <c r="D2663" s="1">
        <v>9172295.0999999996</v>
      </c>
    </row>
    <row r="2665" spans="1:4" x14ac:dyDescent="0.25">
      <c r="A2665" t="s">
        <v>1457</v>
      </c>
    </row>
    <row r="2667" spans="1:4" x14ac:dyDescent="0.25">
      <c r="A2667" t="s">
        <v>1458</v>
      </c>
    </row>
    <row r="2669" spans="1:4" x14ac:dyDescent="0.25">
      <c r="A2669" t="s">
        <v>1459</v>
      </c>
      <c r="B2669" s="1">
        <v>1344051.23</v>
      </c>
      <c r="C2669" s="1">
        <v>155930.68</v>
      </c>
      <c r="D2669" s="1">
        <v>1188120.55</v>
      </c>
    </row>
    <row r="2670" spans="1:4" x14ac:dyDescent="0.25">
      <c r="B2670" t="s">
        <v>8</v>
      </c>
      <c r="C2670" t="s">
        <v>8</v>
      </c>
      <c r="D2670" t="s">
        <v>8</v>
      </c>
    </row>
    <row r="2671" spans="1:4" x14ac:dyDescent="0.25">
      <c r="A2671" t="s">
        <v>1460</v>
      </c>
      <c r="B2671" s="1">
        <v>1344051.23</v>
      </c>
      <c r="C2671" s="1">
        <v>155930.68</v>
      </c>
      <c r="D2671" s="1">
        <v>1188120.55</v>
      </c>
    </row>
    <row r="2673" spans="1:4" x14ac:dyDescent="0.25">
      <c r="A2673" t="s">
        <v>1461</v>
      </c>
    </row>
    <row r="2674" spans="1:4" x14ac:dyDescent="0.25">
      <c r="B2674" t="s">
        <v>8</v>
      </c>
      <c r="C2674" t="s">
        <v>8</v>
      </c>
      <c r="D2674" t="s">
        <v>8</v>
      </c>
    </row>
    <row r="2675" spans="1:4" x14ac:dyDescent="0.25">
      <c r="A2675" t="s">
        <v>1462</v>
      </c>
    </row>
    <row r="2677" spans="1:4" x14ac:dyDescent="0.25">
      <c r="B2677" t="s">
        <v>8</v>
      </c>
      <c r="C2677" t="s">
        <v>8</v>
      </c>
      <c r="D2677" t="s">
        <v>8</v>
      </c>
    </row>
    <row r="2678" spans="1:4" x14ac:dyDescent="0.25">
      <c r="A2678" t="s">
        <v>1463</v>
      </c>
      <c r="B2678" s="1">
        <v>1344051.23</v>
      </c>
      <c r="C2678" s="1">
        <v>155930.68</v>
      </c>
      <c r="D2678" s="1">
        <v>1188120.55</v>
      </c>
    </row>
    <row r="2680" spans="1:4" x14ac:dyDescent="0.25">
      <c r="A2680" t="s">
        <v>1464</v>
      </c>
    </row>
    <row r="2681" spans="1:4" x14ac:dyDescent="0.25">
      <c r="B2681" t="s">
        <v>8</v>
      </c>
      <c r="C2681" t="s">
        <v>8</v>
      </c>
      <c r="D2681" t="s">
        <v>8</v>
      </c>
    </row>
    <row r="2682" spans="1:4" x14ac:dyDescent="0.25">
      <c r="A2682" t="s">
        <v>1465</v>
      </c>
    </row>
    <row r="2683" spans="1:4" x14ac:dyDescent="0.25">
      <c r="B2683" t="s">
        <v>8</v>
      </c>
      <c r="C2683" t="s">
        <v>8</v>
      </c>
      <c r="D2683" t="s">
        <v>8</v>
      </c>
    </row>
    <row r="2684" spans="1:4" x14ac:dyDescent="0.25">
      <c r="A2684" t="s">
        <v>1466</v>
      </c>
      <c r="B2684" s="1">
        <v>36173882.670000002</v>
      </c>
      <c r="C2684" s="1">
        <v>1042682748.8</v>
      </c>
      <c r="D2684" s="1">
        <v>-1006508866.13</v>
      </c>
    </row>
    <row r="2686" spans="1:4" x14ac:dyDescent="0.25">
      <c r="A2686" t="s">
        <v>1467</v>
      </c>
    </row>
    <row r="2688" spans="1:4" x14ac:dyDescent="0.25">
      <c r="A2688" t="s">
        <v>1468</v>
      </c>
    </row>
    <row r="2689" spans="1:4" x14ac:dyDescent="0.25">
      <c r="B2689" t="s">
        <v>8</v>
      </c>
      <c r="C2689" t="s">
        <v>8</v>
      </c>
      <c r="D2689" t="s">
        <v>8</v>
      </c>
    </row>
    <row r="2690" spans="1:4" x14ac:dyDescent="0.25">
      <c r="A2690" t="s">
        <v>1469</v>
      </c>
    </row>
    <row r="2692" spans="1:4" x14ac:dyDescent="0.25">
      <c r="A2692" t="s">
        <v>1470</v>
      </c>
    </row>
    <row r="2694" spans="1:4" x14ac:dyDescent="0.25">
      <c r="A2694" t="s">
        <v>1471</v>
      </c>
    </row>
    <row r="2696" spans="1:4" x14ac:dyDescent="0.25">
      <c r="A2696" t="s">
        <v>1472</v>
      </c>
      <c r="B2696" s="1">
        <v>26183726.370000001</v>
      </c>
      <c r="C2696" s="1">
        <v>364248.42</v>
      </c>
      <c r="D2696" s="1">
        <v>25819477.949999999</v>
      </c>
    </row>
    <row r="2697" spans="1:4" x14ac:dyDescent="0.25">
      <c r="A2697" t="s">
        <v>1473</v>
      </c>
      <c r="B2697" s="1">
        <v>8502756.4199999999</v>
      </c>
      <c r="C2697" s="1">
        <v>541337.76</v>
      </c>
      <c r="D2697" s="1">
        <v>7961418.6600000001</v>
      </c>
    </row>
    <row r="2698" spans="1:4" x14ac:dyDescent="0.25">
      <c r="A2698" t="s">
        <v>1474</v>
      </c>
      <c r="B2698" s="1">
        <v>1735088.64</v>
      </c>
      <c r="C2698" s="1">
        <v>6542.51</v>
      </c>
      <c r="D2698" s="1">
        <v>1728546.13</v>
      </c>
    </row>
    <row r="2699" spans="1:4" x14ac:dyDescent="0.25">
      <c r="A2699" t="s">
        <v>1475</v>
      </c>
      <c r="B2699" s="1">
        <v>86345.58</v>
      </c>
      <c r="D2699" s="1">
        <v>86345.58</v>
      </c>
    </row>
    <row r="2700" spans="1:4" x14ac:dyDescent="0.25">
      <c r="A2700" t="s">
        <v>1476</v>
      </c>
      <c r="B2700" s="1">
        <v>15263520.460000001</v>
      </c>
      <c r="C2700" s="1">
        <v>250162.56</v>
      </c>
      <c r="D2700" s="1">
        <v>15013357.9</v>
      </c>
    </row>
    <row r="2701" spans="1:4" x14ac:dyDescent="0.25">
      <c r="A2701" t="s">
        <v>1477</v>
      </c>
      <c r="B2701" s="1">
        <v>17381649.890000001</v>
      </c>
      <c r="C2701" s="1">
        <v>345677.47</v>
      </c>
      <c r="D2701" s="1">
        <v>17035972.420000002</v>
      </c>
    </row>
    <row r="2702" spans="1:4" x14ac:dyDescent="0.25">
      <c r="A2702" t="s">
        <v>1478</v>
      </c>
      <c r="B2702" s="1">
        <v>12707309.289999999</v>
      </c>
      <c r="C2702" s="1">
        <v>132945</v>
      </c>
      <c r="D2702" s="1">
        <v>12574364.289999999</v>
      </c>
    </row>
    <row r="2703" spans="1:4" x14ac:dyDescent="0.25">
      <c r="A2703" t="s">
        <v>1479</v>
      </c>
      <c r="B2703" s="1">
        <v>43154.71</v>
      </c>
      <c r="C2703" s="1">
        <v>1625</v>
      </c>
      <c r="D2703" s="1">
        <v>41529.71</v>
      </c>
    </row>
    <row r="2704" spans="1:4" x14ac:dyDescent="0.25">
      <c r="A2704" t="s">
        <v>1480</v>
      </c>
      <c r="B2704" s="1">
        <v>44584518.450000003</v>
      </c>
      <c r="C2704" s="1">
        <v>2375170.96</v>
      </c>
      <c r="D2704" s="1">
        <v>42209347.490000002</v>
      </c>
    </row>
    <row r="2705" spans="1:4" x14ac:dyDescent="0.25">
      <c r="A2705" t="s">
        <v>1481</v>
      </c>
      <c r="B2705" s="1">
        <v>306775.90000000002</v>
      </c>
      <c r="C2705">
        <v>0.59</v>
      </c>
      <c r="D2705" s="1">
        <v>306775.31</v>
      </c>
    </row>
    <row r="2706" spans="1:4" x14ac:dyDescent="0.25">
      <c r="A2706" t="s">
        <v>1482</v>
      </c>
      <c r="B2706" s="1">
        <v>25451.95</v>
      </c>
      <c r="D2706" s="1">
        <v>25451.95</v>
      </c>
    </row>
    <row r="2707" spans="1:4" x14ac:dyDescent="0.25">
      <c r="A2707" t="s">
        <v>1483</v>
      </c>
      <c r="B2707" s="1">
        <v>663144.39</v>
      </c>
      <c r="C2707" s="1">
        <v>5070.01</v>
      </c>
      <c r="D2707" s="1">
        <v>658074.38</v>
      </c>
    </row>
    <row r="2708" spans="1:4" x14ac:dyDescent="0.25">
      <c r="A2708" t="s">
        <v>1484</v>
      </c>
      <c r="B2708" s="1">
        <v>39482375.270000003</v>
      </c>
      <c r="C2708" s="1">
        <v>550787.22</v>
      </c>
      <c r="D2708" s="1">
        <v>38931588.049999997</v>
      </c>
    </row>
    <row r="2709" spans="1:4" x14ac:dyDescent="0.25">
      <c r="A2709" t="s">
        <v>1485</v>
      </c>
      <c r="B2709" s="1">
        <v>108603789.54000001</v>
      </c>
      <c r="C2709" s="1">
        <v>1131680.69</v>
      </c>
      <c r="D2709" s="1">
        <v>107472108.84999999</v>
      </c>
    </row>
    <row r="2710" spans="1:4" x14ac:dyDescent="0.25">
      <c r="A2710" t="s">
        <v>1486</v>
      </c>
      <c r="B2710" s="1">
        <v>26712732.16</v>
      </c>
      <c r="C2710" s="1">
        <v>279953.84999999998</v>
      </c>
      <c r="D2710" s="1">
        <v>26432778.309999999</v>
      </c>
    </row>
    <row r="2711" spans="1:4" x14ac:dyDescent="0.25">
      <c r="A2711" t="s">
        <v>1487</v>
      </c>
      <c r="B2711" s="1">
        <v>43541837.950000003</v>
      </c>
      <c r="C2711" s="1">
        <v>919737.91</v>
      </c>
      <c r="D2711" s="1">
        <v>42622100.039999999</v>
      </c>
    </row>
    <row r="2712" spans="1:4" x14ac:dyDescent="0.25">
      <c r="A2712" t="s">
        <v>1488</v>
      </c>
      <c r="B2712" s="1">
        <v>6143236.04</v>
      </c>
      <c r="C2712" s="1">
        <v>177807.8</v>
      </c>
      <c r="D2712" s="1">
        <v>5965428.2400000002</v>
      </c>
    </row>
    <row r="2713" spans="1:4" x14ac:dyDescent="0.25">
      <c r="A2713" t="s">
        <v>1489</v>
      </c>
      <c r="B2713" s="1">
        <v>5241781.3600000003</v>
      </c>
      <c r="C2713" s="1">
        <v>92543.11</v>
      </c>
      <c r="D2713" s="1">
        <v>5149238.25</v>
      </c>
    </row>
    <row r="2714" spans="1:4" x14ac:dyDescent="0.25">
      <c r="A2714" t="s">
        <v>1490</v>
      </c>
      <c r="B2714" s="1">
        <v>3141355.59</v>
      </c>
      <c r="C2714" s="1">
        <v>118428.24</v>
      </c>
      <c r="D2714" s="1">
        <v>3022927.35</v>
      </c>
    </row>
    <row r="2715" spans="1:4" x14ac:dyDescent="0.25">
      <c r="A2715" t="s">
        <v>1491</v>
      </c>
      <c r="B2715" s="1">
        <v>65414.97</v>
      </c>
      <c r="C2715">
        <v>0.24</v>
      </c>
      <c r="D2715" s="1">
        <v>65414.73</v>
      </c>
    </row>
    <row r="2716" spans="1:4" x14ac:dyDescent="0.25">
      <c r="A2716" t="s">
        <v>1492</v>
      </c>
      <c r="B2716" s="1">
        <v>441134767.12</v>
      </c>
      <c r="C2716" s="1">
        <v>13009721.529999999</v>
      </c>
      <c r="D2716" s="1">
        <v>428125045.58999997</v>
      </c>
    </row>
    <row r="2717" spans="1:4" x14ac:dyDescent="0.25">
      <c r="A2717" t="s">
        <v>1493</v>
      </c>
      <c r="B2717" s="1">
        <v>1087589</v>
      </c>
      <c r="D2717" s="1">
        <v>1087589</v>
      </c>
    </row>
    <row r="2718" spans="1:4" x14ac:dyDescent="0.25">
      <c r="A2718" t="s">
        <v>1494</v>
      </c>
      <c r="B2718" s="1">
        <v>61742.84</v>
      </c>
      <c r="D2718" s="1">
        <v>61742.84</v>
      </c>
    </row>
    <row r="2719" spans="1:4" x14ac:dyDescent="0.25">
      <c r="A2719" t="s">
        <v>1495</v>
      </c>
      <c r="B2719" s="1">
        <v>146679050.80000001</v>
      </c>
      <c r="C2719" s="1">
        <v>3324964.93</v>
      </c>
      <c r="D2719" s="1">
        <v>143354085.87</v>
      </c>
    </row>
    <row r="2720" spans="1:4" x14ac:dyDescent="0.25">
      <c r="A2720" t="s">
        <v>1496</v>
      </c>
      <c r="B2720" s="1">
        <v>268406.74</v>
      </c>
      <c r="C2720" s="1">
        <v>3000</v>
      </c>
      <c r="D2720" s="1">
        <v>265406.74</v>
      </c>
    </row>
    <row r="2721" spans="1:4" x14ac:dyDescent="0.25">
      <c r="A2721" t="s">
        <v>1497</v>
      </c>
      <c r="B2721" s="1">
        <v>267289861896.54999</v>
      </c>
      <c r="C2721" s="1">
        <v>267288622312.38</v>
      </c>
      <c r="D2721" s="1">
        <v>1239584.17</v>
      </c>
    </row>
    <row r="2722" spans="1:4" x14ac:dyDescent="0.25">
      <c r="A2722" t="s">
        <v>1498</v>
      </c>
      <c r="B2722" s="1">
        <v>1791052.57</v>
      </c>
      <c r="C2722" s="1">
        <v>80067.240000000005</v>
      </c>
      <c r="D2722" s="1">
        <v>1710985.33</v>
      </c>
    </row>
    <row r="2723" spans="1:4" x14ac:dyDescent="0.25">
      <c r="A2723" t="s">
        <v>1499</v>
      </c>
      <c r="B2723" s="1">
        <v>2568415.27</v>
      </c>
      <c r="C2723" s="1">
        <v>210397.26</v>
      </c>
      <c r="D2723" s="1">
        <v>2358018.0099999998</v>
      </c>
    </row>
    <row r="2724" spans="1:4" x14ac:dyDescent="0.25">
      <c r="B2724" t="s">
        <v>8</v>
      </c>
      <c r="C2724" t="s">
        <v>8</v>
      </c>
      <c r="D2724" t="s">
        <v>8</v>
      </c>
    </row>
    <row r="2725" spans="1:4" x14ac:dyDescent="0.25">
      <c r="A2725" t="s">
        <v>1500</v>
      </c>
      <c r="B2725" s="1">
        <v>268243868885.82001</v>
      </c>
      <c r="C2725" s="1">
        <v>267312544182.67999</v>
      </c>
      <c r="D2725" s="1">
        <v>931324703.13999999</v>
      </c>
    </row>
    <row r="2727" spans="1:4" x14ac:dyDescent="0.25">
      <c r="A2727" t="s">
        <v>1501</v>
      </c>
    </row>
    <row r="2729" spans="1:4" x14ac:dyDescent="0.25">
      <c r="A2729" t="s">
        <v>1502</v>
      </c>
      <c r="B2729" s="1">
        <v>10807696.699999999</v>
      </c>
      <c r="D2729" s="1">
        <v>10807696.699999999</v>
      </c>
    </row>
    <row r="2730" spans="1:4" x14ac:dyDescent="0.25">
      <c r="B2730" t="s">
        <v>8</v>
      </c>
      <c r="C2730" t="s">
        <v>8</v>
      </c>
      <c r="D2730" t="s">
        <v>8</v>
      </c>
    </row>
    <row r="2731" spans="1:4" x14ac:dyDescent="0.25">
      <c r="A2731" t="s">
        <v>1503</v>
      </c>
      <c r="B2731" s="1">
        <v>10807696.699999999</v>
      </c>
      <c r="D2731" s="1">
        <v>10807696.699999999</v>
      </c>
    </row>
    <row r="2733" spans="1:4" x14ac:dyDescent="0.25">
      <c r="B2733" t="s">
        <v>8</v>
      </c>
      <c r="C2733" t="s">
        <v>8</v>
      </c>
      <c r="D2733" t="s">
        <v>8</v>
      </c>
    </row>
    <row r="2734" spans="1:4" x14ac:dyDescent="0.25">
      <c r="A2734" t="s">
        <v>1504</v>
      </c>
      <c r="B2734" s="1">
        <v>268254676582.51999</v>
      </c>
      <c r="C2734" s="1">
        <v>267312544182.67999</v>
      </c>
      <c r="D2734" s="1">
        <v>942132399.84000003</v>
      </c>
    </row>
    <row r="2736" spans="1:4" x14ac:dyDescent="0.25">
      <c r="A2736" t="s">
        <v>1505</v>
      </c>
    </row>
    <row r="2738" spans="1:4" x14ac:dyDescent="0.25">
      <c r="A2738" t="s">
        <v>1506</v>
      </c>
    </row>
    <row r="2739" spans="1:4" x14ac:dyDescent="0.25">
      <c r="B2739" t="s">
        <v>8</v>
      </c>
      <c r="C2739" t="s">
        <v>8</v>
      </c>
      <c r="D2739" t="s">
        <v>8</v>
      </c>
    </row>
    <row r="2740" spans="1:4" x14ac:dyDescent="0.25">
      <c r="A2740" t="s">
        <v>1507</v>
      </c>
    </row>
    <row r="2742" spans="1:4" x14ac:dyDescent="0.25">
      <c r="B2742" t="s">
        <v>8</v>
      </c>
      <c r="C2742" t="s">
        <v>8</v>
      </c>
      <c r="D2742" t="s">
        <v>8</v>
      </c>
    </row>
    <row r="2743" spans="1:4" x14ac:dyDescent="0.25">
      <c r="A2743" t="s">
        <v>1508</v>
      </c>
    </row>
    <row r="2745" spans="1:4" x14ac:dyDescent="0.25">
      <c r="A2745" t="s">
        <v>1509</v>
      </c>
    </row>
    <row r="2746" spans="1:4" x14ac:dyDescent="0.25">
      <c r="B2746" t="s">
        <v>8</v>
      </c>
      <c r="C2746" t="s">
        <v>8</v>
      </c>
      <c r="D2746" t="s">
        <v>8</v>
      </c>
    </row>
    <row r="2747" spans="1:4" x14ac:dyDescent="0.25">
      <c r="A2747" t="s">
        <v>1510</v>
      </c>
    </row>
    <row r="2749" spans="1:4" x14ac:dyDescent="0.25">
      <c r="A2749" t="s">
        <v>1511</v>
      </c>
    </row>
    <row r="2750" spans="1:4" x14ac:dyDescent="0.25">
      <c r="B2750" t="s">
        <v>8</v>
      </c>
      <c r="C2750" t="s">
        <v>8</v>
      </c>
      <c r="D2750" t="s">
        <v>8</v>
      </c>
    </row>
    <row r="2751" spans="1:4" x14ac:dyDescent="0.25">
      <c r="A2751" t="s">
        <v>1512</v>
      </c>
    </row>
    <row r="2753" spans="1:4" x14ac:dyDescent="0.25">
      <c r="A2753" t="s">
        <v>1513</v>
      </c>
    </row>
    <row r="2755" spans="1:4" x14ac:dyDescent="0.25">
      <c r="A2755" t="s">
        <v>1514</v>
      </c>
    </row>
    <row r="2756" spans="1:4" x14ac:dyDescent="0.25">
      <c r="B2756" t="s">
        <v>8</v>
      </c>
      <c r="C2756" t="s">
        <v>8</v>
      </c>
      <c r="D2756" t="s">
        <v>8</v>
      </c>
    </row>
    <row r="2757" spans="1:4" x14ac:dyDescent="0.25">
      <c r="A2757" t="s">
        <v>1515</v>
      </c>
    </row>
    <row r="2759" spans="1:4" x14ac:dyDescent="0.25">
      <c r="B2759" t="s">
        <v>8</v>
      </c>
      <c r="C2759" t="s">
        <v>8</v>
      </c>
      <c r="D2759" t="s">
        <v>8</v>
      </c>
    </row>
    <row r="2760" spans="1:4" x14ac:dyDescent="0.25">
      <c r="A2760" t="s">
        <v>1516</v>
      </c>
    </row>
    <row r="2762" spans="1:4" x14ac:dyDescent="0.25">
      <c r="A2762" t="s">
        <v>1517</v>
      </c>
    </row>
    <row r="2764" spans="1:4" x14ac:dyDescent="0.25">
      <c r="A2764" t="s">
        <v>1518</v>
      </c>
    </row>
    <row r="2765" spans="1:4" x14ac:dyDescent="0.25">
      <c r="B2765" t="s">
        <v>8</v>
      </c>
      <c r="C2765" t="s">
        <v>8</v>
      </c>
      <c r="D2765" t="s">
        <v>8</v>
      </c>
    </row>
    <row r="2766" spans="1:4" x14ac:dyDescent="0.25">
      <c r="A2766" t="s">
        <v>1519</v>
      </c>
    </row>
    <row r="2767" spans="1:4" x14ac:dyDescent="0.25">
      <c r="B2767" t="s">
        <v>8</v>
      </c>
      <c r="C2767" t="s">
        <v>8</v>
      </c>
      <c r="D2767" t="s">
        <v>8</v>
      </c>
    </row>
    <row r="2768" spans="1:4" x14ac:dyDescent="0.25">
      <c r="A2768" t="s">
        <v>1520</v>
      </c>
    </row>
    <row r="2769" spans="1:4" x14ac:dyDescent="0.25">
      <c r="B2769" t="s">
        <v>8</v>
      </c>
      <c r="C2769" t="s">
        <v>8</v>
      </c>
      <c r="D2769" t="s">
        <v>8</v>
      </c>
    </row>
    <row r="2770" spans="1:4" x14ac:dyDescent="0.25">
      <c r="A2770" t="s">
        <v>1521</v>
      </c>
      <c r="B2770" s="1">
        <v>268254676582.51999</v>
      </c>
      <c r="C2770" s="1">
        <v>267312544182.67999</v>
      </c>
      <c r="D2770" s="1">
        <v>942132399.84000003</v>
      </c>
    </row>
    <row r="2772" spans="1:4" x14ac:dyDescent="0.25">
      <c r="A2772" t="s">
        <v>1522</v>
      </c>
    </row>
    <row r="2774" spans="1:4" x14ac:dyDescent="0.25">
      <c r="A2774" t="s">
        <v>1523</v>
      </c>
    </row>
    <row r="2775" spans="1:4" x14ac:dyDescent="0.25">
      <c r="B2775" t="s">
        <v>8</v>
      </c>
      <c r="C2775" t="s">
        <v>8</v>
      </c>
      <c r="D2775" t="s">
        <v>8</v>
      </c>
    </row>
    <row r="2776" spans="1:4" x14ac:dyDescent="0.25">
      <c r="A2776" t="s">
        <v>1524</v>
      </c>
    </row>
    <row r="2778" spans="1:4" x14ac:dyDescent="0.25">
      <c r="A2778" t="s">
        <v>1525</v>
      </c>
    </row>
    <row r="2779" spans="1:4" x14ac:dyDescent="0.25">
      <c r="B2779" t="s">
        <v>8</v>
      </c>
      <c r="C2779" t="s">
        <v>8</v>
      </c>
      <c r="D2779" t="s">
        <v>8</v>
      </c>
    </row>
    <row r="2780" spans="1:4" x14ac:dyDescent="0.25">
      <c r="A2780" t="s">
        <v>1526</v>
      </c>
    </row>
    <row r="2782" spans="1:4" x14ac:dyDescent="0.25">
      <c r="A2782" t="s">
        <v>1527</v>
      </c>
    </row>
    <row r="2783" spans="1:4" x14ac:dyDescent="0.25">
      <c r="B2783" t="s">
        <v>8</v>
      </c>
      <c r="C2783" t="s">
        <v>8</v>
      </c>
      <c r="D2783" t="s">
        <v>8</v>
      </c>
    </row>
    <row r="2784" spans="1:4" x14ac:dyDescent="0.25">
      <c r="A2784" t="s">
        <v>1528</v>
      </c>
    </row>
    <row r="2786" spans="1:4" x14ac:dyDescent="0.25">
      <c r="A2786" t="s">
        <v>1529</v>
      </c>
    </row>
    <row r="2787" spans="1:4" x14ac:dyDescent="0.25">
      <c r="B2787" t="s">
        <v>8</v>
      </c>
      <c r="C2787" t="s">
        <v>8</v>
      </c>
      <c r="D2787" t="s">
        <v>8</v>
      </c>
    </row>
    <row r="2788" spans="1:4" x14ac:dyDescent="0.25">
      <c r="A2788" t="s">
        <v>1530</v>
      </c>
    </row>
    <row r="2790" spans="1:4" x14ac:dyDescent="0.25">
      <c r="A2790" t="s">
        <v>1531</v>
      </c>
    </row>
    <row r="2791" spans="1:4" x14ac:dyDescent="0.25">
      <c r="B2791" t="s">
        <v>8</v>
      </c>
      <c r="C2791" t="s">
        <v>8</v>
      </c>
      <c r="D2791" t="s">
        <v>8</v>
      </c>
    </row>
    <row r="2792" spans="1:4" x14ac:dyDescent="0.25">
      <c r="A2792" t="s">
        <v>1532</v>
      </c>
    </row>
    <row r="2794" spans="1:4" x14ac:dyDescent="0.25">
      <c r="A2794" t="s">
        <v>1533</v>
      </c>
    </row>
    <row r="2795" spans="1:4" x14ac:dyDescent="0.25">
      <c r="B2795" t="s">
        <v>8</v>
      </c>
      <c r="C2795" t="s">
        <v>8</v>
      </c>
      <c r="D2795" t="s">
        <v>8</v>
      </c>
    </row>
    <row r="2796" spans="1:4" x14ac:dyDescent="0.25">
      <c r="A2796" t="s">
        <v>1534</v>
      </c>
    </row>
    <row r="2798" spans="1:4" x14ac:dyDescent="0.25">
      <c r="A2798" t="s">
        <v>1535</v>
      </c>
    </row>
    <row r="2799" spans="1:4" x14ac:dyDescent="0.25">
      <c r="B2799" t="s">
        <v>8</v>
      </c>
      <c r="C2799" t="s">
        <v>8</v>
      </c>
      <c r="D2799" t="s">
        <v>8</v>
      </c>
    </row>
    <row r="2800" spans="1:4" x14ac:dyDescent="0.25">
      <c r="A2800" t="s">
        <v>1536</v>
      </c>
    </row>
    <row r="2802" spans="1:4" x14ac:dyDescent="0.25">
      <c r="A2802" t="s">
        <v>1537</v>
      </c>
    </row>
    <row r="2803" spans="1:4" x14ac:dyDescent="0.25">
      <c r="B2803" t="s">
        <v>8</v>
      </c>
      <c r="C2803" t="s">
        <v>8</v>
      </c>
      <c r="D2803" t="s">
        <v>8</v>
      </c>
    </row>
    <row r="2804" spans="1:4" x14ac:dyDescent="0.25">
      <c r="A2804" t="s">
        <v>1538</v>
      </c>
    </row>
    <row r="2806" spans="1:4" x14ac:dyDescent="0.25">
      <c r="A2806" t="s">
        <v>1539</v>
      </c>
    </row>
    <row r="2807" spans="1:4" x14ac:dyDescent="0.25">
      <c r="B2807" t="s">
        <v>8</v>
      </c>
      <c r="C2807" t="s">
        <v>8</v>
      </c>
      <c r="D2807" t="s">
        <v>8</v>
      </c>
    </row>
    <row r="2808" spans="1:4" x14ac:dyDescent="0.25">
      <c r="A2808" t="s">
        <v>1540</v>
      </c>
    </row>
    <row r="2810" spans="1:4" x14ac:dyDescent="0.25">
      <c r="A2810" t="s">
        <v>1541</v>
      </c>
    </row>
    <row r="2811" spans="1:4" x14ac:dyDescent="0.25">
      <c r="B2811" t="s">
        <v>8</v>
      </c>
      <c r="C2811" t="s">
        <v>8</v>
      </c>
      <c r="D2811" t="s">
        <v>8</v>
      </c>
    </row>
    <row r="2812" spans="1:4" x14ac:dyDescent="0.25">
      <c r="A2812" t="s">
        <v>1542</v>
      </c>
    </row>
    <row r="2814" spans="1:4" x14ac:dyDescent="0.25">
      <c r="A2814" t="s">
        <v>1543</v>
      </c>
    </row>
    <row r="2815" spans="1:4" x14ac:dyDescent="0.25">
      <c r="B2815" t="s">
        <v>8</v>
      </c>
      <c r="C2815" t="s">
        <v>8</v>
      </c>
      <c r="D2815" t="s">
        <v>8</v>
      </c>
    </row>
    <row r="2816" spans="1:4" x14ac:dyDescent="0.25">
      <c r="A2816" t="s">
        <v>1544</v>
      </c>
    </row>
    <row r="2818" spans="1:4" x14ac:dyDescent="0.25">
      <c r="A2818" t="s">
        <v>1545</v>
      </c>
    </row>
    <row r="2819" spans="1:4" x14ac:dyDescent="0.25">
      <c r="B2819" t="s">
        <v>8</v>
      </c>
      <c r="C2819" t="s">
        <v>8</v>
      </c>
      <c r="D2819" t="s">
        <v>8</v>
      </c>
    </row>
    <row r="2820" spans="1:4" x14ac:dyDescent="0.25">
      <c r="A2820" t="s">
        <v>1546</v>
      </c>
    </row>
    <row r="2822" spans="1:4" x14ac:dyDescent="0.25">
      <c r="A2822" t="s">
        <v>1547</v>
      </c>
    </row>
    <row r="2823" spans="1:4" x14ac:dyDescent="0.25">
      <c r="B2823" t="s">
        <v>8</v>
      </c>
      <c r="C2823" t="s">
        <v>8</v>
      </c>
      <c r="D2823" t="s">
        <v>8</v>
      </c>
    </row>
    <row r="2824" spans="1:4" x14ac:dyDescent="0.25">
      <c r="A2824" t="s">
        <v>1548</v>
      </c>
    </row>
    <row r="2826" spans="1:4" x14ac:dyDescent="0.25">
      <c r="A2826" t="s">
        <v>1549</v>
      </c>
    </row>
    <row r="2827" spans="1:4" x14ac:dyDescent="0.25">
      <c r="B2827" t="s">
        <v>8</v>
      </c>
      <c r="C2827" t="s">
        <v>8</v>
      </c>
      <c r="D2827" t="s">
        <v>8</v>
      </c>
    </row>
    <row r="2828" spans="1:4" x14ac:dyDescent="0.25">
      <c r="A2828" t="s">
        <v>1550</v>
      </c>
    </row>
    <row r="2830" spans="1:4" x14ac:dyDescent="0.25">
      <c r="A2830" t="s">
        <v>1551</v>
      </c>
    </row>
    <row r="2831" spans="1:4" x14ac:dyDescent="0.25">
      <c r="B2831" t="s">
        <v>8</v>
      </c>
      <c r="C2831" t="s">
        <v>8</v>
      </c>
      <c r="D2831" t="s">
        <v>8</v>
      </c>
    </row>
    <row r="2832" spans="1:4" x14ac:dyDescent="0.25">
      <c r="A2832" t="s">
        <v>1552</v>
      </c>
    </row>
    <row r="2834" spans="1:4" x14ac:dyDescent="0.25">
      <c r="A2834" t="s">
        <v>1553</v>
      </c>
    </row>
    <row r="2836" spans="1:4" x14ac:dyDescent="0.25">
      <c r="A2836" t="s">
        <v>1554</v>
      </c>
    </row>
    <row r="2837" spans="1:4" x14ac:dyDescent="0.25">
      <c r="B2837" t="s">
        <v>8</v>
      </c>
      <c r="C2837" t="s">
        <v>8</v>
      </c>
      <c r="D2837" t="s">
        <v>8</v>
      </c>
    </row>
    <row r="2838" spans="1:4" x14ac:dyDescent="0.25">
      <c r="A2838" t="s">
        <v>1555</v>
      </c>
    </row>
    <row r="2840" spans="1:4" x14ac:dyDescent="0.25">
      <c r="A2840" t="s">
        <v>1556</v>
      </c>
    </row>
    <row r="2841" spans="1:4" x14ac:dyDescent="0.25">
      <c r="B2841" t="s">
        <v>8</v>
      </c>
      <c r="C2841" t="s">
        <v>8</v>
      </c>
      <c r="D2841" t="s">
        <v>8</v>
      </c>
    </row>
    <row r="2842" spans="1:4" x14ac:dyDescent="0.25">
      <c r="A2842" t="s">
        <v>1557</v>
      </c>
    </row>
    <row r="2844" spans="1:4" x14ac:dyDescent="0.25">
      <c r="A2844" t="s">
        <v>1558</v>
      </c>
    </row>
    <row r="2846" spans="1:4" x14ac:dyDescent="0.25">
      <c r="A2846" t="s">
        <v>1559</v>
      </c>
      <c r="B2846" s="1">
        <v>15651.7</v>
      </c>
      <c r="D2846" s="1">
        <v>15651.7</v>
      </c>
    </row>
    <row r="2847" spans="1:4" x14ac:dyDescent="0.25">
      <c r="B2847" t="s">
        <v>8</v>
      </c>
      <c r="C2847" t="s">
        <v>8</v>
      </c>
      <c r="D2847" t="s">
        <v>8</v>
      </c>
    </row>
    <row r="2848" spans="1:4" x14ac:dyDescent="0.25">
      <c r="A2848" t="s">
        <v>1560</v>
      </c>
      <c r="B2848" s="1">
        <v>15651.7</v>
      </c>
      <c r="D2848" s="1">
        <v>15651.7</v>
      </c>
    </row>
    <row r="2850" spans="1:4" x14ac:dyDescent="0.25">
      <c r="A2850" t="s">
        <v>1561</v>
      </c>
    </row>
    <row r="2851" spans="1:4" x14ac:dyDescent="0.25">
      <c r="B2851" t="s">
        <v>8</v>
      </c>
      <c r="C2851" t="s">
        <v>8</v>
      </c>
      <c r="D2851" t="s">
        <v>8</v>
      </c>
    </row>
    <row r="2852" spans="1:4" x14ac:dyDescent="0.25">
      <c r="A2852" t="s">
        <v>1562</v>
      </c>
    </row>
    <row r="2854" spans="1:4" x14ac:dyDescent="0.25">
      <c r="A2854" t="s">
        <v>1563</v>
      </c>
    </row>
    <row r="2855" spans="1:4" x14ac:dyDescent="0.25">
      <c r="B2855" t="s">
        <v>8</v>
      </c>
      <c r="C2855" t="s">
        <v>8</v>
      </c>
      <c r="D2855" t="s">
        <v>8</v>
      </c>
    </row>
    <row r="2856" spans="1:4" x14ac:dyDescent="0.25">
      <c r="A2856" t="s">
        <v>1564</v>
      </c>
    </row>
    <row r="2858" spans="1:4" x14ac:dyDescent="0.25">
      <c r="A2858" t="s">
        <v>1565</v>
      </c>
    </row>
    <row r="2860" spans="1:4" x14ac:dyDescent="0.25">
      <c r="A2860" t="s">
        <v>1566</v>
      </c>
      <c r="B2860" s="1">
        <v>934245.5</v>
      </c>
      <c r="C2860" s="1">
        <v>70790.990000000005</v>
      </c>
      <c r="D2860" s="1">
        <v>863454.51</v>
      </c>
    </row>
    <row r="2861" spans="1:4" x14ac:dyDescent="0.25">
      <c r="A2861" t="s">
        <v>1567</v>
      </c>
      <c r="B2861" s="1">
        <v>43538.18</v>
      </c>
      <c r="C2861" s="1">
        <v>1412.97</v>
      </c>
      <c r="D2861" s="1">
        <v>42125.21</v>
      </c>
    </row>
    <row r="2862" spans="1:4" x14ac:dyDescent="0.25">
      <c r="A2862" t="s">
        <v>1568</v>
      </c>
      <c r="B2862" s="1">
        <v>42851.55</v>
      </c>
      <c r="D2862" s="1">
        <v>42851.55</v>
      </c>
    </row>
    <row r="2863" spans="1:4" x14ac:dyDescent="0.25">
      <c r="A2863" t="s">
        <v>1569</v>
      </c>
      <c r="B2863" s="1">
        <v>25315.94</v>
      </c>
      <c r="D2863" s="1">
        <v>25315.94</v>
      </c>
    </row>
    <row r="2864" spans="1:4" x14ac:dyDescent="0.25">
      <c r="B2864" t="s">
        <v>8</v>
      </c>
      <c r="C2864" t="s">
        <v>8</v>
      </c>
      <c r="D2864" t="s">
        <v>8</v>
      </c>
    </row>
    <row r="2865" spans="1:4" x14ac:dyDescent="0.25">
      <c r="A2865" t="s">
        <v>1570</v>
      </c>
      <c r="B2865" s="1">
        <v>1045951.17</v>
      </c>
      <c r="C2865" s="1">
        <v>72203.960000000006</v>
      </c>
      <c r="D2865" s="1">
        <v>973747.21</v>
      </c>
    </row>
    <row r="2867" spans="1:4" x14ac:dyDescent="0.25">
      <c r="A2867" t="s">
        <v>1571</v>
      </c>
    </row>
    <row r="2869" spans="1:4" x14ac:dyDescent="0.25">
      <c r="A2869" t="s">
        <v>1572</v>
      </c>
      <c r="B2869" s="1">
        <v>73059.05</v>
      </c>
      <c r="C2869" s="1">
        <v>7549.14</v>
      </c>
      <c r="D2869" s="1">
        <v>65509.91</v>
      </c>
    </row>
    <row r="2870" spans="1:4" x14ac:dyDescent="0.25">
      <c r="A2870" t="s">
        <v>1573</v>
      </c>
      <c r="B2870" s="1">
        <v>11399.6</v>
      </c>
      <c r="D2870" s="1">
        <v>11399.6</v>
      </c>
    </row>
    <row r="2871" spans="1:4" x14ac:dyDescent="0.25">
      <c r="A2871" t="s">
        <v>1574</v>
      </c>
      <c r="B2871" s="1">
        <v>3461.13</v>
      </c>
      <c r="D2871" s="1">
        <v>3461.13</v>
      </c>
    </row>
    <row r="2872" spans="1:4" x14ac:dyDescent="0.25">
      <c r="A2872" t="s">
        <v>1575</v>
      </c>
      <c r="B2872">
        <v>750</v>
      </c>
      <c r="D2872">
        <v>750</v>
      </c>
    </row>
    <row r="2873" spans="1:4" x14ac:dyDescent="0.25">
      <c r="B2873" t="s">
        <v>8</v>
      </c>
      <c r="C2873" t="s">
        <v>8</v>
      </c>
      <c r="D2873" t="s">
        <v>8</v>
      </c>
    </row>
    <row r="2874" spans="1:4" x14ac:dyDescent="0.25">
      <c r="A2874" t="s">
        <v>1576</v>
      </c>
      <c r="B2874" s="1">
        <v>88669.78</v>
      </c>
      <c r="C2874" s="1">
        <v>7549.14</v>
      </c>
      <c r="D2874" s="1">
        <v>81120.639999999999</v>
      </c>
    </row>
    <row r="2876" spans="1:4" x14ac:dyDescent="0.25">
      <c r="A2876" t="s">
        <v>1577</v>
      </c>
    </row>
    <row r="2878" spans="1:4" x14ac:dyDescent="0.25">
      <c r="A2878" t="s">
        <v>1578</v>
      </c>
      <c r="B2878" s="1">
        <v>421930.19</v>
      </c>
      <c r="D2878" s="1">
        <v>421930.19</v>
      </c>
    </row>
    <row r="2879" spans="1:4" x14ac:dyDescent="0.25">
      <c r="A2879" t="s">
        <v>1579</v>
      </c>
      <c r="B2879" s="1">
        <v>133003.68</v>
      </c>
      <c r="D2879" s="1">
        <v>133003.68</v>
      </c>
    </row>
    <row r="2880" spans="1:4" x14ac:dyDescent="0.25">
      <c r="B2880" t="s">
        <v>8</v>
      </c>
      <c r="C2880" t="s">
        <v>8</v>
      </c>
      <c r="D2880" t="s">
        <v>8</v>
      </c>
    </row>
    <row r="2881" spans="1:4" x14ac:dyDescent="0.25">
      <c r="A2881" t="s">
        <v>1580</v>
      </c>
      <c r="B2881" s="1">
        <v>554933.87</v>
      </c>
      <c r="D2881" s="1">
        <v>554933.87</v>
      </c>
    </row>
    <row r="2883" spans="1:4" x14ac:dyDescent="0.25">
      <c r="A2883" t="s">
        <v>1581</v>
      </c>
    </row>
    <row r="2885" spans="1:4" x14ac:dyDescent="0.25">
      <c r="A2885" t="s">
        <v>1582</v>
      </c>
      <c r="B2885" s="1">
        <v>166669</v>
      </c>
      <c r="C2885" s="1">
        <v>11191.61</v>
      </c>
      <c r="D2885" s="1">
        <v>155477.39000000001</v>
      </c>
    </row>
    <row r="2886" spans="1:4" x14ac:dyDescent="0.25">
      <c r="A2886" t="s">
        <v>1583</v>
      </c>
      <c r="B2886" s="1">
        <v>19935.990000000002</v>
      </c>
      <c r="C2886" s="1">
        <v>1444.08</v>
      </c>
      <c r="D2886" s="1">
        <v>18491.91</v>
      </c>
    </row>
    <row r="2887" spans="1:4" x14ac:dyDescent="0.25">
      <c r="B2887" t="s">
        <v>8</v>
      </c>
      <c r="C2887" t="s">
        <v>8</v>
      </c>
      <c r="D2887" t="s">
        <v>8</v>
      </c>
    </row>
    <row r="2888" spans="1:4" x14ac:dyDescent="0.25">
      <c r="A2888" t="s">
        <v>1584</v>
      </c>
      <c r="B2888" s="1">
        <v>186604.99</v>
      </c>
      <c r="C2888" s="1">
        <v>12635.69</v>
      </c>
      <c r="D2888" s="1">
        <v>173969.3</v>
      </c>
    </row>
    <row r="2890" spans="1:4" x14ac:dyDescent="0.25">
      <c r="A2890" t="s">
        <v>1585</v>
      </c>
    </row>
    <row r="2892" spans="1:4" x14ac:dyDescent="0.25">
      <c r="A2892" t="s">
        <v>1586</v>
      </c>
      <c r="B2892" s="1">
        <v>87545.01</v>
      </c>
      <c r="D2892" s="1">
        <v>87545.01</v>
      </c>
    </row>
    <row r="2893" spans="1:4" x14ac:dyDescent="0.25">
      <c r="A2893" t="s">
        <v>1587</v>
      </c>
      <c r="B2893" s="1">
        <v>116061.78</v>
      </c>
      <c r="D2893" s="1">
        <v>116061.78</v>
      </c>
    </row>
    <row r="2894" spans="1:4" x14ac:dyDescent="0.25">
      <c r="A2894" t="s">
        <v>1588</v>
      </c>
      <c r="B2894" s="1">
        <v>32598.11</v>
      </c>
      <c r="D2894" s="1">
        <v>32598.11</v>
      </c>
    </row>
    <row r="2895" spans="1:4" x14ac:dyDescent="0.25">
      <c r="B2895" t="s">
        <v>8</v>
      </c>
      <c r="C2895" t="s">
        <v>8</v>
      </c>
      <c r="D2895" t="s">
        <v>8</v>
      </c>
    </row>
    <row r="2896" spans="1:4" x14ac:dyDescent="0.25">
      <c r="A2896" t="s">
        <v>1589</v>
      </c>
      <c r="B2896" s="1">
        <v>236204.9</v>
      </c>
      <c r="D2896" s="1">
        <v>236204.9</v>
      </c>
    </row>
    <row r="2898" spans="1:4" x14ac:dyDescent="0.25">
      <c r="A2898" t="s">
        <v>1590</v>
      </c>
    </row>
    <row r="2900" spans="1:4" x14ac:dyDescent="0.25">
      <c r="A2900" t="s">
        <v>1591</v>
      </c>
      <c r="B2900" s="1">
        <v>8641.18</v>
      </c>
      <c r="C2900" s="1">
        <v>1227.6500000000001</v>
      </c>
      <c r="D2900" s="1">
        <v>7413.53</v>
      </c>
    </row>
    <row r="2901" spans="1:4" x14ac:dyDescent="0.25">
      <c r="B2901" t="s">
        <v>8</v>
      </c>
      <c r="C2901" t="s">
        <v>8</v>
      </c>
      <c r="D2901" t="s">
        <v>8</v>
      </c>
    </row>
    <row r="2902" spans="1:4" x14ac:dyDescent="0.25">
      <c r="A2902" t="s">
        <v>1592</v>
      </c>
      <c r="B2902" s="1">
        <v>8641.18</v>
      </c>
      <c r="C2902" s="1">
        <v>1227.6500000000001</v>
      </c>
      <c r="D2902" s="1">
        <v>7413.53</v>
      </c>
    </row>
    <row r="2904" spans="1:4" x14ac:dyDescent="0.25">
      <c r="A2904" t="s">
        <v>1593</v>
      </c>
    </row>
    <row r="2905" spans="1:4" x14ac:dyDescent="0.25">
      <c r="B2905" t="s">
        <v>8</v>
      </c>
      <c r="C2905" t="s">
        <v>8</v>
      </c>
      <c r="D2905" t="s">
        <v>8</v>
      </c>
    </row>
    <row r="2906" spans="1:4" x14ac:dyDescent="0.25">
      <c r="A2906" t="s">
        <v>1594</v>
      </c>
    </row>
    <row r="2908" spans="1:4" x14ac:dyDescent="0.25">
      <c r="A2908" t="s">
        <v>1595</v>
      </c>
    </row>
    <row r="2909" spans="1:4" x14ac:dyDescent="0.25">
      <c r="B2909" t="s">
        <v>8</v>
      </c>
      <c r="C2909" t="s">
        <v>8</v>
      </c>
      <c r="D2909" t="s">
        <v>8</v>
      </c>
    </row>
    <row r="2910" spans="1:4" x14ac:dyDescent="0.25">
      <c r="A2910" t="s">
        <v>1596</v>
      </c>
    </row>
    <row r="2912" spans="1:4" x14ac:dyDescent="0.25">
      <c r="A2912" t="s">
        <v>1597</v>
      </c>
    </row>
    <row r="2914" spans="1:4" x14ac:dyDescent="0.25">
      <c r="A2914" t="s">
        <v>1598</v>
      </c>
      <c r="B2914" s="1">
        <v>3000</v>
      </c>
      <c r="D2914" s="1">
        <v>3000</v>
      </c>
    </row>
    <row r="2915" spans="1:4" x14ac:dyDescent="0.25">
      <c r="B2915" t="s">
        <v>8</v>
      </c>
      <c r="C2915" t="s">
        <v>8</v>
      </c>
      <c r="D2915" t="s">
        <v>8</v>
      </c>
    </row>
    <row r="2916" spans="1:4" x14ac:dyDescent="0.25">
      <c r="A2916" t="s">
        <v>1599</v>
      </c>
      <c r="B2916" s="1">
        <v>3000</v>
      </c>
      <c r="D2916" s="1">
        <v>3000</v>
      </c>
    </row>
    <row r="2918" spans="1:4" x14ac:dyDescent="0.25">
      <c r="A2918" t="s">
        <v>1600</v>
      </c>
    </row>
    <row r="2920" spans="1:4" x14ac:dyDescent="0.25">
      <c r="A2920" t="s">
        <v>1601</v>
      </c>
      <c r="B2920" s="1">
        <v>79184</v>
      </c>
      <c r="C2920" s="1">
        <v>44544</v>
      </c>
      <c r="D2920" s="1">
        <v>34640</v>
      </c>
    </row>
    <row r="2921" spans="1:4" x14ac:dyDescent="0.25">
      <c r="B2921" t="s">
        <v>8</v>
      </c>
      <c r="C2921" t="s">
        <v>8</v>
      </c>
      <c r="D2921" t="s">
        <v>8</v>
      </c>
    </row>
    <row r="2922" spans="1:4" x14ac:dyDescent="0.25">
      <c r="A2922" t="s">
        <v>1602</v>
      </c>
      <c r="B2922" s="1">
        <v>79184</v>
      </c>
      <c r="C2922" s="1">
        <v>44544</v>
      </c>
      <c r="D2922" s="1">
        <v>34640</v>
      </c>
    </row>
    <row r="2924" spans="1:4" x14ac:dyDescent="0.25">
      <c r="A2924" t="s">
        <v>1603</v>
      </c>
    </row>
    <row r="2925" spans="1:4" x14ac:dyDescent="0.25">
      <c r="B2925" t="s">
        <v>8</v>
      </c>
      <c r="C2925" t="s">
        <v>8</v>
      </c>
      <c r="D2925" t="s">
        <v>8</v>
      </c>
    </row>
    <row r="2926" spans="1:4" x14ac:dyDescent="0.25">
      <c r="A2926" t="s">
        <v>1604</v>
      </c>
    </row>
    <row r="2928" spans="1:4" x14ac:dyDescent="0.25">
      <c r="A2928" t="s">
        <v>1605</v>
      </c>
    </row>
    <row r="2930" spans="1:4" x14ac:dyDescent="0.25">
      <c r="A2930" t="s">
        <v>1606</v>
      </c>
      <c r="B2930" s="1">
        <v>2528.39</v>
      </c>
      <c r="D2930" s="1">
        <v>2528.39</v>
      </c>
    </row>
    <row r="2931" spans="1:4" x14ac:dyDescent="0.25">
      <c r="B2931" t="s">
        <v>8</v>
      </c>
      <c r="C2931" t="s">
        <v>8</v>
      </c>
      <c r="D2931" t="s">
        <v>8</v>
      </c>
    </row>
    <row r="2932" spans="1:4" x14ac:dyDescent="0.25">
      <c r="A2932" t="s">
        <v>1607</v>
      </c>
      <c r="B2932" s="1">
        <v>2528.39</v>
      </c>
      <c r="D2932" s="1">
        <v>2528.39</v>
      </c>
    </row>
    <row r="2934" spans="1:4" x14ac:dyDescent="0.25">
      <c r="A2934" t="s">
        <v>1608</v>
      </c>
    </row>
    <row r="2935" spans="1:4" x14ac:dyDescent="0.25">
      <c r="B2935" t="s">
        <v>8</v>
      </c>
      <c r="C2935" t="s">
        <v>8</v>
      </c>
      <c r="D2935" t="s">
        <v>8</v>
      </c>
    </row>
    <row r="2936" spans="1:4" x14ac:dyDescent="0.25">
      <c r="A2936" t="s">
        <v>1609</v>
      </c>
    </row>
    <row r="2938" spans="1:4" x14ac:dyDescent="0.25">
      <c r="A2938" t="s">
        <v>1610</v>
      </c>
    </row>
    <row r="2940" spans="1:4" x14ac:dyDescent="0.25">
      <c r="A2940" t="s">
        <v>1611</v>
      </c>
      <c r="B2940" s="1">
        <v>20223.72</v>
      </c>
      <c r="C2940">
        <v>904.01</v>
      </c>
      <c r="D2940" s="1">
        <v>19319.71</v>
      </c>
    </row>
    <row r="2941" spans="1:4" x14ac:dyDescent="0.25">
      <c r="A2941" t="s">
        <v>1612</v>
      </c>
      <c r="B2941" s="1">
        <v>5377.79</v>
      </c>
      <c r="D2941" s="1">
        <v>5377.79</v>
      </c>
    </row>
    <row r="2942" spans="1:4" x14ac:dyDescent="0.25">
      <c r="B2942" t="s">
        <v>8</v>
      </c>
      <c r="C2942" t="s">
        <v>8</v>
      </c>
      <c r="D2942" t="s">
        <v>8</v>
      </c>
    </row>
    <row r="2943" spans="1:4" x14ac:dyDescent="0.25">
      <c r="A2943" t="s">
        <v>1613</v>
      </c>
      <c r="B2943" s="1">
        <v>25601.51</v>
      </c>
      <c r="C2943">
        <v>904.01</v>
      </c>
      <c r="D2943" s="1">
        <v>24697.5</v>
      </c>
    </row>
    <row r="2945" spans="1:4" x14ac:dyDescent="0.25">
      <c r="A2945" t="s">
        <v>1614</v>
      </c>
    </row>
    <row r="2947" spans="1:4" x14ac:dyDescent="0.25">
      <c r="A2947" t="s">
        <v>1615</v>
      </c>
      <c r="B2947" s="1">
        <v>37348.14</v>
      </c>
      <c r="D2947" s="1">
        <v>37348.14</v>
      </c>
    </row>
    <row r="2948" spans="1:4" x14ac:dyDescent="0.25">
      <c r="A2948" t="s">
        <v>1616</v>
      </c>
      <c r="B2948" s="1">
        <v>14166.66</v>
      </c>
      <c r="D2948" s="1">
        <v>14166.66</v>
      </c>
    </row>
    <row r="2949" spans="1:4" x14ac:dyDescent="0.25">
      <c r="B2949" t="s">
        <v>8</v>
      </c>
      <c r="C2949" t="s">
        <v>8</v>
      </c>
      <c r="D2949" t="s">
        <v>8</v>
      </c>
    </row>
    <row r="2950" spans="1:4" x14ac:dyDescent="0.25">
      <c r="A2950" t="s">
        <v>1617</v>
      </c>
      <c r="B2950" s="1">
        <v>51514.8</v>
      </c>
      <c r="D2950" s="1">
        <v>51514.8</v>
      </c>
    </row>
    <row r="2952" spans="1:4" x14ac:dyDescent="0.25">
      <c r="A2952" t="s">
        <v>1618</v>
      </c>
    </row>
    <row r="2953" spans="1:4" x14ac:dyDescent="0.25">
      <c r="B2953" t="s">
        <v>8</v>
      </c>
      <c r="C2953" t="s">
        <v>8</v>
      </c>
      <c r="D2953" t="s">
        <v>8</v>
      </c>
    </row>
    <row r="2954" spans="1:4" x14ac:dyDescent="0.25">
      <c r="A2954" t="s">
        <v>1619</v>
      </c>
    </row>
    <row r="2956" spans="1:4" x14ac:dyDescent="0.25">
      <c r="A2956" t="s">
        <v>1620</v>
      </c>
    </row>
    <row r="2958" spans="1:4" x14ac:dyDescent="0.25">
      <c r="A2958" t="s">
        <v>1621</v>
      </c>
      <c r="B2958">
        <v>960</v>
      </c>
      <c r="D2958">
        <v>960</v>
      </c>
    </row>
    <row r="2959" spans="1:4" x14ac:dyDescent="0.25">
      <c r="B2959" t="s">
        <v>8</v>
      </c>
      <c r="C2959" t="s">
        <v>8</v>
      </c>
      <c r="D2959" t="s">
        <v>8</v>
      </c>
    </row>
    <row r="2960" spans="1:4" x14ac:dyDescent="0.25">
      <c r="A2960" t="s">
        <v>1622</v>
      </c>
      <c r="B2960">
        <v>960</v>
      </c>
      <c r="D2960">
        <v>960</v>
      </c>
    </row>
    <row r="2962" spans="1:4" x14ac:dyDescent="0.25">
      <c r="A2962" t="s">
        <v>1623</v>
      </c>
    </row>
    <row r="2963" spans="1:4" x14ac:dyDescent="0.25">
      <c r="B2963" t="s">
        <v>8</v>
      </c>
      <c r="C2963" t="s">
        <v>8</v>
      </c>
      <c r="D2963" t="s">
        <v>8</v>
      </c>
    </row>
    <row r="2964" spans="1:4" x14ac:dyDescent="0.25">
      <c r="A2964" t="s">
        <v>1624</v>
      </c>
    </row>
    <row r="2966" spans="1:4" x14ac:dyDescent="0.25">
      <c r="A2966" t="s">
        <v>1625</v>
      </c>
    </row>
    <row r="2967" spans="1:4" x14ac:dyDescent="0.25">
      <c r="B2967" t="s">
        <v>8</v>
      </c>
      <c r="C2967" t="s">
        <v>8</v>
      </c>
      <c r="D2967" t="s">
        <v>8</v>
      </c>
    </row>
    <row r="2968" spans="1:4" x14ac:dyDescent="0.25">
      <c r="A2968" t="s">
        <v>1626</v>
      </c>
    </row>
    <row r="2970" spans="1:4" x14ac:dyDescent="0.25">
      <c r="A2970" t="s">
        <v>1627</v>
      </c>
    </row>
    <row r="2972" spans="1:4" x14ac:dyDescent="0.25">
      <c r="A2972" t="s">
        <v>1628</v>
      </c>
      <c r="B2972" s="1">
        <v>14387.95</v>
      </c>
      <c r="D2972" s="1">
        <v>14387.95</v>
      </c>
    </row>
    <row r="2973" spans="1:4" x14ac:dyDescent="0.25">
      <c r="A2973" t="s">
        <v>1629</v>
      </c>
      <c r="B2973" s="1">
        <v>28078.61</v>
      </c>
      <c r="C2973">
        <v>377.62</v>
      </c>
      <c r="D2973" s="1">
        <v>27700.99</v>
      </c>
    </row>
    <row r="2974" spans="1:4" x14ac:dyDescent="0.25">
      <c r="B2974" t="s">
        <v>8</v>
      </c>
      <c r="C2974" t="s">
        <v>8</v>
      </c>
      <c r="D2974" t="s">
        <v>8</v>
      </c>
    </row>
    <row r="2975" spans="1:4" x14ac:dyDescent="0.25">
      <c r="A2975" t="s">
        <v>1630</v>
      </c>
      <c r="B2975" s="1">
        <v>42466.559999999998</v>
      </c>
      <c r="C2975">
        <v>377.62</v>
      </c>
      <c r="D2975" s="1">
        <v>42088.94</v>
      </c>
    </row>
    <row r="2977" spans="1:9" x14ac:dyDescent="0.25">
      <c r="A2977" t="s">
        <v>1631</v>
      </c>
    </row>
    <row r="2978" spans="1:9" x14ac:dyDescent="0.25">
      <c r="B2978" t="s">
        <v>8</v>
      </c>
      <c r="C2978" t="s">
        <v>8</v>
      </c>
      <c r="D2978" t="s">
        <v>8</v>
      </c>
    </row>
    <row r="2979" spans="1:9" x14ac:dyDescent="0.25">
      <c r="A2979" t="s">
        <v>1632</v>
      </c>
    </row>
    <row r="2981" spans="1:9" x14ac:dyDescent="0.25">
      <c r="A2981" t="s">
        <v>1633</v>
      </c>
    </row>
    <row r="2983" spans="1:9" x14ac:dyDescent="0.25">
      <c r="A2983" t="s">
        <v>1634</v>
      </c>
      <c r="B2983" s="1">
        <v>30066.73</v>
      </c>
      <c r="D2983" s="1">
        <v>30066.73</v>
      </c>
    </row>
    <row r="2984" spans="1:9" x14ac:dyDescent="0.25">
      <c r="A2984" t="s">
        <v>1635</v>
      </c>
      <c r="B2984" s="1">
        <v>40556.6</v>
      </c>
      <c r="D2984" s="1">
        <v>40556.6</v>
      </c>
    </row>
    <row r="2985" spans="1:9" x14ac:dyDescent="0.25">
      <c r="B2985" t="s">
        <v>8</v>
      </c>
      <c r="C2985" t="s">
        <v>8</v>
      </c>
      <c r="D2985" t="s">
        <v>8</v>
      </c>
    </row>
    <row r="2986" spans="1:9" x14ac:dyDescent="0.25">
      <c r="A2986" t="s">
        <v>1636</v>
      </c>
      <c r="B2986" s="1">
        <v>70623.33</v>
      </c>
      <c r="D2986" s="1">
        <v>70623.33</v>
      </c>
      <c r="G2986" s="1"/>
      <c r="I2986" s="26"/>
    </row>
    <row r="2987" spans="1:9" x14ac:dyDescent="0.25">
      <c r="H2987" s="12"/>
    </row>
    <row r="2988" spans="1:9" x14ac:dyDescent="0.25">
      <c r="A2988" t="s">
        <v>1637</v>
      </c>
    </row>
    <row r="2990" spans="1:9" x14ac:dyDescent="0.25">
      <c r="A2990" t="s">
        <v>1638</v>
      </c>
      <c r="B2990" s="1">
        <v>5353955.41</v>
      </c>
      <c r="D2990" s="1">
        <v>5353955.41</v>
      </c>
    </row>
    <row r="2991" spans="1:9" x14ac:dyDescent="0.25">
      <c r="A2991" t="s">
        <v>1639</v>
      </c>
      <c r="B2991" s="1">
        <v>29132.47</v>
      </c>
      <c r="D2991" s="1">
        <v>29132.47</v>
      </c>
    </row>
    <row r="2992" spans="1:9" x14ac:dyDescent="0.25">
      <c r="B2992" t="s">
        <v>8</v>
      </c>
      <c r="C2992" t="s">
        <v>8</v>
      </c>
      <c r="D2992" t="s">
        <v>8</v>
      </c>
    </row>
    <row r="2993" spans="1:4" x14ac:dyDescent="0.25">
      <c r="A2993" t="s">
        <v>1640</v>
      </c>
      <c r="B2993" s="1">
        <v>5383087.8799999999</v>
      </c>
      <c r="D2993" s="1">
        <v>5383087.8799999999</v>
      </c>
    </row>
    <row r="2995" spans="1:4" x14ac:dyDescent="0.25">
      <c r="B2995" t="s">
        <v>8</v>
      </c>
      <c r="C2995" t="s">
        <v>8</v>
      </c>
      <c r="D2995" t="s">
        <v>8</v>
      </c>
    </row>
    <row r="2996" spans="1:4" x14ac:dyDescent="0.25">
      <c r="A2996" t="s">
        <v>1641</v>
      </c>
      <c r="B2996" s="1">
        <v>7795624.0599999996</v>
      </c>
      <c r="C2996" s="1">
        <v>139442.07</v>
      </c>
      <c r="D2996" s="1">
        <v>7656181.9900000002</v>
      </c>
    </row>
    <row r="2998" spans="1:4" x14ac:dyDescent="0.25">
      <c r="A2998" t="s">
        <v>1642</v>
      </c>
    </row>
    <row r="3000" spans="1:4" x14ac:dyDescent="0.25">
      <c r="A3000" t="s">
        <v>1643</v>
      </c>
    </row>
    <row r="3001" spans="1:4" x14ac:dyDescent="0.25">
      <c r="B3001" t="s">
        <v>8</v>
      </c>
      <c r="C3001" t="s">
        <v>8</v>
      </c>
      <c r="D3001" t="s">
        <v>8</v>
      </c>
    </row>
    <row r="3002" spans="1:4" x14ac:dyDescent="0.25">
      <c r="A3002" t="s">
        <v>1644</v>
      </c>
    </row>
    <row r="3004" spans="1:4" x14ac:dyDescent="0.25">
      <c r="B3004" t="s">
        <v>8</v>
      </c>
      <c r="C3004" t="s">
        <v>8</v>
      </c>
      <c r="D3004" t="s">
        <v>8</v>
      </c>
    </row>
    <row r="3005" spans="1:4" x14ac:dyDescent="0.25">
      <c r="A3005" t="s">
        <v>1645</v>
      </c>
    </row>
    <row r="3007" spans="1:4" x14ac:dyDescent="0.25">
      <c r="A3007" t="s">
        <v>1646</v>
      </c>
    </row>
    <row r="3008" spans="1:4" x14ac:dyDescent="0.25">
      <c r="B3008" t="s">
        <v>8</v>
      </c>
      <c r="C3008" t="s">
        <v>8</v>
      </c>
      <c r="D3008" t="s">
        <v>8</v>
      </c>
    </row>
    <row r="3009" spans="1:4" x14ac:dyDescent="0.25">
      <c r="A3009" t="s">
        <v>1647</v>
      </c>
    </row>
    <row r="3011" spans="1:4" x14ac:dyDescent="0.25">
      <c r="A3011" t="s">
        <v>1648</v>
      </c>
    </row>
    <row r="3012" spans="1:4" x14ac:dyDescent="0.25">
      <c r="B3012" t="s">
        <v>8</v>
      </c>
      <c r="C3012" t="s">
        <v>8</v>
      </c>
      <c r="D3012" t="s">
        <v>8</v>
      </c>
    </row>
    <row r="3013" spans="1:4" x14ac:dyDescent="0.25">
      <c r="A3013" t="s">
        <v>1649</v>
      </c>
    </row>
    <row r="3015" spans="1:4" x14ac:dyDescent="0.25">
      <c r="A3015" t="s">
        <v>1650</v>
      </c>
    </row>
    <row r="3016" spans="1:4" x14ac:dyDescent="0.25">
      <c r="B3016" t="s">
        <v>8</v>
      </c>
      <c r="C3016" t="s">
        <v>8</v>
      </c>
      <c r="D3016" t="s">
        <v>8</v>
      </c>
    </row>
    <row r="3017" spans="1:4" x14ac:dyDescent="0.25">
      <c r="A3017" t="s">
        <v>1651</v>
      </c>
    </row>
    <row r="3019" spans="1:4" x14ac:dyDescent="0.25">
      <c r="A3019" t="s">
        <v>1652</v>
      </c>
    </row>
    <row r="3020" spans="1:4" x14ac:dyDescent="0.25">
      <c r="B3020" t="s">
        <v>8</v>
      </c>
      <c r="C3020" t="s">
        <v>8</v>
      </c>
      <c r="D3020" t="s">
        <v>8</v>
      </c>
    </row>
    <row r="3021" spans="1:4" x14ac:dyDescent="0.25">
      <c r="A3021" t="s">
        <v>1653</v>
      </c>
    </row>
    <row r="3023" spans="1:4" x14ac:dyDescent="0.25">
      <c r="A3023" t="s">
        <v>1654</v>
      </c>
    </row>
    <row r="3025" spans="1:4" x14ac:dyDescent="0.25">
      <c r="A3025" t="s">
        <v>1655</v>
      </c>
    </row>
    <row r="3026" spans="1:4" x14ac:dyDescent="0.25">
      <c r="B3026" t="s">
        <v>8</v>
      </c>
      <c r="C3026" t="s">
        <v>8</v>
      </c>
      <c r="D3026" t="s">
        <v>8</v>
      </c>
    </row>
    <row r="3027" spans="1:4" x14ac:dyDescent="0.25">
      <c r="A3027" t="s">
        <v>1656</v>
      </c>
    </row>
    <row r="3029" spans="1:4" x14ac:dyDescent="0.25">
      <c r="A3029" t="s">
        <v>1657</v>
      </c>
    </row>
    <row r="3031" spans="1:4" x14ac:dyDescent="0.25">
      <c r="A3031" t="s">
        <v>1658</v>
      </c>
      <c r="B3031" s="1">
        <v>20901550.030000001</v>
      </c>
      <c r="C3031" s="1">
        <v>1910638.06</v>
      </c>
      <c r="D3031" s="1">
        <v>18990911.969999999</v>
      </c>
    </row>
    <row r="3032" spans="1:4" x14ac:dyDescent="0.25">
      <c r="A3032" t="s">
        <v>1659</v>
      </c>
      <c r="B3032" s="1">
        <v>72932.98</v>
      </c>
      <c r="C3032" s="1">
        <v>4990.5600000000004</v>
      </c>
      <c r="D3032" s="1">
        <v>67942.42</v>
      </c>
    </row>
    <row r="3033" spans="1:4" x14ac:dyDescent="0.25">
      <c r="A3033" t="s">
        <v>1660</v>
      </c>
      <c r="B3033" s="1">
        <v>2468162.6800000002</v>
      </c>
      <c r="C3033" s="1">
        <v>14792.53</v>
      </c>
      <c r="D3033" s="1">
        <v>2453370.15</v>
      </c>
    </row>
    <row r="3034" spans="1:4" x14ac:dyDescent="0.25">
      <c r="A3034" t="s">
        <v>1661</v>
      </c>
      <c r="B3034" s="1">
        <v>61954.55</v>
      </c>
      <c r="C3034" s="1">
        <v>2164.71</v>
      </c>
      <c r="D3034" s="1">
        <v>59789.84</v>
      </c>
    </row>
    <row r="3035" spans="1:4" x14ac:dyDescent="0.25">
      <c r="B3035" t="s">
        <v>8</v>
      </c>
      <c r="C3035" t="s">
        <v>8</v>
      </c>
      <c r="D3035" t="s">
        <v>8</v>
      </c>
    </row>
    <row r="3036" spans="1:4" x14ac:dyDescent="0.25">
      <c r="A3036" t="s">
        <v>1662</v>
      </c>
      <c r="B3036" s="1">
        <v>23504600.239999998</v>
      </c>
      <c r="C3036" s="1">
        <v>1932585.86</v>
      </c>
      <c r="D3036" s="1">
        <v>21572014.379999999</v>
      </c>
    </row>
    <row r="3038" spans="1:4" x14ac:dyDescent="0.25">
      <c r="A3038" t="s">
        <v>1663</v>
      </c>
    </row>
    <row r="3040" spans="1:4" x14ac:dyDescent="0.25">
      <c r="A3040" t="s">
        <v>1664</v>
      </c>
      <c r="B3040" s="1">
        <v>1854160.69</v>
      </c>
      <c r="C3040" s="1">
        <v>354807.35</v>
      </c>
      <c r="D3040" s="1">
        <v>1499353.34</v>
      </c>
    </row>
    <row r="3041" spans="1:4" x14ac:dyDescent="0.25">
      <c r="A3041" t="s">
        <v>1665</v>
      </c>
      <c r="B3041" s="1">
        <v>169399.53</v>
      </c>
      <c r="C3041">
        <v>179.55</v>
      </c>
      <c r="D3041" s="1">
        <v>169219.98</v>
      </c>
    </row>
    <row r="3042" spans="1:4" x14ac:dyDescent="0.25">
      <c r="A3042" t="s">
        <v>1666</v>
      </c>
      <c r="B3042" s="1">
        <v>41398.379999999997</v>
      </c>
      <c r="D3042" s="1">
        <v>41398.379999999997</v>
      </c>
    </row>
    <row r="3043" spans="1:4" x14ac:dyDescent="0.25">
      <c r="A3043" t="s">
        <v>1667</v>
      </c>
      <c r="B3043" s="1">
        <v>33838</v>
      </c>
      <c r="D3043" s="1">
        <v>33838</v>
      </c>
    </row>
    <row r="3044" spans="1:4" x14ac:dyDescent="0.25">
      <c r="B3044" t="s">
        <v>8</v>
      </c>
      <c r="C3044" t="s">
        <v>8</v>
      </c>
      <c r="D3044" t="s">
        <v>8</v>
      </c>
    </row>
    <row r="3045" spans="1:4" x14ac:dyDescent="0.25">
      <c r="A3045" t="s">
        <v>1668</v>
      </c>
      <c r="B3045" s="1">
        <v>2098796.6</v>
      </c>
      <c r="C3045" s="1">
        <v>354986.9</v>
      </c>
      <c r="D3045" s="1">
        <v>1743809.7</v>
      </c>
    </row>
    <row r="3047" spans="1:4" x14ac:dyDescent="0.25">
      <c r="A3047" t="s">
        <v>1669</v>
      </c>
    </row>
    <row r="3049" spans="1:4" x14ac:dyDescent="0.25">
      <c r="A3049" t="s">
        <v>1670</v>
      </c>
      <c r="B3049" s="1">
        <v>1809977.43</v>
      </c>
      <c r="C3049" s="1">
        <v>690716.99</v>
      </c>
      <c r="D3049" s="1">
        <v>1119260.44</v>
      </c>
    </row>
    <row r="3050" spans="1:4" x14ac:dyDescent="0.25">
      <c r="A3050" t="s">
        <v>1671</v>
      </c>
      <c r="B3050" s="1">
        <v>93418.62</v>
      </c>
      <c r="D3050" s="1">
        <v>93418.62</v>
      </c>
    </row>
    <row r="3051" spans="1:4" x14ac:dyDescent="0.25">
      <c r="B3051" t="s">
        <v>8</v>
      </c>
      <c r="C3051" t="s">
        <v>8</v>
      </c>
      <c r="D3051" t="s">
        <v>8</v>
      </c>
    </row>
    <row r="3052" spans="1:4" x14ac:dyDescent="0.25">
      <c r="A3052" t="s">
        <v>1672</v>
      </c>
      <c r="B3052" s="1">
        <v>1903396.05</v>
      </c>
      <c r="C3052" s="1">
        <v>690716.99</v>
      </c>
      <c r="D3052" s="1">
        <v>1212679.06</v>
      </c>
    </row>
    <row r="3054" spans="1:4" x14ac:dyDescent="0.25">
      <c r="A3054" t="s">
        <v>1673</v>
      </c>
    </row>
    <row r="3056" spans="1:4" x14ac:dyDescent="0.25">
      <c r="A3056" t="s">
        <v>1674</v>
      </c>
      <c r="B3056" s="1">
        <v>4996852.3600000003</v>
      </c>
      <c r="C3056" s="1">
        <v>1250535.68</v>
      </c>
      <c r="D3056" s="1">
        <v>3746316.68</v>
      </c>
    </row>
    <row r="3057" spans="1:4" x14ac:dyDescent="0.25">
      <c r="A3057" t="s">
        <v>1675</v>
      </c>
      <c r="B3057" s="1">
        <v>293578.90999999997</v>
      </c>
      <c r="C3057" s="1">
        <v>23831.040000000001</v>
      </c>
      <c r="D3057" s="1">
        <v>269747.87</v>
      </c>
    </row>
    <row r="3058" spans="1:4" x14ac:dyDescent="0.25">
      <c r="B3058" t="s">
        <v>8</v>
      </c>
      <c r="C3058" t="s">
        <v>8</v>
      </c>
      <c r="D3058" t="s">
        <v>8</v>
      </c>
    </row>
    <row r="3059" spans="1:4" x14ac:dyDescent="0.25">
      <c r="A3059" t="s">
        <v>1676</v>
      </c>
      <c r="B3059" s="1">
        <v>5290431.2699999996</v>
      </c>
      <c r="C3059" s="1">
        <v>1274366.72</v>
      </c>
      <c r="D3059" s="1">
        <v>4016064.55</v>
      </c>
    </row>
    <row r="3061" spans="1:4" x14ac:dyDescent="0.25">
      <c r="A3061" t="s">
        <v>1677</v>
      </c>
    </row>
    <row r="3063" spans="1:4" x14ac:dyDescent="0.25">
      <c r="A3063" t="s">
        <v>1678</v>
      </c>
      <c r="B3063" s="1">
        <v>484849.34</v>
      </c>
      <c r="D3063" s="1">
        <v>484849.34</v>
      </c>
    </row>
    <row r="3064" spans="1:4" x14ac:dyDescent="0.25">
      <c r="A3064" t="s">
        <v>1679</v>
      </c>
      <c r="B3064" s="1">
        <v>88165</v>
      </c>
      <c r="C3064">
        <v>867.24</v>
      </c>
      <c r="D3064" s="1">
        <v>87297.76</v>
      </c>
    </row>
    <row r="3065" spans="1:4" x14ac:dyDescent="0.25">
      <c r="A3065" t="s">
        <v>1680</v>
      </c>
      <c r="B3065">
        <v>523</v>
      </c>
      <c r="D3065">
        <v>523</v>
      </c>
    </row>
    <row r="3066" spans="1:4" x14ac:dyDescent="0.25">
      <c r="A3066" t="s">
        <v>1681</v>
      </c>
      <c r="B3066" s="1">
        <v>2291509.11</v>
      </c>
      <c r="C3066" s="1">
        <v>1984.42</v>
      </c>
      <c r="D3066" s="1">
        <v>2289524.69</v>
      </c>
    </row>
    <row r="3067" spans="1:4" x14ac:dyDescent="0.25">
      <c r="B3067" t="s">
        <v>8</v>
      </c>
      <c r="C3067" t="s">
        <v>8</v>
      </c>
      <c r="D3067" t="s">
        <v>8</v>
      </c>
    </row>
    <row r="3068" spans="1:4" x14ac:dyDescent="0.25">
      <c r="A3068" t="s">
        <v>1682</v>
      </c>
      <c r="B3068" s="1">
        <v>2865046.45</v>
      </c>
      <c r="C3068" s="1">
        <v>2851.66</v>
      </c>
      <c r="D3068" s="1">
        <v>2862194.79</v>
      </c>
    </row>
    <row r="3070" spans="1:4" x14ac:dyDescent="0.25">
      <c r="A3070" t="s">
        <v>1683</v>
      </c>
    </row>
    <row r="3072" spans="1:4" x14ac:dyDescent="0.25">
      <c r="A3072" t="s">
        <v>1684</v>
      </c>
      <c r="B3072" s="1">
        <v>558634.65</v>
      </c>
      <c r="C3072" s="1">
        <v>11187.5</v>
      </c>
      <c r="D3072" s="1">
        <v>547447.15</v>
      </c>
    </row>
    <row r="3073" spans="1:4" x14ac:dyDescent="0.25">
      <c r="A3073" t="s">
        <v>1685</v>
      </c>
      <c r="B3073" s="1">
        <v>501574.73</v>
      </c>
      <c r="D3073" s="1">
        <v>501574.73</v>
      </c>
    </row>
    <row r="3074" spans="1:4" x14ac:dyDescent="0.25">
      <c r="B3074" t="s">
        <v>8</v>
      </c>
      <c r="C3074" t="s">
        <v>8</v>
      </c>
      <c r="D3074" t="s">
        <v>8</v>
      </c>
    </row>
    <row r="3075" spans="1:4" x14ac:dyDescent="0.25">
      <c r="A3075" t="s">
        <v>1686</v>
      </c>
      <c r="B3075" s="1">
        <v>1060209.3799999999</v>
      </c>
      <c r="C3075" s="1">
        <v>11187.5</v>
      </c>
      <c r="D3075" s="1">
        <v>1049021.8799999999</v>
      </c>
    </row>
    <row r="3077" spans="1:4" x14ac:dyDescent="0.25">
      <c r="A3077" t="s">
        <v>1687</v>
      </c>
    </row>
    <row r="3079" spans="1:4" x14ac:dyDescent="0.25">
      <c r="A3079" t="s">
        <v>1688</v>
      </c>
      <c r="B3079" s="1">
        <v>23344.21</v>
      </c>
      <c r="D3079" s="1">
        <v>23344.21</v>
      </c>
    </row>
    <row r="3080" spans="1:4" x14ac:dyDescent="0.25">
      <c r="A3080" t="s">
        <v>1689</v>
      </c>
      <c r="B3080" s="1">
        <v>38289.75</v>
      </c>
      <c r="D3080" s="1">
        <v>38289.75</v>
      </c>
    </row>
    <row r="3081" spans="1:4" x14ac:dyDescent="0.25">
      <c r="A3081" t="s">
        <v>1690</v>
      </c>
      <c r="B3081" s="1">
        <v>63614.71</v>
      </c>
      <c r="C3081" s="1">
        <v>1370</v>
      </c>
      <c r="D3081" s="1">
        <v>62244.71</v>
      </c>
    </row>
    <row r="3082" spans="1:4" x14ac:dyDescent="0.25">
      <c r="A3082" t="s">
        <v>1691</v>
      </c>
      <c r="B3082" s="1">
        <v>1904.69</v>
      </c>
      <c r="D3082" s="1">
        <v>1904.69</v>
      </c>
    </row>
    <row r="3083" spans="1:4" x14ac:dyDescent="0.25">
      <c r="B3083" t="s">
        <v>8</v>
      </c>
      <c r="C3083" t="s">
        <v>8</v>
      </c>
      <c r="D3083" t="s">
        <v>8</v>
      </c>
    </row>
    <row r="3084" spans="1:4" x14ac:dyDescent="0.25">
      <c r="A3084" t="s">
        <v>1692</v>
      </c>
      <c r="B3084" s="1">
        <v>127153.36</v>
      </c>
      <c r="C3084" s="1">
        <v>1370</v>
      </c>
      <c r="D3084" s="1">
        <v>125783.36</v>
      </c>
    </row>
    <row r="3086" spans="1:4" x14ac:dyDescent="0.25">
      <c r="A3086" t="s">
        <v>1693</v>
      </c>
    </row>
    <row r="3088" spans="1:4" x14ac:dyDescent="0.25">
      <c r="A3088" t="s">
        <v>1694</v>
      </c>
      <c r="B3088" s="1">
        <v>5833342.6299999999</v>
      </c>
      <c r="C3088" s="1">
        <v>19639</v>
      </c>
      <c r="D3088" s="1">
        <v>5813703.6299999999</v>
      </c>
    </row>
    <row r="3089" spans="1:4" x14ac:dyDescent="0.25">
      <c r="A3089" t="s">
        <v>1695</v>
      </c>
      <c r="B3089" s="1">
        <v>12005.83</v>
      </c>
      <c r="D3089" s="1">
        <v>12005.83</v>
      </c>
    </row>
    <row r="3090" spans="1:4" x14ac:dyDescent="0.25">
      <c r="B3090" t="s">
        <v>8</v>
      </c>
      <c r="C3090" t="s">
        <v>8</v>
      </c>
      <c r="D3090" t="s">
        <v>8</v>
      </c>
    </row>
    <row r="3091" spans="1:4" x14ac:dyDescent="0.25">
      <c r="A3091" t="s">
        <v>1696</v>
      </c>
      <c r="B3091" s="1">
        <v>5845348.46</v>
      </c>
      <c r="C3091" s="1">
        <v>19639</v>
      </c>
      <c r="D3091" s="1">
        <v>5825709.46</v>
      </c>
    </row>
    <row r="3093" spans="1:4" x14ac:dyDescent="0.25">
      <c r="A3093" t="s">
        <v>1697</v>
      </c>
    </row>
    <row r="3095" spans="1:4" x14ac:dyDescent="0.25">
      <c r="A3095" t="s">
        <v>1698</v>
      </c>
      <c r="B3095" s="1">
        <v>282886.78999999998</v>
      </c>
      <c r="D3095" s="1">
        <v>282886.78999999998</v>
      </c>
    </row>
    <row r="3096" spans="1:4" x14ac:dyDescent="0.25">
      <c r="B3096" t="s">
        <v>8</v>
      </c>
      <c r="C3096" t="s">
        <v>8</v>
      </c>
      <c r="D3096" t="s">
        <v>8</v>
      </c>
    </row>
    <row r="3097" spans="1:4" x14ac:dyDescent="0.25">
      <c r="A3097" t="s">
        <v>1699</v>
      </c>
      <c r="B3097" s="1">
        <v>282886.78999999998</v>
      </c>
      <c r="D3097" s="1">
        <v>282886.78999999998</v>
      </c>
    </row>
    <row r="3099" spans="1:4" x14ac:dyDescent="0.25">
      <c r="A3099" t="s">
        <v>1700</v>
      </c>
    </row>
    <row r="3101" spans="1:4" x14ac:dyDescent="0.25">
      <c r="A3101" t="s">
        <v>1701</v>
      </c>
      <c r="B3101" s="1">
        <v>1209.0899999999999</v>
      </c>
      <c r="D3101" s="1">
        <v>1209.0899999999999</v>
      </c>
    </row>
    <row r="3102" spans="1:4" x14ac:dyDescent="0.25">
      <c r="A3102" t="s">
        <v>1702</v>
      </c>
      <c r="B3102" s="1">
        <v>1400</v>
      </c>
      <c r="D3102" s="1">
        <v>1400</v>
      </c>
    </row>
    <row r="3103" spans="1:4" x14ac:dyDescent="0.25">
      <c r="B3103" t="s">
        <v>8</v>
      </c>
      <c r="C3103" t="s">
        <v>8</v>
      </c>
      <c r="D3103" t="s">
        <v>8</v>
      </c>
    </row>
    <row r="3104" spans="1:4" x14ac:dyDescent="0.25">
      <c r="A3104" t="s">
        <v>1703</v>
      </c>
      <c r="B3104" s="1">
        <v>2609.09</v>
      </c>
      <c r="D3104" s="1">
        <v>2609.09</v>
      </c>
    </row>
    <row r="3106" spans="1:4" x14ac:dyDescent="0.25">
      <c r="A3106" t="s">
        <v>1704</v>
      </c>
    </row>
    <row r="3107" spans="1:4" x14ac:dyDescent="0.25">
      <c r="B3107" t="s">
        <v>8</v>
      </c>
      <c r="C3107" t="s">
        <v>8</v>
      </c>
      <c r="D3107" t="s">
        <v>8</v>
      </c>
    </row>
    <row r="3108" spans="1:4" x14ac:dyDescent="0.25">
      <c r="A3108" t="s">
        <v>1705</v>
      </c>
    </row>
    <row r="3110" spans="1:4" x14ac:dyDescent="0.25">
      <c r="A3110" t="s">
        <v>1706</v>
      </c>
    </row>
    <row r="3112" spans="1:4" x14ac:dyDescent="0.25">
      <c r="A3112" t="s">
        <v>1707</v>
      </c>
      <c r="B3112" s="1">
        <v>23556.9</v>
      </c>
      <c r="D3112" s="1">
        <v>23556.9</v>
      </c>
    </row>
    <row r="3113" spans="1:4" x14ac:dyDescent="0.25">
      <c r="A3113" t="s">
        <v>1708</v>
      </c>
      <c r="B3113" s="1">
        <v>104476.81</v>
      </c>
      <c r="D3113" s="1">
        <v>104476.81</v>
      </c>
    </row>
    <row r="3114" spans="1:4" x14ac:dyDescent="0.25">
      <c r="A3114" t="s">
        <v>1709</v>
      </c>
      <c r="B3114" s="1">
        <v>232992.54</v>
      </c>
      <c r="C3114" s="1">
        <v>2623.58</v>
      </c>
      <c r="D3114" s="1">
        <v>230368.96</v>
      </c>
    </row>
    <row r="3115" spans="1:4" x14ac:dyDescent="0.25">
      <c r="B3115" t="s">
        <v>8</v>
      </c>
      <c r="C3115" t="s">
        <v>8</v>
      </c>
      <c r="D3115" t="s">
        <v>8</v>
      </c>
    </row>
    <row r="3116" spans="1:4" x14ac:dyDescent="0.25">
      <c r="A3116" t="s">
        <v>1710</v>
      </c>
      <c r="B3116" s="1">
        <v>361026.25</v>
      </c>
      <c r="C3116" s="1">
        <v>2623.58</v>
      </c>
      <c r="D3116" s="1">
        <v>358402.67</v>
      </c>
    </row>
    <row r="3118" spans="1:4" x14ac:dyDescent="0.25">
      <c r="A3118" t="s">
        <v>1711</v>
      </c>
    </row>
    <row r="3120" spans="1:4" x14ac:dyDescent="0.25">
      <c r="A3120" t="s">
        <v>1712</v>
      </c>
      <c r="B3120" s="1">
        <v>231260.33</v>
      </c>
      <c r="C3120" s="1">
        <v>5461.64</v>
      </c>
      <c r="D3120" s="1">
        <v>225798.69</v>
      </c>
    </row>
    <row r="3121" spans="1:4" x14ac:dyDescent="0.25">
      <c r="A3121" t="s">
        <v>1713</v>
      </c>
      <c r="B3121" s="1">
        <v>293300</v>
      </c>
      <c r="D3121" s="1">
        <v>293300</v>
      </c>
    </row>
    <row r="3122" spans="1:4" x14ac:dyDescent="0.25">
      <c r="B3122" t="s">
        <v>8</v>
      </c>
      <c r="C3122" t="s">
        <v>8</v>
      </c>
      <c r="D3122" t="s">
        <v>8</v>
      </c>
    </row>
    <row r="3123" spans="1:4" x14ac:dyDescent="0.25">
      <c r="A3123" t="s">
        <v>1714</v>
      </c>
      <c r="B3123" s="1">
        <v>524560.32999999996</v>
      </c>
      <c r="C3123" s="1">
        <v>5461.64</v>
      </c>
      <c r="D3123" s="1">
        <v>519098.69</v>
      </c>
    </row>
    <row r="3125" spans="1:4" x14ac:dyDescent="0.25">
      <c r="A3125" t="s">
        <v>1715</v>
      </c>
    </row>
    <row r="3127" spans="1:4" x14ac:dyDescent="0.25">
      <c r="A3127" t="s">
        <v>1716</v>
      </c>
      <c r="B3127" s="1">
        <v>282709.69</v>
      </c>
      <c r="D3127" s="1">
        <v>282709.69</v>
      </c>
    </row>
    <row r="3128" spans="1:4" x14ac:dyDescent="0.25">
      <c r="A3128" t="s">
        <v>1717</v>
      </c>
      <c r="B3128" s="1">
        <v>54363.64</v>
      </c>
      <c r="D3128" s="1">
        <v>54363.64</v>
      </c>
    </row>
    <row r="3129" spans="1:4" x14ac:dyDescent="0.25">
      <c r="A3129" t="s">
        <v>1718</v>
      </c>
      <c r="B3129" s="1">
        <v>7530.72</v>
      </c>
      <c r="D3129" s="1">
        <v>7530.72</v>
      </c>
    </row>
    <row r="3130" spans="1:4" x14ac:dyDescent="0.25">
      <c r="A3130" t="s">
        <v>1719</v>
      </c>
      <c r="B3130" s="1">
        <v>300385.64</v>
      </c>
      <c r="D3130" s="1">
        <v>300385.64</v>
      </c>
    </row>
    <row r="3131" spans="1:4" x14ac:dyDescent="0.25">
      <c r="A3131" t="s">
        <v>1720</v>
      </c>
      <c r="B3131" s="1">
        <v>37800.9</v>
      </c>
      <c r="C3131">
        <v>60.3</v>
      </c>
      <c r="D3131" s="1">
        <v>37740.6</v>
      </c>
    </row>
    <row r="3132" spans="1:4" x14ac:dyDescent="0.25">
      <c r="B3132" t="s">
        <v>8</v>
      </c>
      <c r="C3132" t="s">
        <v>8</v>
      </c>
      <c r="D3132" t="s">
        <v>8</v>
      </c>
    </row>
    <row r="3133" spans="1:4" x14ac:dyDescent="0.25">
      <c r="A3133" t="s">
        <v>1721</v>
      </c>
      <c r="B3133" s="1">
        <v>682790.59</v>
      </c>
      <c r="C3133">
        <v>60.3</v>
      </c>
      <c r="D3133" s="1">
        <v>682730.29</v>
      </c>
    </row>
    <row r="3135" spans="1:4" x14ac:dyDescent="0.25">
      <c r="A3135" t="s">
        <v>1722</v>
      </c>
    </row>
    <row r="3137" spans="1:4" x14ac:dyDescent="0.25">
      <c r="A3137" t="s">
        <v>1723</v>
      </c>
      <c r="B3137" s="1">
        <v>3819947.08</v>
      </c>
      <c r="D3137" s="1">
        <v>3819947.08</v>
      </c>
    </row>
    <row r="3138" spans="1:4" x14ac:dyDescent="0.25">
      <c r="A3138" t="s">
        <v>1724</v>
      </c>
      <c r="B3138" s="1">
        <v>2004543.23</v>
      </c>
      <c r="D3138" s="1">
        <v>2004543.23</v>
      </c>
    </row>
    <row r="3139" spans="1:4" x14ac:dyDescent="0.25">
      <c r="B3139" t="s">
        <v>8</v>
      </c>
      <c r="C3139" t="s">
        <v>8</v>
      </c>
      <c r="D3139" t="s">
        <v>8</v>
      </c>
    </row>
    <row r="3140" spans="1:4" x14ac:dyDescent="0.25">
      <c r="A3140" t="s">
        <v>1725</v>
      </c>
      <c r="B3140" s="1">
        <v>5824490.3099999996</v>
      </c>
      <c r="D3140" s="1">
        <v>5824490.3099999996</v>
      </c>
    </row>
    <row r="3142" spans="1:4" x14ac:dyDescent="0.25">
      <c r="A3142" t="s">
        <v>1726</v>
      </c>
    </row>
    <row r="3144" spans="1:4" x14ac:dyDescent="0.25">
      <c r="A3144" t="s">
        <v>1727</v>
      </c>
      <c r="B3144" s="1">
        <v>20046.04</v>
      </c>
      <c r="C3144">
        <v>120</v>
      </c>
      <c r="D3144" s="1">
        <v>19926.04</v>
      </c>
    </row>
    <row r="3145" spans="1:4" x14ac:dyDescent="0.25">
      <c r="A3145" t="s">
        <v>1728</v>
      </c>
      <c r="B3145">
        <v>520.22</v>
      </c>
      <c r="D3145">
        <v>520.22</v>
      </c>
    </row>
    <row r="3146" spans="1:4" x14ac:dyDescent="0.25">
      <c r="B3146" t="s">
        <v>8</v>
      </c>
      <c r="C3146" t="s">
        <v>8</v>
      </c>
      <c r="D3146" t="s">
        <v>8</v>
      </c>
    </row>
    <row r="3147" spans="1:4" x14ac:dyDescent="0.25">
      <c r="A3147" t="s">
        <v>1729</v>
      </c>
      <c r="B3147" s="1">
        <v>20566.259999999998</v>
      </c>
      <c r="C3147">
        <v>120</v>
      </c>
      <c r="D3147" s="1">
        <v>20446.259999999998</v>
      </c>
    </row>
    <row r="3149" spans="1:4" x14ac:dyDescent="0.25">
      <c r="A3149" t="s">
        <v>1730</v>
      </c>
    </row>
    <row r="3151" spans="1:4" x14ac:dyDescent="0.25">
      <c r="A3151" t="s">
        <v>1731</v>
      </c>
      <c r="B3151" s="1">
        <v>333514.84999999998</v>
      </c>
      <c r="C3151" s="1">
        <v>11848.87</v>
      </c>
      <c r="D3151" s="1">
        <v>321665.98</v>
      </c>
    </row>
    <row r="3152" spans="1:4" x14ac:dyDescent="0.25">
      <c r="B3152" t="s">
        <v>8</v>
      </c>
      <c r="C3152" t="s">
        <v>8</v>
      </c>
      <c r="D3152" t="s">
        <v>8</v>
      </c>
    </row>
    <row r="3153" spans="1:4" x14ac:dyDescent="0.25">
      <c r="A3153" t="s">
        <v>1732</v>
      </c>
      <c r="B3153" s="1">
        <v>333514.84999999998</v>
      </c>
      <c r="C3153" s="1">
        <v>11848.87</v>
      </c>
      <c r="D3153" s="1">
        <v>321665.98</v>
      </c>
    </row>
    <row r="3155" spans="1:4" x14ac:dyDescent="0.25">
      <c r="A3155" t="s">
        <v>1733</v>
      </c>
    </row>
    <row r="3157" spans="1:4" x14ac:dyDescent="0.25">
      <c r="A3157" t="s">
        <v>1734</v>
      </c>
      <c r="B3157" s="1">
        <v>870956.27</v>
      </c>
      <c r="C3157" s="1">
        <v>2400</v>
      </c>
      <c r="D3157" s="1">
        <v>868556.27</v>
      </c>
    </row>
    <row r="3158" spans="1:4" x14ac:dyDescent="0.25">
      <c r="A3158" t="s">
        <v>1735</v>
      </c>
      <c r="B3158" s="1">
        <v>118033.19</v>
      </c>
      <c r="C3158" s="1">
        <v>118033.19</v>
      </c>
    </row>
    <row r="3159" spans="1:4" x14ac:dyDescent="0.25">
      <c r="A3159" t="s">
        <v>1736</v>
      </c>
      <c r="B3159" s="1">
        <v>1153868.3999999999</v>
      </c>
      <c r="C3159" s="1">
        <v>328270.40000000002</v>
      </c>
      <c r="D3159" s="1">
        <v>825598</v>
      </c>
    </row>
    <row r="3160" spans="1:4" x14ac:dyDescent="0.25">
      <c r="B3160" t="s">
        <v>8</v>
      </c>
      <c r="C3160" t="s">
        <v>8</v>
      </c>
      <c r="D3160" t="s">
        <v>8</v>
      </c>
    </row>
    <row r="3161" spans="1:4" x14ac:dyDescent="0.25">
      <c r="A3161" t="s">
        <v>1737</v>
      </c>
      <c r="B3161" s="1">
        <v>2142857.86</v>
      </c>
      <c r="C3161" s="1">
        <v>448703.59</v>
      </c>
      <c r="D3161" s="1">
        <v>1694154.27</v>
      </c>
    </row>
    <row r="3163" spans="1:4" x14ac:dyDescent="0.25">
      <c r="A3163" t="s">
        <v>1738</v>
      </c>
    </row>
    <row r="3165" spans="1:4" x14ac:dyDescent="0.25">
      <c r="A3165" t="s">
        <v>1739</v>
      </c>
      <c r="B3165" s="1">
        <v>5409.99</v>
      </c>
      <c r="D3165" s="1">
        <v>5409.99</v>
      </c>
    </row>
    <row r="3166" spans="1:4" x14ac:dyDescent="0.25">
      <c r="B3166" t="s">
        <v>8</v>
      </c>
      <c r="C3166" t="s">
        <v>8</v>
      </c>
      <c r="D3166" t="s">
        <v>8</v>
      </c>
    </row>
    <row r="3167" spans="1:4" x14ac:dyDescent="0.25">
      <c r="A3167" t="s">
        <v>1740</v>
      </c>
      <c r="B3167" s="1">
        <v>5409.99</v>
      </c>
      <c r="D3167" s="1">
        <v>5409.99</v>
      </c>
    </row>
    <row r="3169" spans="1:4" x14ac:dyDescent="0.25">
      <c r="A3169" t="s">
        <v>1741</v>
      </c>
    </row>
    <row r="3171" spans="1:4" x14ac:dyDescent="0.25">
      <c r="A3171" t="s">
        <v>1742</v>
      </c>
      <c r="B3171" s="1">
        <v>1099950.8500000001</v>
      </c>
      <c r="C3171" s="1">
        <v>176385.95</v>
      </c>
      <c r="D3171" s="1">
        <v>923564.9</v>
      </c>
    </row>
    <row r="3172" spans="1:4" x14ac:dyDescent="0.25">
      <c r="A3172" t="s">
        <v>1743</v>
      </c>
      <c r="B3172" s="1">
        <v>71488.5</v>
      </c>
      <c r="C3172" s="1">
        <v>1275.52</v>
      </c>
      <c r="D3172" s="1">
        <v>70212.98</v>
      </c>
    </row>
    <row r="3173" spans="1:4" x14ac:dyDescent="0.25">
      <c r="A3173" t="s">
        <v>1744</v>
      </c>
      <c r="B3173" s="1">
        <v>43593.64</v>
      </c>
      <c r="C3173" s="1">
        <v>3726.3</v>
      </c>
      <c r="D3173" s="1">
        <v>39867.339999999997</v>
      </c>
    </row>
    <row r="3174" spans="1:4" x14ac:dyDescent="0.25">
      <c r="A3174" t="s">
        <v>1745</v>
      </c>
      <c r="B3174" s="1">
        <v>677513.49</v>
      </c>
      <c r="C3174" s="1">
        <v>3075.56</v>
      </c>
      <c r="D3174" s="1">
        <v>674437.93</v>
      </c>
    </row>
    <row r="3175" spans="1:4" x14ac:dyDescent="0.25">
      <c r="A3175" t="s">
        <v>1746</v>
      </c>
      <c r="B3175" s="1">
        <v>10778.65</v>
      </c>
      <c r="D3175" s="1">
        <v>10778.65</v>
      </c>
    </row>
    <row r="3176" spans="1:4" x14ac:dyDescent="0.25">
      <c r="A3176" t="s">
        <v>1747</v>
      </c>
      <c r="B3176" s="1">
        <v>6244.98</v>
      </c>
      <c r="C3176" s="1">
        <v>1465.2</v>
      </c>
      <c r="D3176" s="1">
        <v>4779.78</v>
      </c>
    </row>
    <row r="3177" spans="1:4" x14ac:dyDescent="0.25">
      <c r="B3177" t="s">
        <v>8</v>
      </c>
      <c r="C3177" t="s">
        <v>8</v>
      </c>
      <c r="D3177" t="s">
        <v>8</v>
      </c>
    </row>
    <row r="3178" spans="1:4" x14ac:dyDescent="0.25">
      <c r="A3178" t="s">
        <v>1748</v>
      </c>
      <c r="B3178" s="1">
        <v>1909570.11</v>
      </c>
      <c r="C3178" s="1">
        <v>185928.53</v>
      </c>
      <c r="D3178" s="1">
        <v>1723641.58</v>
      </c>
    </row>
    <row r="3180" spans="1:4" x14ac:dyDescent="0.25">
      <c r="A3180" t="s">
        <v>1749</v>
      </c>
    </row>
    <row r="3181" spans="1:4" x14ac:dyDescent="0.25">
      <c r="B3181" t="s">
        <v>8</v>
      </c>
      <c r="C3181" t="s">
        <v>8</v>
      </c>
      <c r="D3181" t="s">
        <v>8</v>
      </c>
    </row>
    <row r="3182" spans="1:4" x14ac:dyDescent="0.25">
      <c r="A3182" t="s">
        <v>1750</v>
      </c>
    </row>
    <row r="3184" spans="1:4" x14ac:dyDescent="0.25">
      <c r="A3184" t="s">
        <v>1751</v>
      </c>
    </row>
    <row r="3186" spans="1:4" x14ac:dyDescent="0.25">
      <c r="A3186" t="s">
        <v>2387</v>
      </c>
      <c r="B3186" s="1">
        <v>4968.63</v>
      </c>
      <c r="C3186" s="1">
        <v>4622</v>
      </c>
      <c r="D3186">
        <v>346.63</v>
      </c>
    </row>
    <row r="3187" spans="1:4" x14ac:dyDescent="0.25">
      <c r="A3187" t="s">
        <v>1752</v>
      </c>
      <c r="B3187" s="1">
        <v>101337.82</v>
      </c>
      <c r="D3187" s="1">
        <v>101337.82</v>
      </c>
    </row>
    <row r="3188" spans="1:4" x14ac:dyDescent="0.25">
      <c r="A3188" t="s">
        <v>2388</v>
      </c>
      <c r="B3188" s="1">
        <v>8153.64</v>
      </c>
      <c r="D3188" s="1">
        <v>8153.64</v>
      </c>
    </row>
    <row r="3189" spans="1:4" x14ac:dyDescent="0.25">
      <c r="A3189" t="s">
        <v>2389</v>
      </c>
      <c r="B3189">
        <v>405</v>
      </c>
      <c r="D3189">
        <v>405</v>
      </c>
    </row>
    <row r="3190" spans="1:4" x14ac:dyDescent="0.25">
      <c r="B3190" t="s">
        <v>8</v>
      </c>
      <c r="C3190" t="s">
        <v>8</v>
      </c>
      <c r="D3190" t="s">
        <v>8</v>
      </c>
    </row>
    <row r="3191" spans="1:4" x14ac:dyDescent="0.25">
      <c r="A3191" t="s">
        <v>1753</v>
      </c>
      <c r="B3191" s="1">
        <v>114865.09</v>
      </c>
      <c r="C3191" s="1">
        <v>4622</v>
      </c>
      <c r="D3191" s="1">
        <v>110243.09</v>
      </c>
    </row>
    <row r="3193" spans="1:4" x14ac:dyDescent="0.25">
      <c r="A3193" t="s">
        <v>1754</v>
      </c>
    </row>
    <row r="3195" spans="1:4" x14ac:dyDescent="0.25">
      <c r="A3195" t="s">
        <v>1755</v>
      </c>
      <c r="B3195" s="1">
        <v>2032881.16</v>
      </c>
      <c r="D3195" s="1">
        <v>2032881.16</v>
      </c>
    </row>
    <row r="3196" spans="1:4" x14ac:dyDescent="0.25">
      <c r="A3196" t="s">
        <v>1756</v>
      </c>
      <c r="B3196" s="1">
        <v>798839.46</v>
      </c>
      <c r="D3196" s="1">
        <v>798839.46</v>
      </c>
    </row>
    <row r="3197" spans="1:4" x14ac:dyDescent="0.25">
      <c r="B3197" t="s">
        <v>8</v>
      </c>
      <c r="C3197" t="s">
        <v>8</v>
      </c>
      <c r="D3197" t="s">
        <v>8</v>
      </c>
    </row>
    <row r="3198" spans="1:4" x14ac:dyDescent="0.25">
      <c r="A3198" t="s">
        <v>1757</v>
      </c>
      <c r="B3198" s="1">
        <v>2831720.62</v>
      </c>
      <c r="D3198" s="1">
        <v>2831720.62</v>
      </c>
    </row>
    <row r="3200" spans="1:4" x14ac:dyDescent="0.25">
      <c r="A3200" t="s">
        <v>1758</v>
      </c>
    </row>
    <row r="3202" spans="1:4" x14ac:dyDescent="0.25">
      <c r="A3202" t="s">
        <v>1759</v>
      </c>
      <c r="B3202" s="1">
        <v>21662.92</v>
      </c>
      <c r="D3202" s="1">
        <v>21662.92</v>
      </c>
    </row>
    <row r="3203" spans="1:4" x14ac:dyDescent="0.25">
      <c r="A3203" t="s">
        <v>1760</v>
      </c>
      <c r="B3203" s="1">
        <v>6939270.2999999998</v>
      </c>
      <c r="D3203" s="1">
        <v>6939270.2999999998</v>
      </c>
    </row>
    <row r="3204" spans="1:4" x14ac:dyDescent="0.25">
      <c r="B3204" t="s">
        <v>8</v>
      </c>
      <c r="C3204" t="s">
        <v>8</v>
      </c>
      <c r="D3204" t="s">
        <v>8</v>
      </c>
    </row>
    <row r="3205" spans="1:4" x14ac:dyDescent="0.25">
      <c r="A3205" t="s">
        <v>1761</v>
      </c>
      <c r="B3205" s="1">
        <v>6960933.2199999997</v>
      </c>
      <c r="D3205" s="1">
        <v>6960933.2199999997</v>
      </c>
    </row>
    <row r="3207" spans="1:4" x14ac:dyDescent="0.25">
      <c r="B3207" t="s">
        <v>8</v>
      </c>
      <c r="C3207" t="s">
        <v>8</v>
      </c>
      <c r="D3207" t="s">
        <v>8</v>
      </c>
    </row>
    <row r="3208" spans="1:4" x14ac:dyDescent="0.25">
      <c r="A3208" t="s">
        <v>1762</v>
      </c>
      <c r="B3208" s="1">
        <v>64692783.170000002</v>
      </c>
      <c r="C3208" s="1">
        <v>4947073.1399999997</v>
      </c>
      <c r="D3208" s="1">
        <v>59745710.030000001</v>
      </c>
    </row>
    <row r="3210" spans="1:4" x14ac:dyDescent="0.25">
      <c r="A3210" t="s">
        <v>1763</v>
      </c>
    </row>
    <row r="3212" spans="1:4" x14ac:dyDescent="0.25">
      <c r="A3212" t="s">
        <v>1764</v>
      </c>
    </row>
    <row r="3213" spans="1:4" x14ac:dyDescent="0.25">
      <c r="B3213" t="s">
        <v>8</v>
      </c>
      <c r="C3213" t="s">
        <v>8</v>
      </c>
      <c r="D3213" t="s">
        <v>8</v>
      </c>
    </row>
    <row r="3214" spans="1:4" x14ac:dyDescent="0.25">
      <c r="A3214" t="s">
        <v>1765</v>
      </c>
    </row>
    <row r="3216" spans="1:4" x14ac:dyDescent="0.25">
      <c r="B3216" t="s">
        <v>8</v>
      </c>
      <c r="C3216" t="s">
        <v>8</v>
      </c>
      <c r="D3216" t="s">
        <v>8</v>
      </c>
    </row>
    <row r="3217" spans="1:4" x14ac:dyDescent="0.25">
      <c r="A3217" t="s">
        <v>1766</v>
      </c>
    </row>
    <row r="3219" spans="1:4" x14ac:dyDescent="0.25">
      <c r="A3219" t="s">
        <v>1767</v>
      </c>
    </row>
    <row r="3221" spans="1:4" x14ac:dyDescent="0.25">
      <c r="A3221" t="s">
        <v>1768</v>
      </c>
    </row>
    <row r="3222" spans="1:4" x14ac:dyDescent="0.25">
      <c r="B3222" t="s">
        <v>8</v>
      </c>
      <c r="C3222" t="s">
        <v>8</v>
      </c>
      <c r="D3222" t="s">
        <v>8</v>
      </c>
    </row>
    <row r="3223" spans="1:4" x14ac:dyDescent="0.25">
      <c r="A3223" t="s">
        <v>1769</v>
      </c>
    </row>
    <row r="3225" spans="1:4" x14ac:dyDescent="0.25">
      <c r="A3225" t="s">
        <v>1770</v>
      </c>
    </row>
    <row r="3227" spans="1:4" x14ac:dyDescent="0.25">
      <c r="A3227" t="s">
        <v>1771</v>
      </c>
      <c r="B3227" s="1">
        <v>1807116.27</v>
      </c>
      <c r="C3227" s="1">
        <v>141476.25</v>
      </c>
      <c r="D3227" s="1">
        <v>1665640.02</v>
      </c>
    </row>
    <row r="3228" spans="1:4" x14ac:dyDescent="0.25">
      <c r="A3228" t="s">
        <v>1772</v>
      </c>
      <c r="B3228" s="1">
        <v>3561233.28</v>
      </c>
      <c r="C3228" s="1">
        <v>348464.97</v>
      </c>
      <c r="D3228" s="1">
        <v>3212768.31</v>
      </c>
    </row>
    <row r="3229" spans="1:4" x14ac:dyDescent="0.25">
      <c r="A3229" t="s">
        <v>1773</v>
      </c>
      <c r="B3229" s="1">
        <v>140315.25</v>
      </c>
      <c r="D3229" s="1">
        <v>140315.25</v>
      </c>
    </row>
    <row r="3230" spans="1:4" x14ac:dyDescent="0.25">
      <c r="A3230" t="s">
        <v>1774</v>
      </c>
      <c r="B3230" s="1">
        <v>54585.04</v>
      </c>
      <c r="C3230" s="1">
        <v>12900.7</v>
      </c>
      <c r="D3230" s="1">
        <v>41684.339999999997</v>
      </c>
    </row>
    <row r="3231" spans="1:4" x14ac:dyDescent="0.25">
      <c r="B3231" t="s">
        <v>8</v>
      </c>
      <c r="C3231" t="s">
        <v>8</v>
      </c>
      <c r="D3231" t="s">
        <v>8</v>
      </c>
    </row>
    <row r="3232" spans="1:4" x14ac:dyDescent="0.25">
      <c r="A3232" t="s">
        <v>1775</v>
      </c>
      <c r="B3232" s="1">
        <v>5563249.8399999999</v>
      </c>
      <c r="C3232" s="1">
        <v>502841.92</v>
      </c>
      <c r="D3232" s="1">
        <v>5060407.92</v>
      </c>
    </row>
    <row r="3234" spans="1:4" x14ac:dyDescent="0.25">
      <c r="A3234" t="s">
        <v>1776</v>
      </c>
    </row>
    <row r="3236" spans="1:4" x14ac:dyDescent="0.25">
      <c r="A3236" t="s">
        <v>1777</v>
      </c>
      <c r="B3236" s="1">
        <v>326617.11</v>
      </c>
      <c r="C3236" s="1">
        <v>45294.62</v>
      </c>
      <c r="D3236" s="1">
        <v>281322.49</v>
      </c>
    </row>
    <row r="3237" spans="1:4" x14ac:dyDescent="0.25">
      <c r="A3237" t="s">
        <v>1778</v>
      </c>
      <c r="B3237" s="1">
        <v>146419.20000000001</v>
      </c>
      <c r="D3237" s="1">
        <v>146419.20000000001</v>
      </c>
    </row>
    <row r="3238" spans="1:4" x14ac:dyDescent="0.25">
      <c r="A3238" t="s">
        <v>1779</v>
      </c>
      <c r="B3238" s="1">
        <v>1160</v>
      </c>
      <c r="D3238" s="1">
        <v>1160</v>
      </c>
    </row>
    <row r="3239" spans="1:4" x14ac:dyDescent="0.25">
      <c r="A3239" t="s">
        <v>1780</v>
      </c>
      <c r="B3239" s="1">
        <v>2729.2</v>
      </c>
      <c r="D3239" s="1">
        <v>2729.2</v>
      </c>
    </row>
    <row r="3240" spans="1:4" x14ac:dyDescent="0.25">
      <c r="B3240" t="s">
        <v>8</v>
      </c>
      <c r="C3240" t="s">
        <v>8</v>
      </c>
      <c r="D3240" t="s">
        <v>8</v>
      </c>
    </row>
    <row r="3241" spans="1:4" x14ac:dyDescent="0.25">
      <c r="A3241" t="s">
        <v>1781</v>
      </c>
      <c r="B3241" s="1">
        <v>476925.51</v>
      </c>
      <c r="C3241" s="1">
        <v>45294.62</v>
      </c>
      <c r="D3241" s="1">
        <v>431630.89</v>
      </c>
    </row>
    <row r="3243" spans="1:4" x14ac:dyDescent="0.25">
      <c r="A3243" t="s">
        <v>1782</v>
      </c>
    </row>
    <row r="3245" spans="1:4" x14ac:dyDescent="0.25">
      <c r="A3245" t="s">
        <v>1783</v>
      </c>
      <c r="B3245" s="1">
        <v>258811.56</v>
      </c>
      <c r="D3245" s="1">
        <v>258811.56</v>
      </c>
    </row>
    <row r="3246" spans="1:4" x14ac:dyDescent="0.25">
      <c r="A3246" t="s">
        <v>1784</v>
      </c>
      <c r="B3246" s="1">
        <v>60472.14</v>
      </c>
      <c r="D3246" s="1">
        <v>60472.14</v>
      </c>
    </row>
    <row r="3247" spans="1:4" x14ac:dyDescent="0.25">
      <c r="B3247" t="s">
        <v>8</v>
      </c>
      <c r="C3247" t="s">
        <v>8</v>
      </c>
      <c r="D3247" t="s">
        <v>8</v>
      </c>
    </row>
    <row r="3248" spans="1:4" x14ac:dyDescent="0.25">
      <c r="A3248" t="s">
        <v>1785</v>
      </c>
      <c r="B3248" s="1">
        <v>319283.7</v>
      </c>
      <c r="D3248" s="1">
        <v>319283.7</v>
      </c>
    </row>
    <row r="3250" spans="1:4" x14ac:dyDescent="0.25">
      <c r="A3250" t="s">
        <v>1786</v>
      </c>
    </row>
    <row r="3252" spans="1:4" x14ac:dyDescent="0.25">
      <c r="A3252" t="s">
        <v>1787</v>
      </c>
      <c r="B3252" s="1">
        <v>607182.76</v>
      </c>
      <c r="C3252" s="1">
        <v>83329.78</v>
      </c>
      <c r="D3252" s="1">
        <v>523852.98</v>
      </c>
    </row>
    <row r="3253" spans="1:4" x14ac:dyDescent="0.25">
      <c r="A3253" t="s">
        <v>1788</v>
      </c>
      <c r="B3253" s="1">
        <v>68071.149999999994</v>
      </c>
      <c r="C3253" s="1">
        <v>7227.32</v>
      </c>
      <c r="D3253" s="1">
        <v>60843.83</v>
      </c>
    </row>
    <row r="3254" spans="1:4" x14ac:dyDescent="0.25">
      <c r="B3254" t="s">
        <v>8</v>
      </c>
      <c r="C3254" t="s">
        <v>8</v>
      </c>
      <c r="D3254" t="s">
        <v>8</v>
      </c>
    </row>
    <row r="3255" spans="1:4" x14ac:dyDescent="0.25">
      <c r="A3255" t="s">
        <v>1789</v>
      </c>
      <c r="B3255" s="1">
        <v>675253.91</v>
      </c>
      <c r="C3255" s="1">
        <v>90557.1</v>
      </c>
      <c r="D3255" s="1">
        <v>584696.81000000006</v>
      </c>
    </row>
    <row r="3257" spans="1:4" x14ac:dyDescent="0.25">
      <c r="A3257" t="s">
        <v>1790</v>
      </c>
    </row>
    <row r="3259" spans="1:4" x14ac:dyDescent="0.25">
      <c r="A3259" t="s">
        <v>1791</v>
      </c>
      <c r="B3259" s="1">
        <v>72490.3</v>
      </c>
      <c r="D3259" s="1">
        <v>72490.3</v>
      </c>
    </row>
    <row r="3260" spans="1:4" x14ac:dyDescent="0.25">
      <c r="A3260" t="s">
        <v>1792</v>
      </c>
      <c r="B3260">
        <v>984.32</v>
      </c>
      <c r="D3260">
        <v>984.32</v>
      </c>
    </row>
    <row r="3261" spans="1:4" x14ac:dyDescent="0.25">
      <c r="A3261" t="s">
        <v>1793</v>
      </c>
      <c r="B3261">
        <v>75.650000000000006</v>
      </c>
      <c r="D3261">
        <v>75.650000000000006</v>
      </c>
    </row>
    <row r="3262" spans="1:4" x14ac:dyDescent="0.25">
      <c r="A3262" t="s">
        <v>1794</v>
      </c>
      <c r="B3262" s="1">
        <v>54697.14</v>
      </c>
      <c r="D3262" s="1">
        <v>54697.14</v>
      </c>
    </row>
    <row r="3263" spans="1:4" x14ac:dyDescent="0.25">
      <c r="B3263" t="s">
        <v>8</v>
      </c>
      <c r="C3263" t="s">
        <v>8</v>
      </c>
      <c r="D3263" t="s">
        <v>8</v>
      </c>
    </row>
    <row r="3264" spans="1:4" x14ac:dyDescent="0.25">
      <c r="A3264" t="s">
        <v>1795</v>
      </c>
      <c r="B3264" s="1">
        <v>128247.41</v>
      </c>
      <c r="D3264" s="1">
        <v>128247.41</v>
      </c>
    </row>
    <row r="3266" spans="1:4" x14ac:dyDescent="0.25">
      <c r="A3266" t="s">
        <v>1796</v>
      </c>
    </row>
    <row r="3268" spans="1:4" x14ac:dyDescent="0.25">
      <c r="A3268" t="s">
        <v>1797</v>
      </c>
      <c r="B3268" s="1">
        <v>15592.28</v>
      </c>
      <c r="D3268" s="1">
        <v>15592.28</v>
      </c>
    </row>
    <row r="3269" spans="1:4" x14ac:dyDescent="0.25">
      <c r="A3269" t="s">
        <v>2390</v>
      </c>
      <c r="B3269" s="1">
        <v>3260.79</v>
      </c>
      <c r="D3269" s="1">
        <v>3260.79</v>
      </c>
    </row>
    <row r="3270" spans="1:4" x14ac:dyDescent="0.25">
      <c r="B3270" t="s">
        <v>8</v>
      </c>
      <c r="C3270" t="s">
        <v>8</v>
      </c>
      <c r="D3270" t="s">
        <v>8</v>
      </c>
    </row>
    <row r="3271" spans="1:4" x14ac:dyDescent="0.25">
      <c r="A3271" t="s">
        <v>1798</v>
      </c>
      <c r="B3271" s="1">
        <v>18853.07</v>
      </c>
      <c r="D3271" s="1">
        <v>18853.07</v>
      </c>
    </row>
    <row r="3273" spans="1:4" x14ac:dyDescent="0.25">
      <c r="A3273" t="s">
        <v>1799</v>
      </c>
    </row>
    <row r="3275" spans="1:4" x14ac:dyDescent="0.25">
      <c r="A3275" t="s">
        <v>1800</v>
      </c>
      <c r="B3275" s="1">
        <v>31847.439999999999</v>
      </c>
      <c r="C3275">
        <v>834.27</v>
      </c>
      <c r="D3275" s="1">
        <v>31013.17</v>
      </c>
    </row>
    <row r="3276" spans="1:4" x14ac:dyDescent="0.25">
      <c r="A3276" t="s">
        <v>1801</v>
      </c>
      <c r="B3276">
        <v>540.36</v>
      </c>
      <c r="D3276">
        <v>540.36</v>
      </c>
    </row>
    <row r="3277" spans="1:4" x14ac:dyDescent="0.25">
      <c r="A3277" t="s">
        <v>2391</v>
      </c>
      <c r="B3277" s="1">
        <v>1002.46</v>
      </c>
      <c r="D3277" s="1">
        <v>1002.46</v>
      </c>
    </row>
    <row r="3278" spans="1:4" x14ac:dyDescent="0.25">
      <c r="A3278" t="s">
        <v>1802</v>
      </c>
      <c r="B3278">
        <v>61.2</v>
      </c>
      <c r="D3278">
        <v>61.2</v>
      </c>
    </row>
    <row r="3279" spans="1:4" x14ac:dyDescent="0.25">
      <c r="B3279" t="s">
        <v>8</v>
      </c>
      <c r="C3279" t="s">
        <v>8</v>
      </c>
      <c r="D3279" t="s">
        <v>8</v>
      </c>
    </row>
    <row r="3280" spans="1:4" x14ac:dyDescent="0.25">
      <c r="A3280" t="s">
        <v>1803</v>
      </c>
      <c r="B3280" s="1">
        <v>33451.46</v>
      </c>
      <c r="C3280">
        <v>834.27</v>
      </c>
      <c r="D3280" s="1">
        <v>32617.19</v>
      </c>
    </row>
    <row r="3282" spans="1:4" x14ac:dyDescent="0.25">
      <c r="A3282" t="s">
        <v>1804</v>
      </c>
    </row>
    <row r="3283" spans="1:4" x14ac:dyDescent="0.25">
      <c r="B3283" t="s">
        <v>8</v>
      </c>
      <c r="C3283" t="s">
        <v>8</v>
      </c>
      <c r="D3283" t="s">
        <v>8</v>
      </c>
    </row>
    <row r="3284" spans="1:4" x14ac:dyDescent="0.25">
      <c r="A3284" t="s">
        <v>1805</v>
      </c>
    </row>
    <row r="3286" spans="1:4" x14ac:dyDescent="0.25">
      <c r="A3286" t="s">
        <v>1806</v>
      </c>
    </row>
    <row r="3288" spans="1:4" x14ac:dyDescent="0.25">
      <c r="A3288" t="s">
        <v>1807</v>
      </c>
      <c r="B3288" s="1">
        <v>35745.86</v>
      </c>
      <c r="C3288" s="1">
        <v>1610</v>
      </c>
      <c r="D3288" s="1">
        <v>34135.86</v>
      </c>
    </row>
    <row r="3289" spans="1:4" x14ac:dyDescent="0.25">
      <c r="A3289" t="s">
        <v>1808</v>
      </c>
      <c r="B3289" s="1">
        <v>317499.96999999997</v>
      </c>
      <c r="D3289" s="1">
        <v>317499.96999999997</v>
      </c>
    </row>
    <row r="3290" spans="1:4" x14ac:dyDescent="0.25">
      <c r="A3290" t="s">
        <v>1809</v>
      </c>
      <c r="B3290" s="1">
        <v>118500.03</v>
      </c>
      <c r="D3290" s="1">
        <v>118500.03</v>
      </c>
    </row>
    <row r="3291" spans="1:4" x14ac:dyDescent="0.25">
      <c r="A3291" t="s">
        <v>1810</v>
      </c>
      <c r="B3291" s="1">
        <v>45362</v>
      </c>
      <c r="D3291" s="1">
        <v>45362</v>
      </c>
    </row>
    <row r="3292" spans="1:4" x14ac:dyDescent="0.25">
      <c r="B3292" t="s">
        <v>8</v>
      </c>
      <c r="C3292" t="s">
        <v>8</v>
      </c>
      <c r="D3292" t="s">
        <v>8</v>
      </c>
    </row>
    <row r="3293" spans="1:4" x14ac:dyDescent="0.25">
      <c r="A3293" t="s">
        <v>1811</v>
      </c>
      <c r="B3293" s="1">
        <v>517107.86</v>
      </c>
      <c r="C3293" s="1">
        <v>1610</v>
      </c>
      <c r="D3293" s="1">
        <v>515497.86</v>
      </c>
    </row>
    <row r="3295" spans="1:4" x14ac:dyDescent="0.25">
      <c r="A3295" t="s">
        <v>1812</v>
      </c>
    </row>
    <row r="3296" spans="1:4" x14ac:dyDescent="0.25">
      <c r="B3296" t="s">
        <v>8</v>
      </c>
      <c r="C3296" t="s">
        <v>8</v>
      </c>
      <c r="D3296" t="s">
        <v>8</v>
      </c>
    </row>
    <row r="3297" spans="1:4" x14ac:dyDescent="0.25">
      <c r="A3297" t="s">
        <v>1813</v>
      </c>
    </row>
    <row r="3299" spans="1:4" x14ac:dyDescent="0.25">
      <c r="A3299" t="s">
        <v>1814</v>
      </c>
    </row>
    <row r="3300" spans="1:4" x14ac:dyDescent="0.25">
      <c r="B3300" t="s">
        <v>8</v>
      </c>
      <c r="C3300" t="s">
        <v>8</v>
      </c>
      <c r="D3300" t="s">
        <v>8</v>
      </c>
    </row>
    <row r="3301" spans="1:4" x14ac:dyDescent="0.25">
      <c r="A3301" t="s">
        <v>1815</v>
      </c>
    </row>
    <row r="3303" spans="1:4" x14ac:dyDescent="0.25">
      <c r="A3303" t="s">
        <v>1816</v>
      </c>
    </row>
    <row r="3305" spans="1:4" x14ac:dyDescent="0.25">
      <c r="A3305" t="s">
        <v>1817</v>
      </c>
      <c r="B3305" s="1">
        <v>38295.870000000003</v>
      </c>
      <c r="D3305" s="1">
        <v>38295.870000000003</v>
      </c>
    </row>
    <row r="3306" spans="1:4" x14ac:dyDescent="0.25">
      <c r="A3306" t="s">
        <v>1818</v>
      </c>
      <c r="B3306" s="1">
        <v>43886.63</v>
      </c>
      <c r="D3306" s="1">
        <v>43886.63</v>
      </c>
    </row>
    <row r="3307" spans="1:4" x14ac:dyDescent="0.25">
      <c r="A3307" t="s">
        <v>1819</v>
      </c>
      <c r="B3307">
        <v>439.82</v>
      </c>
      <c r="D3307">
        <v>439.82</v>
      </c>
    </row>
    <row r="3308" spans="1:4" x14ac:dyDescent="0.25">
      <c r="B3308" t="s">
        <v>8</v>
      </c>
      <c r="C3308" t="s">
        <v>8</v>
      </c>
      <c r="D3308" t="s">
        <v>8</v>
      </c>
    </row>
    <row r="3309" spans="1:4" x14ac:dyDescent="0.25">
      <c r="A3309" t="s">
        <v>1820</v>
      </c>
      <c r="B3309" s="1">
        <v>82622.320000000007</v>
      </c>
      <c r="D3309" s="1">
        <v>82622.320000000007</v>
      </c>
    </row>
    <row r="3311" spans="1:4" x14ac:dyDescent="0.25">
      <c r="A3311" t="s">
        <v>1821</v>
      </c>
    </row>
    <row r="3313" spans="1:4" x14ac:dyDescent="0.25">
      <c r="A3313" t="s">
        <v>1822</v>
      </c>
      <c r="B3313" s="1">
        <v>18765.55</v>
      </c>
      <c r="C3313">
        <v>490</v>
      </c>
      <c r="D3313" s="1">
        <v>18275.55</v>
      </c>
    </row>
    <row r="3314" spans="1:4" x14ac:dyDescent="0.25">
      <c r="B3314" t="s">
        <v>8</v>
      </c>
      <c r="C3314" t="s">
        <v>8</v>
      </c>
      <c r="D3314" t="s">
        <v>8</v>
      </c>
    </row>
    <row r="3315" spans="1:4" x14ac:dyDescent="0.25">
      <c r="A3315" t="s">
        <v>1823</v>
      </c>
      <c r="B3315" s="1">
        <v>18765.55</v>
      </c>
      <c r="C3315">
        <v>490</v>
      </c>
      <c r="D3315" s="1">
        <v>18275.55</v>
      </c>
    </row>
    <row r="3317" spans="1:4" x14ac:dyDescent="0.25">
      <c r="A3317" t="s">
        <v>1824</v>
      </c>
    </row>
    <row r="3319" spans="1:4" x14ac:dyDescent="0.25">
      <c r="A3319" t="s">
        <v>1825</v>
      </c>
      <c r="B3319" s="1">
        <v>61502.47</v>
      </c>
      <c r="D3319" s="1">
        <v>61502.47</v>
      </c>
    </row>
    <row r="3320" spans="1:4" x14ac:dyDescent="0.25">
      <c r="A3320" t="s">
        <v>1826</v>
      </c>
      <c r="B3320" s="1">
        <v>31460.51</v>
      </c>
      <c r="D3320" s="1">
        <v>31460.51</v>
      </c>
    </row>
    <row r="3321" spans="1:4" x14ac:dyDescent="0.25">
      <c r="B3321" t="s">
        <v>8</v>
      </c>
      <c r="C3321" t="s">
        <v>8</v>
      </c>
      <c r="D3321" t="s">
        <v>8</v>
      </c>
    </row>
    <row r="3322" spans="1:4" x14ac:dyDescent="0.25">
      <c r="A3322" t="s">
        <v>1827</v>
      </c>
      <c r="B3322" s="1">
        <v>92962.98</v>
      </c>
      <c r="D3322" s="1">
        <v>92962.98</v>
      </c>
    </row>
    <row r="3324" spans="1:4" x14ac:dyDescent="0.25">
      <c r="A3324" t="s">
        <v>1828</v>
      </c>
    </row>
    <row r="3326" spans="1:4" x14ac:dyDescent="0.25">
      <c r="A3326" t="s">
        <v>1829</v>
      </c>
      <c r="B3326" s="1">
        <v>120910.19</v>
      </c>
      <c r="D3326" s="1">
        <v>120910.19</v>
      </c>
    </row>
    <row r="3327" spans="1:4" x14ac:dyDescent="0.25">
      <c r="A3327" t="s">
        <v>1830</v>
      </c>
      <c r="B3327" s="1">
        <v>37823.39</v>
      </c>
      <c r="D3327" s="1">
        <v>37823.39</v>
      </c>
    </row>
    <row r="3328" spans="1:4" x14ac:dyDescent="0.25">
      <c r="B3328" t="s">
        <v>8</v>
      </c>
      <c r="C3328" t="s">
        <v>8</v>
      </c>
      <c r="D3328" t="s">
        <v>8</v>
      </c>
    </row>
    <row r="3329" spans="1:4" x14ac:dyDescent="0.25">
      <c r="A3329" t="s">
        <v>1831</v>
      </c>
      <c r="B3329" s="1">
        <v>158733.57999999999</v>
      </c>
      <c r="D3329" s="1">
        <v>158733.57999999999</v>
      </c>
    </row>
    <row r="3331" spans="1:4" x14ac:dyDescent="0.25">
      <c r="A3331" t="s">
        <v>1832</v>
      </c>
    </row>
    <row r="3333" spans="1:4" x14ac:dyDescent="0.25">
      <c r="A3333" t="s">
        <v>1833</v>
      </c>
      <c r="B3333" s="1">
        <v>21909.31</v>
      </c>
      <c r="C3333" s="1">
        <v>3458.33</v>
      </c>
      <c r="D3333" s="1">
        <v>18450.98</v>
      </c>
    </row>
    <row r="3334" spans="1:4" x14ac:dyDescent="0.25">
      <c r="A3334" t="s">
        <v>2392</v>
      </c>
      <c r="B3334" s="1">
        <v>3434.51</v>
      </c>
      <c r="C3334">
        <v>484.37</v>
      </c>
      <c r="D3334" s="1">
        <v>2950.14</v>
      </c>
    </row>
    <row r="3335" spans="1:4" x14ac:dyDescent="0.25">
      <c r="B3335" t="s">
        <v>8</v>
      </c>
      <c r="C3335" t="s">
        <v>8</v>
      </c>
      <c r="D3335" t="s">
        <v>8</v>
      </c>
    </row>
    <row r="3336" spans="1:4" x14ac:dyDescent="0.25">
      <c r="A3336" t="s">
        <v>1834</v>
      </c>
      <c r="B3336" s="1">
        <v>25343.82</v>
      </c>
      <c r="C3336" s="1">
        <v>3942.7</v>
      </c>
      <c r="D3336" s="1">
        <v>21401.119999999999</v>
      </c>
    </row>
    <row r="3338" spans="1:4" x14ac:dyDescent="0.25">
      <c r="A3338" t="s">
        <v>1835</v>
      </c>
    </row>
    <row r="3340" spans="1:4" x14ac:dyDescent="0.25">
      <c r="A3340" t="s">
        <v>1836</v>
      </c>
      <c r="B3340" s="1">
        <v>141386.76</v>
      </c>
      <c r="C3340" s="1">
        <v>10696.37</v>
      </c>
      <c r="D3340" s="1">
        <v>130690.39</v>
      </c>
    </row>
    <row r="3341" spans="1:4" x14ac:dyDescent="0.25">
      <c r="A3341" t="s">
        <v>1837</v>
      </c>
      <c r="B3341" s="1">
        <v>2834.61</v>
      </c>
      <c r="D3341" s="1">
        <v>2834.61</v>
      </c>
    </row>
    <row r="3342" spans="1:4" x14ac:dyDescent="0.25">
      <c r="B3342" t="s">
        <v>8</v>
      </c>
      <c r="C3342" t="s">
        <v>8</v>
      </c>
      <c r="D3342" t="s">
        <v>8</v>
      </c>
    </row>
    <row r="3343" spans="1:4" x14ac:dyDescent="0.25">
      <c r="A3343" t="s">
        <v>1838</v>
      </c>
      <c r="B3343" s="1">
        <v>144221.37</v>
      </c>
      <c r="C3343" s="1">
        <v>10696.37</v>
      </c>
      <c r="D3343" s="1">
        <v>133525</v>
      </c>
    </row>
    <row r="3345" spans="1:4" x14ac:dyDescent="0.25">
      <c r="A3345" t="s">
        <v>1839</v>
      </c>
    </row>
    <row r="3346" spans="1:4" x14ac:dyDescent="0.25">
      <c r="B3346" t="s">
        <v>8</v>
      </c>
      <c r="C3346" t="s">
        <v>8</v>
      </c>
      <c r="D3346" t="s">
        <v>8</v>
      </c>
    </row>
    <row r="3347" spans="1:4" x14ac:dyDescent="0.25">
      <c r="A3347" t="s">
        <v>1840</v>
      </c>
    </row>
    <row r="3349" spans="1:4" x14ac:dyDescent="0.25">
      <c r="A3349" t="s">
        <v>1841</v>
      </c>
    </row>
    <row r="3351" spans="1:4" x14ac:dyDescent="0.25">
      <c r="A3351" t="s">
        <v>1842</v>
      </c>
      <c r="B3351" s="1">
        <v>103762.5</v>
      </c>
      <c r="D3351" s="1">
        <v>103762.5</v>
      </c>
    </row>
    <row r="3352" spans="1:4" x14ac:dyDescent="0.25">
      <c r="A3352" t="s">
        <v>1843</v>
      </c>
      <c r="B3352" s="1">
        <v>8338.27</v>
      </c>
      <c r="D3352" s="1">
        <v>8338.27</v>
      </c>
    </row>
    <row r="3353" spans="1:4" x14ac:dyDescent="0.25">
      <c r="B3353" t="s">
        <v>8</v>
      </c>
      <c r="C3353" t="s">
        <v>8</v>
      </c>
      <c r="D3353" t="s">
        <v>8</v>
      </c>
    </row>
    <row r="3354" spans="1:4" x14ac:dyDescent="0.25">
      <c r="A3354" t="s">
        <v>1844</v>
      </c>
      <c r="B3354" s="1">
        <v>112100.77</v>
      </c>
      <c r="D3354" s="1">
        <v>112100.77</v>
      </c>
    </row>
    <row r="3356" spans="1:4" x14ac:dyDescent="0.25">
      <c r="A3356" t="s">
        <v>1845</v>
      </c>
    </row>
    <row r="3358" spans="1:4" x14ac:dyDescent="0.25">
      <c r="A3358" t="s">
        <v>1846</v>
      </c>
      <c r="B3358" s="1">
        <v>50376.87</v>
      </c>
      <c r="C3358" s="1">
        <v>8500</v>
      </c>
      <c r="D3358" s="1">
        <v>41876.870000000003</v>
      </c>
    </row>
    <row r="3359" spans="1:4" x14ac:dyDescent="0.25">
      <c r="A3359" t="s">
        <v>1847</v>
      </c>
      <c r="B3359" s="1">
        <v>15747.68</v>
      </c>
      <c r="D3359" s="1">
        <v>15747.68</v>
      </c>
    </row>
    <row r="3360" spans="1:4" x14ac:dyDescent="0.25">
      <c r="A3360" t="s">
        <v>1848</v>
      </c>
      <c r="B3360" s="1">
        <v>48761.35</v>
      </c>
      <c r="C3360">
        <v>26.78</v>
      </c>
      <c r="D3360" s="1">
        <v>48734.57</v>
      </c>
    </row>
    <row r="3361" spans="1:4" x14ac:dyDescent="0.25">
      <c r="A3361" t="s">
        <v>1849</v>
      </c>
      <c r="B3361" s="1">
        <v>91922.43</v>
      </c>
      <c r="C3361">
        <v>417.58</v>
      </c>
      <c r="D3361" s="1">
        <v>91504.85</v>
      </c>
    </row>
    <row r="3362" spans="1:4" x14ac:dyDescent="0.25">
      <c r="A3362" t="s">
        <v>1850</v>
      </c>
      <c r="B3362" s="1">
        <v>2811.12</v>
      </c>
      <c r="C3362">
        <v>76.23</v>
      </c>
      <c r="D3362" s="1">
        <v>2734.89</v>
      </c>
    </row>
    <row r="3363" spans="1:4" x14ac:dyDescent="0.25">
      <c r="A3363" t="s">
        <v>1851</v>
      </c>
      <c r="B3363" s="1">
        <v>250487.49</v>
      </c>
      <c r="C3363" s="1">
        <v>81043.350000000006</v>
      </c>
      <c r="D3363" s="1">
        <v>169444.14</v>
      </c>
    </row>
    <row r="3364" spans="1:4" x14ac:dyDescent="0.25">
      <c r="B3364" t="s">
        <v>8</v>
      </c>
      <c r="C3364" t="s">
        <v>8</v>
      </c>
      <c r="D3364" t="s">
        <v>8</v>
      </c>
    </row>
    <row r="3365" spans="1:4" x14ac:dyDescent="0.25">
      <c r="A3365" t="s">
        <v>1852</v>
      </c>
      <c r="B3365" s="1">
        <v>460106.94</v>
      </c>
      <c r="C3365" s="1">
        <v>90063.94</v>
      </c>
      <c r="D3365" s="1">
        <v>370043</v>
      </c>
    </row>
    <row r="3367" spans="1:4" x14ac:dyDescent="0.25">
      <c r="A3367" t="s">
        <v>1853</v>
      </c>
    </row>
    <row r="3369" spans="1:4" x14ac:dyDescent="0.25">
      <c r="A3369" t="s">
        <v>1854</v>
      </c>
      <c r="B3369" s="1">
        <v>4125.8999999999996</v>
      </c>
      <c r="D3369" s="1">
        <v>4125.8999999999996</v>
      </c>
    </row>
    <row r="3370" spans="1:4" x14ac:dyDescent="0.25">
      <c r="A3370" t="s">
        <v>1855</v>
      </c>
      <c r="B3370" s="1">
        <v>20111.099999999999</v>
      </c>
      <c r="C3370">
        <v>982.1</v>
      </c>
      <c r="D3370" s="1">
        <v>19129</v>
      </c>
    </row>
    <row r="3371" spans="1:4" x14ac:dyDescent="0.25">
      <c r="A3371" t="s">
        <v>1856</v>
      </c>
      <c r="B3371" s="1">
        <v>5485.32</v>
      </c>
      <c r="D3371" s="1">
        <v>5485.32</v>
      </c>
    </row>
    <row r="3372" spans="1:4" x14ac:dyDescent="0.25">
      <c r="A3372" t="s">
        <v>1857</v>
      </c>
      <c r="B3372">
        <v>116</v>
      </c>
      <c r="D3372">
        <v>116</v>
      </c>
    </row>
    <row r="3373" spans="1:4" x14ac:dyDescent="0.25">
      <c r="A3373" t="s">
        <v>2393</v>
      </c>
      <c r="B3373" s="1">
        <v>8400</v>
      </c>
      <c r="D3373" s="1">
        <v>8400</v>
      </c>
    </row>
    <row r="3374" spans="1:4" x14ac:dyDescent="0.25">
      <c r="B3374" t="s">
        <v>8</v>
      </c>
      <c r="C3374" t="s">
        <v>8</v>
      </c>
      <c r="D3374" t="s">
        <v>8</v>
      </c>
    </row>
    <row r="3375" spans="1:4" x14ac:dyDescent="0.25">
      <c r="A3375" t="s">
        <v>1858</v>
      </c>
      <c r="B3375" s="1">
        <v>38238.32</v>
      </c>
      <c r="C3375">
        <v>982.1</v>
      </c>
      <c r="D3375" s="1">
        <v>37256.22</v>
      </c>
    </row>
    <row r="3377" spans="1:4" x14ac:dyDescent="0.25">
      <c r="A3377" t="s">
        <v>1859</v>
      </c>
    </row>
    <row r="3379" spans="1:4" x14ac:dyDescent="0.25">
      <c r="A3379" t="s">
        <v>1860</v>
      </c>
      <c r="B3379" s="1">
        <v>270000</v>
      </c>
      <c r="C3379" s="1">
        <v>95000</v>
      </c>
      <c r="D3379" s="1">
        <v>175000</v>
      </c>
    </row>
    <row r="3380" spans="1:4" x14ac:dyDescent="0.25">
      <c r="A3380" t="s">
        <v>1861</v>
      </c>
      <c r="B3380" s="1">
        <v>527874.72</v>
      </c>
      <c r="D3380" s="1">
        <v>527874.72</v>
      </c>
    </row>
    <row r="3381" spans="1:4" x14ac:dyDescent="0.25">
      <c r="B3381" t="s">
        <v>8</v>
      </c>
      <c r="C3381" t="s">
        <v>8</v>
      </c>
      <c r="D3381" t="s">
        <v>8</v>
      </c>
    </row>
    <row r="3382" spans="1:4" x14ac:dyDescent="0.25">
      <c r="A3382" t="s">
        <v>1862</v>
      </c>
      <c r="B3382" s="1">
        <v>797874.72</v>
      </c>
      <c r="C3382" s="1">
        <v>95000</v>
      </c>
      <c r="D3382" s="1">
        <v>702874.72</v>
      </c>
    </row>
    <row r="3384" spans="1:4" x14ac:dyDescent="0.25">
      <c r="A3384" t="s">
        <v>1863</v>
      </c>
    </row>
    <row r="3386" spans="1:4" x14ac:dyDescent="0.25">
      <c r="A3386" t="s">
        <v>1864</v>
      </c>
      <c r="B3386" s="1">
        <v>86628.69</v>
      </c>
      <c r="D3386" s="1">
        <v>86628.69</v>
      </c>
    </row>
    <row r="3387" spans="1:4" x14ac:dyDescent="0.25">
      <c r="A3387" t="s">
        <v>1865</v>
      </c>
      <c r="B3387" s="1">
        <v>7742.64</v>
      </c>
      <c r="D3387" s="1">
        <v>7742.64</v>
      </c>
    </row>
    <row r="3388" spans="1:4" x14ac:dyDescent="0.25">
      <c r="B3388" t="s">
        <v>8</v>
      </c>
      <c r="C3388" t="s">
        <v>8</v>
      </c>
      <c r="D3388" t="s">
        <v>8</v>
      </c>
    </row>
    <row r="3389" spans="1:4" x14ac:dyDescent="0.25">
      <c r="A3389" t="s">
        <v>1866</v>
      </c>
      <c r="B3389" s="1">
        <v>94371.33</v>
      </c>
      <c r="D3389" s="1">
        <v>94371.33</v>
      </c>
    </row>
    <row r="3391" spans="1:4" x14ac:dyDescent="0.25">
      <c r="B3391" t="s">
        <v>8</v>
      </c>
      <c r="C3391" t="s">
        <v>8</v>
      </c>
      <c r="D3391" t="s">
        <v>8</v>
      </c>
    </row>
    <row r="3392" spans="1:4" x14ac:dyDescent="0.25">
      <c r="A3392" t="s">
        <v>1867</v>
      </c>
      <c r="B3392" s="1">
        <v>9757714.4600000009</v>
      </c>
      <c r="C3392" s="1">
        <v>842313.02</v>
      </c>
      <c r="D3392" s="1">
        <v>8915401.4399999995</v>
      </c>
    </row>
    <row r="3394" spans="1:4" x14ac:dyDescent="0.25">
      <c r="A3394" t="s">
        <v>1868</v>
      </c>
    </row>
    <row r="3396" spans="1:4" x14ac:dyDescent="0.25">
      <c r="A3396" t="s">
        <v>1869</v>
      </c>
    </row>
    <row r="3397" spans="1:4" x14ac:dyDescent="0.25">
      <c r="B3397" t="s">
        <v>8</v>
      </c>
      <c r="C3397" t="s">
        <v>8</v>
      </c>
      <c r="D3397" t="s">
        <v>8</v>
      </c>
    </row>
    <row r="3398" spans="1:4" x14ac:dyDescent="0.25">
      <c r="A3398" t="s">
        <v>1870</v>
      </c>
    </row>
    <row r="3399" spans="1:4" x14ac:dyDescent="0.25">
      <c r="B3399" t="s">
        <v>8</v>
      </c>
      <c r="C3399" t="s">
        <v>8</v>
      </c>
      <c r="D3399" t="s">
        <v>8</v>
      </c>
    </row>
    <row r="3400" spans="1:4" x14ac:dyDescent="0.25">
      <c r="A3400" t="s">
        <v>1871</v>
      </c>
    </row>
    <row r="3401" spans="1:4" x14ac:dyDescent="0.25">
      <c r="B3401" t="s">
        <v>8</v>
      </c>
      <c r="C3401" t="s">
        <v>8</v>
      </c>
      <c r="D3401" t="s">
        <v>8</v>
      </c>
    </row>
    <row r="3402" spans="1:4" x14ac:dyDescent="0.25">
      <c r="A3402" t="s">
        <v>1872</v>
      </c>
      <c r="B3402" s="1">
        <v>82246121.689999998</v>
      </c>
      <c r="C3402" s="1">
        <v>5928828.2300000004</v>
      </c>
      <c r="D3402" s="1">
        <v>76317293.459999993</v>
      </c>
    </row>
    <row r="3404" spans="1:4" x14ac:dyDescent="0.25">
      <c r="A3404" t="s">
        <v>1873</v>
      </c>
    </row>
    <row r="3406" spans="1:4" x14ac:dyDescent="0.25">
      <c r="A3406" t="s">
        <v>1874</v>
      </c>
    </row>
    <row r="3408" spans="1:4" x14ac:dyDescent="0.25">
      <c r="A3408" t="s">
        <v>1875</v>
      </c>
    </row>
    <row r="3409" spans="1:4" x14ac:dyDescent="0.25">
      <c r="B3409" t="s">
        <v>8</v>
      </c>
      <c r="C3409" t="s">
        <v>8</v>
      </c>
      <c r="D3409" t="s">
        <v>8</v>
      </c>
    </row>
    <row r="3410" spans="1:4" x14ac:dyDescent="0.25">
      <c r="A3410" t="s">
        <v>1876</v>
      </c>
    </row>
    <row r="3412" spans="1:4" x14ac:dyDescent="0.25">
      <c r="A3412" t="s">
        <v>1877</v>
      </c>
    </row>
    <row r="3413" spans="1:4" x14ac:dyDescent="0.25">
      <c r="B3413" t="s">
        <v>8</v>
      </c>
      <c r="C3413" t="s">
        <v>8</v>
      </c>
      <c r="D3413" t="s">
        <v>8</v>
      </c>
    </row>
    <row r="3414" spans="1:4" x14ac:dyDescent="0.25">
      <c r="A3414" t="s">
        <v>1878</v>
      </c>
    </row>
    <row r="3416" spans="1:4" x14ac:dyDescent="0.25">
      <c r="B3416" t="s">
        <v>8</v>
      </c>
      <c r="C3416" t="s">
        <v>8</v>
      </c>
      <c r="D3416" t="s">
        <v>8</v>
      </c>
    </row>
    <row r="3417" spans="1:4" x14ac:dyDescent="0.25">
      <c r="A3417" t="s">
        <v>1879</v>
      </c>
    </row>
    <row r="3419" spans="1:4" x14ac:dyDescent="0.25">
      <c r="A3419" t="s">
        <v>1880</v>
      </c>
    </row>
    <row r="3420" spans="1:4" x14ac:dyDescent="0.25">
      <c r="B3420" t="s">
        <v>8</v>
      </c>
      <c r="C3420" t="s">
        <v>8</v>
      </c>
      <c r="D3420" t="s">
        <v>8</v>
      </c>
    </row>
    <row r="3421" spans="1:4" x14ac:dyDescent="0.25">
      <c r="A3421" t="s">
        <v>1881</v>
      </c>
    </row>
    <row r="3423" spans="1:4" x14ac:dyDescent="0.25">
      <c r="A3423" t="s">
        <v>1882</v>
      </c>
    </row>
    <row r="3425" spans="1:4" x14ac:dyDescent="0.25">
      <c r="A3425" t="s">
        <v>1883</v>
      </c>
    </row>
    <row r="3427" spans="1:4" x14ac:dyDescent="0.25">
      <c r="A3427" t="s">
        <v>1884</v>
      </c>
      <c r="B3427" s="1">
        <v>5737.69</v>
      </c>
      <c r="C3427" s="1">
        <v>36887.97</v>
      </c>
      <c r="D3427" s="1">
        <v>-31150.28</v>
      </c>
    </row>
    <row r="3428" spans="1:4" x14ac:dyDescent="0.25">
      <c r="A3428" t="s">
        <v>1885</v>
      </c>
      <c r="B3428" s="1">
        <v>8721.31</v>
      </c>
      <c r="C3428" s="1">
        <v>392973.82</v>
      </c>
      <c r="D3428" s="1">
        <v>-384252.51</v>
      </c>
    </row>
    <row r="3429" spans="1:4" x14ac:dyDescent="0.25">
      <c r="A3429" t="s">
        <v>1886</v>
      </c>
      <c r="C3429" s="1">
        <v>49662.09</v>
      </c>
      <c r="D3429" s="1">
        <v>-49662.09</v>
      </c>
    </row>
    <row r="3430" spans="1:4" x14ac:dyDescent="0.25">
      <c r="A3430" t="s">
        <v>1887</v>
      </c>
      <c r="B3430" s="1">
        <v>2459.02</v>
      </c>
      <c r="C3430" s="1">
        <v>145629.49</v>
      </c>
      <c r="D3430" s="1">
        <v>-143170.47</v>
      </c>
    </row>
    <row r="3431" spans="1:4" x14ac:dyDescent="0.25">
      <c r="A3431" t="s">
        <v>1888</v>
      </c>
      <c r="B3431" s="1">
        <v>6311.48</v>
      </c>
      <c r="C3431" s="1">
        <v>63421.29</v>
      </c>
      <c r="D3431" s="1">
        <v>-57109.81</v>
      </c>
    </row>
    <row r="3432" spans="1:4" x14ac:dyDescent="0.25">
      <c r="A3432" t="s">
        <v>1889</v>
      </c>
      <c r="C3432" s="1">
        <v>6729.6</v>
      </c>
      <c r="D3432" s="1">
        <v>-6729.6</v>
      </c>
    </row>
    <row r="3433" spans="1:4" x14ac:dyDescent="0.25">
      <c r="A3433" t="s">
        <v>2394</v>
      </c>
      <c r="C3433" s="1">
        <v>2505.12</v>
      </c>
      <c r="D3433" s="1">
        <v>-2505.12</v>
      </c>
    </row>
    <row r="3434" spans="1:4" x14ac:dyDescent="0.25">
      <c r="A3434" t="s">
        <v>1890</v>
      </c>
      <c r="C3434" s="1">
        <v>4524.3</v>
      </c>
      <c r="D3434" s="1">
        <v>-4524.3</v>
      </c>
    </row>
    <row r="3435" spans="1:4" x14ac:dyDescent="0.25">
      <c r="A3435" t="s">
        <v>1891</v>
      </c>
      <c r="C3435" s="1">
        <v>15067.28</v>
      </c>
      <c r="D3435" s="1">
        <v>-15067.28</v>
      </c>
    </row>
    <row r="3436" spans="1:4" x14ac:dyDescent="0.25">
      <c r="A3436" t="s">
        <v>1892</v>
      </c>
      <c r="C3436">
        <v>972.11</v>
      </c>
      <c r="D3436">
        <v>-972.11</v>
      </c>
    </row>
    <row r="3437" spans="1:4" x14ac:dyDescent="0.25">
      <c r="A3437" t="s">
        <v>1893</v>
      </c>
      <c r="C3437" s="1">
        <v>4421.59</v>
      </c>
      <c r="D3437" s="1">
        <v>-4421.59</v>
      </c>
    </row>
    <row r="3438" spans="1:4" x14ac:dyDescent="0.25">
      <c r="A3438" t="s">
        <v>1894</v>
      </c>
      <c r="C3438" s="1">
        <v>1079.23</v>
      </c>
      <c r="D3438" s="1">
        <v>-1079.23</v>
      </c>
    </row>
    <row r="3439" spans="1:4" x14ac:dyDescent="0.25">
      <c r="B3439" t="s">
        <v>8</v>
      </c>
      <c r="C3439" t="s">
        <v>8</v>
      </c>
      <c r="D3439" t="s">
        <v>8</v>
      </c>
    </row>
    <row r="3440" spans="1:4" x14ac:dyDescent="0.25">
      <c r="A3440" t="s">
        <v>1895</v>
      </c>
      <c r="B3440" s="1">
        <v>23229.5</v>
      </c>
      <c r="C3440" s="1">
        <v>723873.89</v>
      </c>
      <c r="D3440" s="1">
        <v>-700644.39</v>
      </c>
    </row>
    <row r="3442" spans="1:4" x14ac:dyDescent="0.25">
      <c r="B3442" t="s">
        <v>8</v>
      </c>
      <c r="C3442" t="s">
        <v>8</v>
      </c>
      <c r="D3442" t="s">
        <v>8</v>
      </c>
    </row>
    <row r="3443" spans="1:4" x14ac:dyDescent="0.25">
      <c r="A3443" t="s">
        <v>1896</v>
      </c>
      <c r="B3443" s="1">
        <v>23229.5</v>
      </c>
      <c r="C3443" s="1">
        <v>723873.89</v>
      </c>
      <c r="D3443" s="1">
        <v>-700644.39</v>
      </c>
    </row>
    <row r="3445" spans="1:4" x14ac:dyDescent="0.25">
      <c r="A3445" t="s">
        <v>1897</v>
      </c>
    </row>
    <row r="3446" spans="1:4" x14ac:dyDescent="0.25">
      <c r="B3446" t="s">
        <v>8</v>
      </c>
      <c r="C3446" t="s">
        <v>8</v>
      </c>
      <c r="D3446" t="s">
        <v>8</v>
      </c>
    </row>
    <row r="3447" spans="1:4" x14ac:dyDescent="0.25">
      <c r="A3447" t="s">
        <v>1898</v>
      </c>
    </row>
    <row r="3449" spans="1:4" x14ac:dyDescent="0.25">
      <c r="A3449" t="s">
        <v>1899</v>
      </c>
    </row>
    <row r="3451" spans="1:4" x14ac:dyDescent="0.25">
      <c r="A3451" t="s">
        <v>1900</v>
      </c>
    </row>
    <row r="3452" spans="1:4" x14ac:dyDescent="0.25">
      <c r="B3452" t="s">
        <v>8</v>
      </c>
      <c r="C3452" t="s">
        <v>8</v>
      </c>
      <c r="D3452" t="s">
        <v>8</v>
      </c>
    </row>
    <row r="3453" spans="1:4" x14ac:dyDescent="0.25">
      <c r="A3453" t="s">
        <v>1901</v>
      </c>
    </row>
    <row r="3455" spans="1:4" x14ac:dyDescent="0.25">
      <c r="B3455" t="s">
        <v>8</v>
      </c>
      <c r="C3455" t="s">
        <v>8</v>
      </c>
      <c r="D3455" t="s">
        <v>8</v>
      </c>
    </row>
    <row r="3456" spans="1:4" x14ac:dyDescent="0.25">
      <c r="A3456" t="s">
        <v>1902</v>
      </c>
    </row>
    <row r="3458" spans="1:4" x14ac:dyDescent="0.25">
      <c r="A3458" t="s">
        <v>1903</v>
      </c>
    </row>
    <row r="3460" spans="1:4" x14ac:dyDescent="0.25">
      <c r="A3460" t="s">
        <v>1904</v>
      </c>
    </row>
    <row r="3462" spans="1:4" x14ac:dyDescent="0.25">
      <c r="A3462" t="s">
        <v>1905</v>
      </c>
      <c r="B3462" s="1">
        <v>380013.52</v>
      </c>
      <c r="C3462" s="1">
        <v>1737099.15</v>
      </c>
      <c r="D3462" s="1">
        <v>-1357085.63</v>
      </c>
    </row>
    <row r="3463" spans="1:4" x14ac:dyDescent="0.25">
      <c r="A3463" t="s">
        <v>1906</v>
      </c>
      <c r="B3463">
        <v>713.19</v>
      </c>
      <c r="C3463" s="1">
        <v>1144785.8899999999</v>
      </c>
      <c r="D3463" s="1">
        <v>-1144072.7</v>
      </c>
    </row>
    <row r="3464" spans="1:4" x14ac:dyDescent="0.25">
      <c r="A3464" t="s">
        <v>1907</v>
      </c>
      <c r="C3464" s="1">
        <v>16806.61</v>
      </c>
      <c r="D3464" s="1">
        <v>-16806.61</v>
      </c>
    </row>
    <row r="3465" spans="1:4" x14ac:dyDescent="0.25">
      <c r="A3465" t="s">
        <v>1908</v>
      </c>
      <c r="B3465" s="1">
        <v>92270.26</v>
      </c>
      <c r="C3465" s="1">
        <v>1394987.39</v>
      </c>
      <c r="D3465" s="1">
        <v>-1302717.1299999999</v>
      </c>
    </row>
    <row r="3466" spans="1:4" x14ac:dyDescent="0.25">
      <c r="A3466" t="s">
        <v>1909</v>
      </c>
      <c r="C3466" s="1">
        <v>1017.36</v>
      </c>
      <c r="D3466" s="1">
        <v>-1017.36</v>
      </c>
    </row>
    <row r="3467" spans="1:4" x14ac:dyDescent="0.25">
      <c r="A3467" t="s">
        <v>1910</v>
      </c>
      <c r="C3467" s="1">
        <v>28176.67</v>
      </c>
      <c r="D3467" s="1">
        <v>-28176.67</v>
      </c>
    </row>
    <row r="3468" spans="1:4" x14ac:dyDescent="0.25">
      <c r="B3468" t="s">
        <v>8</v>
      </c>
      <c r="C3468" t="s">
        <v>8</v>
      </c>
      <c r="D3468" t="s">
        <v>8</v>
      </c>
    </row>
    <row r="3469" spans="1:4" x14ac:dyDescent="0.25">
      <c r="A3469" t="s">
        <v>1911</v>
      </c>
      <c r="B3469" s="1">
        <v>472996.97</v>
      </c>
      <c r="C3469" s="1">
        <v>4322873.07</v>
      </c>
      <c r="D3469" s="1">
        <v>-3849876.1</v>
      </c>
    </row>
    <row r="3471" spans="1:4" x14ac:dyDescent="0.25">
      <c r="A3471" t="s">
        <v>1912</v>
      </c>
    </row>
    <row r="3472" spans="1:4" x14ac:dyDescent="0.25">
      <c r="B3472" t="s">
        <v>8</v>
      </c>
      <c r="C3472" t="s">
        <v>8</v>
      </c>
      <c r="D3472" t="s">
        <v>8</v>
      </c>
    </row>
    <row r="3473" spans="1:4" x14ac:dyDescent="0.25">
      <c r="A3473" t="s">
        <v>1913</v>
      </c>
    </row>
    <row r="3475" spans="1:4" x14ac:dyDescent="0.25">
      <c r="B3475" t="s">
        <v>8</v>
      </c>
      <c r="C3475" t="s">
        <v>8</v>
      </c>
      <c r="D3475" t="s">
        <v>8</v>
      </c>
    </row>
    <row r="3476" spans="1:4" x14ac:dyDescent="0.25">
      <c r="A3476" t="s">
        <v>1914</v>
      </c>
      <c r="B3476" s="1">
        <v>472996.97</v>
      </c>
      <c r="C3476" s="1">
        <v>4322873.07</v>
      </c>
      <c r="D3476" s="1">
        <v>-3849876.1</v>
      </c>
    </row>
    <row r="3478" spans="1:4" x14ac:dyDescent="0.25">
      <c r="A3478" t="s">
        <v>1915</v>
      </c>
    </row>
    <row r="3480" spans="1:4" x14ac:dyDescent="0.25">
      <c r="A3480" t="s">
        <v>1916</v>
      </c>
    </row>
    <row r="3482" spans="1:4" x14ac:dyDescent="0.25">
      <c r="A3482" t="s">
        <v>1917</v>
      </c>
      <c r="C3482" s="1">
        <v>65020.87</v>
      </c>
      <c r="D3482" s="1">
        <v>-65020.87</v>
      </c>
    </row>
    <row r="3483" spans="1:4" x14ac:dyDescent="0.25">
      <c r="B3483" t="s">
        <v>8</v>
      </c>
      <c r="C3483" t="s">
        <v>8</v>
      </c>
      <c r="D3483" t="s">
        <v>8</v>
      </c>
    </row>
    <row r="3484" spans="1:4" x14ac:dyDescent="0.25">
      <c r="A3484" t="s">
        <v>1918</v>
      </c>
      <c r="C3484" s="1">
        <v>65020.87</v>
      </c>
      <c r="D3484" s="1">
        <v>-65020.87</v>
      </c>
    </row>
    <row r="3486" spans="1:4" x14ac:dyDescent="0.25">
      <c r="B3486" t="s">
        <v>8</v>
      </c>
      <c r="C3486" t="s">
        <v>8</v>
      </c>
      <c r="D3486" t="s">
        <v>8</v>
      </c>
    </row>
    <row r="3487" spans="1:4" x14ac:dyDescent="0.25">
      <c r="A3487" t="s">
        <v>1919</v>
      </c>
      <c r="C3487" s="1">
        <v>65020.87</v>
      </c>
      <c r="D3487" s="1">
        <v>-65020.87</v>
      </c>
    </row>
    <row r="3489" spans="1:4" x14ac:dyDescent="0.25">
      <c r="A3489" t="s">
        <v>1920</v>
      </c>
    </row>
    <row r="3491" spans="1:4" x14ac:dyDescent="0.25">
      <c r="A3491" t="s">
        <v>1921</v>
      </c>
    </row>
    <row r="3493" spans="1:4" x14ac:dyDescent="0.25">
      <c r="A3493" t="s">
        <v>1922</v>
      </c>
      <c r="C3493" s="1">
        <v>6832921.4199999999</v>
      </c>
      <c r="D3493" s="1">
        <v>-6832921.4199999999</v>
      </c>
    </row>
    <row r="3494" spans="1:4" x14ac:dyDescent="0.25">
      <c r="B3494" t="s">
        <v>8</v>
      </c>
      <c r="C3494" t="s">
        <v>8</v>
      </c>
      <c r="D3494" t="s">
        <v>8</v>
      </c>
    </row>
    <row r="3495" spans="1:4" x14ac:dyDescent="0.25">
      <c r="A3495" t="s">
        <v>1923</v>
      </c>
      <c r="C3495" s="1">
        <v>6832921.4199999999</v>
      </c>
      <c r="D3495" s="1">
        <v>-6832921.4199999999</v>
      </c>
    </row>
    <row r="3497" spans="1:4" x14ac:dyDescent="0.25">
      <c r="A3497" t="s">
        <v>1924</v>
      </c>
    </row>
    <row r="3499" spans="1:4" x14ac:dyDescent="0.25">
      <c r="A3499" t="s">
        <v>1925</v>
      </c>
      <c r="B3499" s="1">
        <v>232371.05</v>
      </c>
      <c r="C3499" s="1">
        <v>30129062.079999998</v>
      </c>
      <c r="D3499" s="1">
        <v>-29896691.030000001</v>
      </c>
    </row>
    <row r="3500" spans="1:4" x14ac:dyDescent="0.25">
      <c r="B3500" t="s">
        <v>8</v>
      </c>
      <c r="C3500" t="s">
        <v>8</v>
      </c>
      <c r="D3500" t="s">
        <v>8</v>
      </c>
    </row>
    <row r="3501" spans="1:4" x14ac:dyDescent="0.25">
      <c r="A3501" t="s">
        <v>1926</v>
      </c>
      <c r="B3501" s="1">
        <v>232371.05</v>
      </c>
      <c r="C3501" s="1">
        <v>30129062.079999998</v>
      </c>
      <c r="D3501" s="1">
        <v>-29896691.030000001</v>
      </c>
    </row>
    <row r="3503" spans="1:4" x14ac:dyDescent="0.25">
      <c r="B3503" t="s">
        <v>8</v>
      </c>
      <c r="C3503" t="s">
        <v>8</v>
      </c>
      <c r="D3503" t="s">
        <v>8</v>
      </c>
    </row>
    <row r="3504" spans="1:4" x14ac:dyDescent="0.25">
      <c r="A3504" t="s">
        <v>1927</v>
      </c>
      <c r="B3504" s="1">
        <v>232371.05</v>
      </c>
      <c r="C3504" s="1">
        <v>36961983.5</v>
      </c>
      <c r="D3504" s="1">
        <v>-36729612.450000003</v>
      </c>
    </row>
    <row r="3506" spans="1:4" x14ac:dyDescent="0.25">
      <c r="A3506" t="s">
        <v>1928</v>
      </c>
    </row>
    <row r="3508" spans="1:4" x14ac:dyDescent="0.25">
      <c r="A3508" t="s">
        <v>1929</v>
      </c>
    </row>
    <row r="3509" spans="1:4" x14ac:dyDescent="0.25">
      <c r="B3509" t="s">
        <v>8</v>
      </c>
      <c r="C3509" t="s">
        <v>8</v>
      </c>
      <c r="D3509" t="s">
        <v>8</v>
      </c>
    </row>
    <row r="3510" spans="1:4" x14ac:dyDescent="0.25">
      <c r="A3510" t="s">
        <v>1930</v>
      </c>
    </row>
    <row r="3512" spans="1:4" x14ac:dyDescent="0.25">
      <c r="B3512" t="s">
        <v>8</v>
      </c>
      <c r="C3512" t="s">
        <v>8</v>
      </c>
      <c r="D3512" t="s">
        <v>8</v>
      </c>
    </row>
    <row r="3513" spans="1:4" x14ac:dyDescent="0.25">
      <c r="A3513" t="s">
        <v>1931</v>
      </c>
    </row>
    <row r="3515" spans="1:4" x14ac:dyDescent="0.25">
      <c r="A3515" t="s">
        <v>1932</v>
      </c>
    </row>
    <row r="3517" spans="1:4" x14ac:dyDescent="0.25">
      <c r="A3517" t="s">
        <v>1933</v>
      </c>
    </row>
    <row r="3518" spans="1:4" x14ac:dyDescent="0.25">
      <c r="B3518" t="s">
        <v>8</v>
      </c>
      <c r="C3518" t="s">
        <v>8</v>
      </c>
      <c r="D3518" t="s">
        <v>8</v>
      </c>
    </row>
    <row r="3519" spans="1:4" x14ac:dyDescent="0.25">
      <c r="A3519" t="s">
        <v>1934</v>
      </c>
    </row>
    <row r="3521" spans="1:4" x14ac:dyDescent="0.25">
      <c r="A3521" t="s">
        <v>1935</v>
      </c>
    </row>
    <row r="3522" spans="1:4" x14ac:dyDescent="0.25">
      <c r="B3522" t="s">
        <v>8</v>
      </c>
      <c r="C3522" t="s">
        <v>8</v>
      </c>
      <c r="D3522" t="s">
        <v>8</v>
      </c>
    </row>
    <row r="3523" spans="1:4" x14ac:dyDescent="0.25">
      <c r="A3523" t="s">
        <v>1936</v>
      </c>
    </row>
    <row r="3525" spans="1:4" x14ac:dyDescent="0.25">
      <c r="A3525" t="s">
        <v>1937</v>
      </c>
    </row>
    <row r="3526" spans="1:4" x14ac:dyDescent="0.25">
      <c r="B3526" t="s">
        <v>8</v>
      </c>
      <c r="C3526" t="s">
        <v>8</v>
      </c>
      <c r="D3526" t="s">
        <v>8</v>
      </c>
    </row>
    <row r="3527" spans="1:4" x14ac:dyDescent="0.25">
      <c r="A3527" t="s">
        <v>1938</v>
      </c>
    </row>
    <row r="3529" spans="1:4" x14ac:dyDescent="0.25">
      <c r="A3529" t="s">
        <v>1939</v>
      </c>
    </row>
    <row r="3531" spans="1:4" x14ac:dyDescent="0.25">
      <c r="A3531" t="s">
        <v>1940</v>
      </c>
      <c r="C3531" s="1">
        <v>149817.29</v>
      </c>
      <c r="D3531" s="1">
        <v>-149817.29</v>
      </c>
    </row>
    <row r="3532" spans="1:4" x14ac:dyDescent="0.25">
      <c r="B3532" t="s">
        <v>8</v>
      </c>
      <c r="C3532" t="s">
        <v>8</v>
      </c>
      <c r="D3532" t="s">
        <v>8</v>
      </c>
    </row>
    <row r="3533" spans="1:4" x14ac:dyDescent="0.25">
      <c r="A3533" t="s">
        <v>1941</v>
      </c>
      <c r="C3533" s="1">
        <v>149817.29</v>
      </c>
      <c r="D3533" s="1">
        <v>-149817.29</v>
      </c>
    </row>
    <row r="3535" spans="1:4" x14ac:dyDescent="0.25">
      <c r="B3535" t="s">
        <v>8</v>
      </c>
      <c r="C3535" t="s">
        <v>8</v>
      </c>
      <c r="D3535" t="s">
        <v>8</v>
      </c>
    </row>
    <row r="3536" spans="1:4" x14ac:dyDescent="0.25">
      <c r="A3536" t="s">
        <v>1942</v>
      </c>
      <c r="C3536" s="1">
        <v>149817.29</v>
      </c>
      <c r="D3536" s="1">
        <v>-149817.29</v>
      </c>
    </row>
    <row r="3538" spans="1:4" x14ac:dyDescent="0.25">
      <c r="A3538" t="s">
        <v>1943</v>
      </c>
    </row>
    <row r="3540" spans="1:4" x14ac:dyDescent="0.25">
      <c r="A3540" t="s">
        <v>1944</v>
      </c>
    </row>
    <row r="3541" spans="1:4" x14ac:dyDescent="0.25">
      <c r="B3541" t="s">
        <v>8</v>
      </c>
      <c r="C3541" t="s">
        <v>8</v>
      </c>
      <c r="D3541" t="s">
        <v>8</v>
      </c>
    </row>
    <row r="3542" spans="1:4" x14ac:dyDescent="0.25">
      <c r="A3542" t="s">
        <v>1945</v>
      </c>
    </row>
    <row r="3544" spans="1:4" x14ac:dyDescent="0.25">
      <c r="B3544" t="s">
        <v>8</v>
      </c>
      <c r="C3544" t="s">
        <v>8</v>
      </c>
      <c r="D3544" t="s">
        <v>8</v>
      </c>
    </row>
    <row r="3545" spans="1:4" x14ac:dyDescent="0.25">
      <c r="A3545" t="s">
        <v>1946</v>
      </c>
    </row>
    <row r="3547" spans="1:4" x14ac:dyDescent="0.25">
      <c r="A3547" t="s">
        <v>1947</v>
      </c>
    </row>
    <row r="3549" spans="1:4" x14ac:dyDescent="0.25">
      <c r="A3549" t="s">
        <v>1948</v>
      </c>
    </row>
    <row r="3550" spans="1:4" x14ac:dyDescent="0.25">
      <c r="B3550" t="s">
        <v>8</v>
      </c>
      <c r="C3550" t="s">
        <v>8</v>
      </c>
      <c r="D3550" t="s">
        <v>8</v>
      </c>
    </row>
    <row r="3551" spans="1:4" x14ac:dyDescent="0.25">
      <c r="A3551" t="s">
        <v>1949</v>
      </c>
    </row>
    <row r="3553" spans="1:4" x14ac:dyDescent="0.25">
      <c r="B3553" t="s">
        <v>8</v>
      </c>
      <c r="C3553" t="s">
        <v>8</v>
      </c>
      <c r="D3553" t="s">
        <v>8</v>
      </c>
    </row>
    <row r="3554" spans="1:4" x14ac:dyDescent="0.25">
      <c r="A3554" t="s">
        <v>1950</v>
      </c>
    </row>
    <row r="3556" spans="1:4" x14ac:dyDescent="0.25">
      <c r="A3556" t="s">
        <v>1951</v>
      </c>
    </row>
    <row r="3558" spans="1:4" x14ac:dyDescent="0.25">
      <c r="A3558" t="s">
        <v>1952</v>
      </c>
    </row>
    <row r="3559" spans="1:4" x14ac:dyDescent="0.25">
      <c r="B3559" t="s">
        <v>8</v>
      </c>
      <c r="C3559" t="s">
        <v>8</v>
      </c>
      <c r="D3559" t="s">
        <v>8</v>
      </c>
    </row>
    <row r="3560" spans="1:4" x14ac:dyDescent="0.25">
      <c r="A3560" t="s">
        <v>1953</v>
      </c>
    </row>
    <row r="3562" spans="1:4" x14ac:dyDescent="0.25">
      <c r="B3562" t="s">
        <v>8</v>
      </c>
      <c r="C3562" t="s">
        <v>8</v>
      </c>
      <c r="D3562" t="s">
        <v>8</v>
      </c>
    </row>
    <row r="3563" spans="1:4" x14ac:dyDescent="0.25">
      <c r="A3563" t="s">
        <v>1954</v>
      </c>
    </row>
    <row r="3565" spans="1:4" x14ac:dyDescent="0.25">
      <c r="A3565" t="s">
        <v>1955</v>
      </c>
    </row>
    <row r="3567" spans="1:4" x14ac:dyDescent="0.25">
      <c r="A3567" t="s">
        <v>1956</v>
      </c>
    </row>
    <row r="3569" spans="1:4" x14ac:dyDescent="0.25">
      <c r="A3569" t="s">
        <v>1957</v>
      </c>
      <c r="B3569" s="1">
        <v>32646.99</v>
      </c>
      <c r="D3569" s="1">
        <v>32646.99</v>
      </c>
    </row>
    <row r="3570" spans="1:4" x14ac:dyDescent="0.25">
      <c r="B3570" t="s">
        <v>8</v>
      </c>
      <c r="C3570" t="s">
        <v>8</v>
      </c>
      <c r="D3570" t="s">
        <v>8</v>
      </c>
    </row>
    <row r="3571" spans="1:4" x14ac:dyDescent="0.25">
      <c r="A3571" t="s">
        <v>1958</v>
      </c>
      <c r="B3571" s="1">
        <v>32646.99</v>
      </c>
      <c r="D3571" s="1">
        <v>32646.99</v>
      </c>
    </row>
    <row r="3573" spans="1:4" x14ac:dyDescent="0.25">
      <c r="B3573" t="s">
        <v>8</v>
      </c>
      <c r="C3573" t="s">
        <v>8</v>
      </c>
      <c r="D3573" t="s">
        <v>8</v>
      </c>
    </row>
    <row r="3574" spans="1:4" x14ac:dyDescent="0.25">
      <c r="A3574" t="s">
        <v>1959</v>
      </c>
      <c r="B3574" s="1">
        <v>32646.99</v>
      </c>
      <c r="D3574" s="1">
        <v>32646.99</v>
      </c>
    </row>
    <row r="3576" spans="1:4" x14ac:dyDescent="0.25">
      <c r="A3576" t="s">
        <v>1960</v>
      </c>
    </row>
    <row r="3578" spans="1:4" x14ac:dyDescent="0.25">
      <c r="A3578" t="s">
        <v>1961</v>
      </c>
    </row>
    <row r="3580" spans="1:4" x14ac:dyDescent="0.25">
      <c r="A3580" t="s">
        <v>1962</v>
      </c>
      <c r="B3580" s="1">
        <v>25450340.059999999</v>
      </c>
      <c r="C3580" s="1">
        <v>232371.05</v>
      </c>
      <c r="D3580" s="1">
        <v>25217969.010000002</v>
      </c>
    </row>
    <row r="3581" spans="1:4" x14ac:dyDescent="0.25">
      <c r="B3581" t="s">
        <v>8</v>
      </c>
      <c r="C3581" t="s">
        <v>8</v>
      </c>
      <c r="D3581" t="s">
        <v>8</v>
      </c>
    </row>
    <row r="3582" spans="1:4" x14ac:dyDescent="0.25">
      <c r="A3582" t="s">
        <v>1963</v>
      </c>
      <c r="B3582" s="1">
        <v>25450340.059999999</v>
      </c>
      <c r="C3582" s="1">
        <v>232371.05</v>
      </c>
      <c r="D3582" s="1">
        <v>25217969.010000002</v>
      </c>
    </row>
    <row r="3584" spans="1:4" x14ac:dyDescent="0.25">
      <c r="A3584" t="s">
        <v>1964</v>
      </c>
    </row>
    <row r="3586" spans="1:4" x14ac:dyDescent="0.25">
      <c r="A3586" t="s">
        <v>1965</v>
      </c>
      <c r="B3586" s="1">
        <v>5798231.3099999996</v>
      </c>
      <c r="D3586" s="1">
        <v>5798231.3099999996</v>
      </c>
    </row>
    <row r="3587" spans="1:4" x14ac:dyDescent="0.25">
      <c r="B3587" t="s">
        <v>8</v>
      </c>
      <c r="C3587" t="s">
        <v>8</v>
      </c>
      <c r="D3587" t="s">
        <v>8</v>
      </c>
    </row>
    <row r="3588" spans="1:4" x14ac:dyDescent="0.25">
      <c r="A3588" t="s">
        <v>1966</v>
      </c>
      <c r="B3588" s="1">
        <v>5798231.3099999996</v>
      </c>
      <c r="D3588" s="1">
        <v>5798231.3099999996</v>
      </c>
    </row>
    <row r="3590" spans="1:4" x14ac:dyDescent="0.25">
      <c r="B3590" t="s">
        <v>8</v>
      </c>
      <c r="C3590" t="s">
        <v>8</v>
      </c>
      <c r="D3590" t="s">
        <v>8</v>
      </c>
    </row>
    <row r="3591" spans="1:4" x14ac:dyDescent="0.25">
      <c r="A3591" t="s">
        <v>1967</v>
      </c>
      <c r="B3591" s="1">
        <v>31248571.370000001</v>
      </c>
      <c r="C3591" s="1">
        <v>232371.05</v>
      </c>
      <c r="D3591" s="1">
        <v>31016200.32</v>
      </c>
    </row>
    <row r="3593" spans="1:4" x14ac:dyDescent="0.25">
      <c r="A3593" t="s">
        <v>1968</v>
      </c>
    </row>
    <row r="3595" spans="1:4" x14ac:dyDescent="0.25">
      <c r="A3595" t="s">
        <v>1969</v>
      </c>
    </row>
    <row r="3597" spans="1:4" x14ac:dyDescent="0.25">
      <c r="A3597" t="s">
        <v>1970</v>
      </c>
      <c r="B3597" s="1">
        <v>31525256.920000002</v>
      </c>
      <c r="D3597" s="1">
        <v>31525256.920000002</v>
      </c>
    </row>
    <row r="3598" spans="1:4" x14ac:dyDescent="0.25">
      <c r="B3598" t="s">
        <v>8</v>
      </c>
      <c r="C3598" t="s">
        <v>8</v>
      </c>
      <c r="D3598" t="s">
        <v>8</v>
      </c>
    </row>
    <row r="3599" spans="1:4" x14ac:dyDescent="0.25">
      <c r="A3599" t="s">
        <v>1971</v>
      </c>
      <c r="B3599" s="1">
        <v>31525256.920000002</v>
      </c>
      <c r="D3599" s="1">
        <v>31525256.920000002</v>
      </c>
    </row>
    <row r="3601" spans="1:4" x14ac:dyDescent="0.25">
      <c r="B3601" t="s">
        <v>8</v>
      </c>
      <c r="C3601" t="s">
        <v>8</v>
      </c>
      <c r="D3601" t="s">
        <v>8</v>
      </c>
    </row>
    <row r="3602" spans="1:4" x14ac:dyDescent="0.25">
      <c r="A3602" t="s">
        <v>1972</v>
      </c>
      <c r="B3602" s="1">
        <v>31525256.920000002</v>
      </c>
      <c r="D3602" s="1">
        <v>31525256.920000002</v>
      </c>
    </row>
    <row r="3604" spans="1:4" x14ac:dyDescent="0.25">
      <c r="A3604" t="s">
        <v>1973</v>
      </c>
    </row>
    <row r="3606" spans="1:4" x14ac:dyDescent="0.25">
      <c r="A3606" t="s">
        <v>1974</v>
      </c>
    </row>
    <row r="3607" spans="1:4" x14ac:dyDescent="0.25">
      <c r="B3607" t="s">
        <v>8</v>
      </c>
      <c r="C3607" t="s">
        <v>8</v>
      </c>
      <c r="D3607" t="s">
        <v>8</v>
      </c>
    </row>
    <row r="3608" spans="1:4" x14ac:dyDescent="0.25">
      <c r="A3608" t="s">
        <v>1975</v>
      </c>
    </row>
    <row r="3610" spans="1:4" x14ac:dyDescent="0.25">
      <c r="B3610" t="s">
        <v>8</v>
      </c>
      <c r="C3610" t="s">
        <v>8</v>
      </c>
      <c r="D3610" t="s">
        <v>8</v>
      </c>
    </row>
    <row r="3611" spans="1:4" x14ac:dyDescent="0.25">
      <c r="A3611" t="s">
        <v>1976</v>
      </c>
    </row>
    <row r="3613" spans="1:4" x14ac:dyDescent="0.25">
      <c r="A3613" t="s">
        <v>1977</v>
      </c>
    </row>
    <row r="3615" spans="1:4" x14ac:dyDescent="0.25">
      <c r="A3615" t="s">
        <v>1978</v>
      </c>
    </row>
    <row r="3616" spans="1:4" x14ac:dyDescent="0.25">
      <c r="B3616" t="s">
        <v>8</v>
      </c>
      <c r="C3616" t="s">
        <v>8</v>
      </c>
      <c r="D3616" t="s">
        <v>8</v>
      </c>
    </row>
    <row r="3617" spans="1:4" x14ac:dyDescent="0.25">
      <c r="A3617" t="s">
        <v>1979</v>
      </c>
    </row>
    <row r="3619" spans="1:4" x14ac:dyDescent="0.25">
      <c r="B3619" t="s">
        <v>8</v>
      </c>
      <c r="C3619" t="s">
        <v>8</v>
      </c>
      <c r="D3619" t="s">
        <v>8</v>
      </c>
    </row>
    <row r="3620" spans="1:4" x14ac:dyDescent="0.25">
      <c r="A3620" t="s">
        <v>1980</v>
      </c>
    </row>
    <row r="3622" spans="1:4" x14ac:dyDescent="0.25">
      <c r="A3622" t="s">
        <v>1981</v>
      </c>
    </row>
    <row r="3624" spans="1:4" x14ac:dyDescent="0.25">
      <c r="A3624" t="s">
        <v>1982</v>
      </c>
    </row>
    <row r="3625" spans="1:4" x14ac:dyDescent="0.25">
      <c r="B3625" t="s">
        <v>8</v>
      </c>
      <c r="C3625" t="s">
        <v>8</v>
      </c>
      <c r="D3625" t="s">
        <v>8</v>
      </c>
    </row>
    <row r="3626" spans="1:4" x14ac:dyDescent="0.25">
      <c r="A3626" t="s">
        <v>1983</v>
      </c>
    </row>
    <row r="3628" spans="1:4" x14ac:dyDescent="0.25">
      <c r="B3628" t="s">
        <v>8</v>
      </c>
      <c r="C3628" t="s">
        <v>8</v>
      </c>
      <c r="D3628" t="s">
        <v>8</v>
      </c>
    </row>
    <row r="3629" spans="1:4" x14ac:dyDescent="0.25">
      <c r="A3629" t="s">
        <v>1984</v>
      </c>
    </row>
    <row r="3631" spans="1:4" x14ac:dyDescent="0.25">
      <c r="A3631" t="s">
        <v>1985</v>
      </c>
    </row>
    <row r="3633" spans="1:4" x14ac:dyDescent="0.25">
      <c r="A3633" t="s">
        <v>1986</v>
      </c>
    </row>
    <row r="3635" spans="1:4" x14ac:dyDescent="0.25">
      <c r="A3635" t="s">
        <v>1987</v>
      </c>
      <c r="B3635" s="1">
        <v>12783293.73</v>
      </c>
      <c r="C3635" s="1">
        <v>1373536.82</v>
      </c>
      <c r="D3635" s="1">
        <v>11409756.91</v>
      </c>
    </row>
    <row r="3636" spans="1:4" x14ac:dyDescent="0.25">
      <c r="A3636" t="s">
        <v>1988</v>
      </c>
      <c r="B3636" s="1">
        <v>5035877.0599999996</v>
      </c>
      <c r="C3636" s="1">
        <v>568463.12</v>
      </c>
      <c r="D3636" s="1">
        <v>4467413.9400000004</v>
      </c>
    </row>
    <row r="3637" spans="1:4" x14ac:dyDescent="0.25">
      <c r="A3637" t="s">
        <v>1989</v>
      </c>
      <c r="B3637">
        <v>945</v>
      </c>
      <c r="D3637">
        <v>945</v>
      </c>
    </row>
    <row r="3638" spans="1:4" x14ac:dyDescent="0.25">
      <c r="A3638" t="s">
        <v>1990</v>
      </c>
      <c r="B3638" s="1">
        <v>202473.76</v>
      </c>
      <c r="D3638" s="1">
        <v>202473.76</v>
      </c>
    </row>
    <row r="3639" spans="1:4" x14ac:dyDescent="0.25">
      <c r="B3639" t="s">
        <v>8</v>
      </c>
      <c r="C3639" t="s">
        <v>8</v>
      </c>
      <c r="D3639" t="s">
        <v>8</v>
      </c>
    </row>
    <row r="3640" spans="1:4" x14ac:dyDescent="0.25">
      <c r="A3640" t="s">
        <v>1991</v>
      </c>
      <c r="B3640" s="1">
        <v>18022589.550000001</v>
      </c>
      <c r="C3640" s="1">
        <v>1941999.94</v>
      </c>
      <c r="D3640" s="1">
        <v>16080589.609999999</v>
      </c>
    </row>
    <row r="3642" spans="1:4" x14ac:dyDescent="0.25">
      <c r="A3642" t="s">
        <v>1992</v>
      </c>
    </row>
    <row r="3644" spans="1:4" x14ac:dyDescent="0.25">
      <c r="A3644" t="s">
        <v>2395</v>
      </c>
      <c r="B3644">
        <v>2.69</v>
      </c>
      <c r="D3644">
        <v>2.69</v>
      </c>
    </row>
    <row r="3645" spans="1:4" x14ac:dyDescent="0.25">
      <c r="B3645" t="s">
        <v>8</v>
      </c>
      <c r="C3645" t="s">
        <v>8</v>
      </c>
      <c r="D3645" t="s">
        <v>8</v>
      </c>
    </row>
    <row r="3646" spans="1:4" x14ac:dyDescent="0.25">
      <c r="A3646" t="s">
        <v>1993</v>
      </c>
      <c r="B3646">
        <v>2.69</v>
      </c>
      <c r="D3646">
        <v>2.69</v>
      </c>
    </row>
    <row r="3648" spans="1:4" x14ac:dyDescent="0.25">
      <c r="A3648" t="s">
        <v>1994</v>
      </c>
    </row>
    <row r="3650" spans="1:4" x14ac:dyDescent="0.25">
      <c r="A3650" t="s">
        <v>1995</v>
      </c>
      <c r="B3650" s="1">
        <v>105000.1</v>
      </c>
      <c r="D3650" s="1">
        <v>105000.1</v>
      </c>
    </row>
    <row r="3651" spans="1:4" x14ac:dyDescent="0.25">
      <c r="B3651" t="s">
        <v>8</v>
      </c>
      <c r="C3651" t="s">
        <v>8</v>
      </c>
      <c r="D3651" t="s">
        <v>8</v>
      </c>
    </row>
    <row r="3652" spans="1:4" x14ac:dyDescent="0.25">
      <c r="A3652" t="s">
        <v>1996</v>
      </c>
      <c r="B3652" s="1">
        <v>105000.1</v>
      </c>
      <c r="D3652" s="1">
        <v>105000.1</v>
      </c>
    </row>
    <row r="3654" spans="1:4" x14ac:dyDescent="0.25">
      <c r="A3654" t="s">
        <v>1997</v>
      </c>
    </row>
    <row r="3655" spans="1:4" x14ac:dyDescent="0.25">
      <c r="B3655" t="s">
        <v>8</v>
      </c>
      <c r="C3655" t="s">
        <v>8</v>
      </c>
      <c r="D3655" t="s">
        <v>8</v>
      </c>
    </row>
    <row r="3656" spans="1:4" x14ac:dyDescent="0.25">
      <c r="A3656" t="s">
        <v>1998</v>
      </c>
    </row>
    <row r="3658" spans="1:4" x14ac:dyDescent="0.25">
      <c r="B3658" t="s">
        <v>8</v>
      </c>
      <c r="C3658" t="s">
        <v>8</v>
      </c>
      <c r="D3658" t="s">
        <v>8</v>
      </c>
    </row>
    <row r="3659" spans="1:4" x14ac:dyDescent="0.25">
      <c r="A3659" t="s">
        <v>1999</v>
      </c>
      <c r="B3659" s="1">
        <v>18127592.34</v>
      </c>
      <c r="C3659" s="1">
        <v>1941999.94</v>
      </c>
      <c r="D3659" s="1">
        <v>16185592.4</v>
      </c>
    </row>
    <row r="3661" spans="1:4" x14ac:dyDescent="0.25">
      <c r="A3661" t="s">
        <v>2000</v>
      </c>
    </row>
    <row r="3663" spans="1:4" x14ac:dyDescent="0.25">
      <c r="A3663" t="s">
        <v>2001</v>
      </c>
    </row>
    <row r="3664" spans="1:4" x14ac:dyDescent="0.25">
      <c r="B3664" t="s">
        <v>8</v>
      </c>
      <c r="C3664" t="s">
        <v>8</v>
      </c>
      <c r="D3664" t="s">
        <v>8</v>
      </c>
    </row>
    <row r="3665" spans="1:4" x14ac:dyDescent="0.25">
      <c r="A3665" t="s">
        <v>2002</v>
      </c>
    </row>
    <row r="3666" spans="1:4" x14ac:dyDescent="0.25">
      <c r="B3666" t="s">
        <v>8</v>
      </c>
      <c r="C3666" t="s">
        <v>8</v>
      </c>
      <c r="D3666" t="s">
        <v>8</v>
      </c>
    </row>
    <row r="3667" spans="1:4" x14ac:dyDescent="0.25">
      <c r="A3667" t="s">
        <v>2003</v>
      </c>
    </row>
    <row r="3668" spans="1:4" x14ac:dyDescent="0.25">
      <c r="B3668" t="s">
        <v>8</v>
      </c>
      <c r="C3668" t="s">
        <v>8</v>
      </c>
      <c r="D3668" t="s">
        <v>8</v>
      </c>
    </row>
    <row r="3669" spans="1:4" x14ac:dyDescent="0.25">
      <c r="A3669" t="s">
        <v>2004</v>
      </c>
      <c r="B3669" s="1">
        <v>81662665.140000001</v>
      </c>
      <c r="C3669" s="1">
        <v>44397939.609999999</v>
      </c>
      <c r="D3669" s="1">
        <v>37264725.530000001</v>
      </c>
    </row>
    <row r="3671" spans="1:4" x14ac:dyDescent="0.25">
      <c r="A3671" t="s">
        <v>2005</v>
      </c>
    </row>
    <row r="3673" spans="1:4" x14ac:dyDescent="0.25">
      <c r="A3673" t="s">
        <v>2006</v>
      </c>
    </row>
    <row r="3674" spans="1:4" x14ac:dyDescent="0.25">
      <c r="B3674" t="s">
        <v>8</v>
      </c>
      <c r="C3674" t="s">
        <v>8</v>
      </c>
      <c r="D3674" t="s">
        <v>8</v>
      </c>
    </row>
    <row r="3675" spans="1:4" x14ac:dyDescent="0.25">
      <c r="A3675" t="s">
        <v>2007</v>
      </c>
    </row>
    <row r="3677" spans="1:4" x14ac:dyDescent="0.25">
      <c r="A3677" t="s">
        <v>2008</v>
      </c>
    </row>
    <row r="3679" spans="1:4" x14ac:dyDescent="0.25">
      <c r="A3679" t="s">
        <v>2009</v>
      </c>
    </row>
    <row r="3681" spans="1:4" x14ac:dyDescent="0.25">
      <c r="A3681" t="s">
        <v>2010</v>
      </c>
      <c r="B3681" s="1">
        <v>3654158.43</v>
      </c>
      <c r="C3681" s="1">
        <v>4565393.34</v>
      </c>
      <c r="D3681" s="1">
        <v>-911234.91</v>
      </c>
    </row>
    <row r="3682" spans="1:4" x14ac:dyDescent="0.25">
      <c r="B3682" t="s">
        <v>8</v>
      </c>
      <c r="C3682" t="s">
        <v>8</v>
      </c>
      <c r="D3682" t="s">
        <v>8</v>
      </c>
    </row>
    <row r="3683" spans="1:4" x14ac:dyDescent="0.25">
      <c r="A3683" t="s">
        <v>2011</v>
      </c>
      <c r="B3683" s="1">
        <v>3654158.43</v>
      </c>
      <c r="C3683" s="1">
        <v>4565393.34</v>
      </c>
      <c r="D3683" s="1">
        <v>-911234.91</v>
      </c>
    </row>
    <row r="3685" spans="1:4" x14ac:dyDescent="0.25">
      <c r="A3685" t="s">
        <v>2012</v>
      </c>
    </row>
    <row r="3686" spans="1:4" x14ac:dyDescent="0.25">
      <c r="B3686" t="s">
        <v>8</v>
      </c>
      <c r="C3686" t="s">
        <v>8</v>
      </c>
      <c r="D3686" t="s">
        <v>8</v>
      </c>
    </row>
    <row r="3687" spans="1:4" x14ac:dyDescent="0.25">
      <c r="A3687" t="s">
        <v>2013</v>
      </c>
    </row>
    <row r="3689" spans="1:4" x14ac:dyDescent="0.25">
      <c r="A3689" t="s">
        <v>2014</v>
      </c>
    </row>
    <row r="3690" spans="1:4" x14ac:dyDescent="0.25">
      <c r="B3690" t="s">
        <v>8</v>
      </c>
      <c r="C3690" t="s">
        <v>8</v>
      </c>
      <c r="D3690" t="s">
        <v>8</v>
      </c>
    </row>
    <row r="3691" spans="1:4" x14ac:dyDescent="0.25">
      <c r="A3691" t="s">
        <v>2015</v>
      </c>
    </row>
    <row r="3693" spans="1:4" x14ac:dyDescent="0.25">
      <c r="A3693" t="s">
        <v>2016</v>
      </c>
    </row>
    <row r="3694" spans="1:4" x14ac:dyDescent="0.25">
      <c r="B3694" t="s">
        <v>8</v>
      </c>
      <c r="C3694" t="s">
        <v>8</v>
      </c>
      <c r="D3694" t="s">
        <v>8</v>
      </c>
    </row>
    <row r="3695" spans="1:4" x14ac:dyDescent="0.25">
      <c r="A3695" t="s">
        <v>2017</v>
      </c>
    </row>
    <row r="3697" spans="1:4" x14ac:dyDescent="0.25">
      <c r="A3697" t="s">
        <v>2018</v>
      </c>
    </row>
    <row r="3699" spans="1:4" x14ac:dyDescent="0.25">
      <c r="A3699" t="s">
        <v>2019</v>
      </c>
      <c r="B3699" s="1">
        <v>11382.33</v>
      </c>
      <c r="C3699" s="1">
        <v>118553.64</v>
      </c>
      <c r="D3699" s="1">
        <v>-107171.31</v>
      </c>
    </row>
    <row r="3700" spans="1:4" x14ac:dyDescent="0.25">
      <c r="B3700" t="s">
        <v>8</v>
      </c>
      <c r="C3700" t="s">
        <v>8</v>
      </c>
      <c r="D3700" t="s">
        <v>8</v>
      </c>
    </row>
    <row r="3701" spans="1:4" x14ac:dyDescent="0.25">
      <c r="A3701" t="s">
        <v>2020</v>
      </c>
      <c r="B3701" s="1">
        <v>11382.33</v>
      </c>
      <c r="C3701" s="1">
        <v>118553.64</v>
      </c>
      <c r="D3701" s="1">
        <v>-107171.31</v>
      </c>
    </row>
    <row r="3703" spans="1:4" x14ac:dyDescent="0.25">
      <c r="B3703" t="s">
        <v>8</v>
      </c>
      <c r="C3703" t="s">
        <v>8</v>
      </c>
      <c r="D3703" t="s">
        <v>8</v>
      </c>
    </row>
    <row r="3704" spans="1:4" x14ac:dyDescent="0.25">
      <c r="A3704" t="s">
        <v>2021</v>
      </c>
      <c r="B3704" s="1">
        <v>3665540.76</v>
      </c>
      <c r="C3704" s="1">
        <v>4683946.9800000004</v>
      </c>
      <c r="D3704" s="1">
        <v>-1018406.22</v>
      </c>
    </row>
    <row r="3706" spans="1:4" x14ac:dyDescent="0.25">
      <c r="A3706" t="s">
        <v>2022</v>
      </c>
    </row>
    <row r="3707" spans="1:4" x14ac:dyDescent="0.25">
      <c r="B3707" t="s">
        <v>8</v>
      </c>
      <c r="C3707" t="s">
        <v>8</v>
      </c>
      <c r="D3707" t="s">
        <v>8</v>
      </c>
    </row>
    <row r="3708" spans="1:4" x14ac:dyDescent="0.25">
      <c r="A3708" t="s">
        <v>2023</v>
      </c>
    </row>
    <row r="3710" spans="1:4" x14ac:dyDescent="0.25">
      <c r="A3710" t="s">
        <v>2024</v>
      </c>
    </row>
    <row r="3712" spans="1:4" x14ac:dyDescent="0.25">
      <c r="A3712" t="s">
        <v>2025</v>
      </c>
    </row>
    <row r="3713" spans="1:4" x14ac:dyDescent="0.25">
      <c r="B3713" t="s">
        <v>8</v>
      </c>
      <c r="C3713" t="s">
        <v>8</v>
      </c>
      <c r="D3713" t="s">
        <v>8</v>
      </c>
    </row>
    <row r="3714" spans="1:4" x14ac:dyDescent="0.25">
      <c r="A3714" t="s">
        <v>2026</v>
      </c>
    </row>
    <row r="3716" spans="1:4" x14ac:dyDescent="0.25">
      <c r="B3716" t="s">
        <v>8</v>
      </c>
      <c r="C3716" t="s">
        <v>8</v>
      </c>
      <c r="D3716" t="s">
        <v>8</v>
      </c>
    </row>
    <row r="3717" spans="1:4" x14ac:dyDescent="0.25">
      <c r="A3717" t="s">
        <v>2027</v>
      </c>
    </row>
    <row r="3719" spans="1:4" x14ac:dyDescent="0.25">
      <c r="A3719" t="s">
        <v>2028</v>
      </c>
    </row>
    <row r="3721" spans="1:4" x14ac:dyDescent="0.25">
      <c r="A3721" t="s">
        <v>2029</v>
      </c>
    </row>
    <row r="3722" spans="1:4" x14ac:dyDescent="0.25">
      <c r="B3722" t="s">
        <v>8</v>
      </c>
      <c r="C3722" t="s">
        <v>8</v>
      </c>
      <c r="D3722" t="s">
        <v>8</v>
      </c>
    </row>
    <row r="3723" spans="1:4" x14ac:dyDescent="0.25">
      <c r="A3723" t="s">
        <v>2030</v>
      </c>
    </row>
    <row r="3725" spans="1:4" x14ac:dyDescent="0.25">
      <c r="A3725" t="s">
        <v>2031</v>
      </c>
    </row>
    <row r="3727" spans="1:4" x14ac:dyDescent="0.25">
      <c r="A3727" t="s">
        <v>2032</v>
      </c>
      <c r="B3727" s="1">
        <v>6509.7</v>
      </c>
      <c r="C3727" s="1">
        <v>6509.7</v>
      </c>
    </row>
    <row r="3728" spans="1:4" x14ac:dyDescent="0.25">
      <c r="B3728" t="s">
        <v>8</v>
      </c>
      <c r="C3728" t="s">
        <v>8</v>
      </c>
      <c r="D3728" t="s">
        <v>8</v>
      </c>
    </row>
    <row r="3729" spans="1:4" x14ac:dyDescent="0.25">
      <c r="A3729" t="s">
        <v>2033</v>
      </c>
      <c r="B3729" s="1">
        <v>6509.7</v>
      </c>
      <c r="C3729" s="1">
        <v>6509.7</v>
      </c>
    </row>
    <row r="3731" spans="1:4" x14ac:dyDescent="0.25">
      <c r="B3731" t="s">
        <v>8</v>
      </c>
      <c r="C3731" t="s">
        <v>8</v>
      </c>
      <c r="D3731" t="s">
        <v>8</v>
      </c>
    </row>
    <row r="3732" spans="1:4" x14ac:dyDescent="0.25">
      <c r="A3732" t="s">
        <v>2034</v>
      </c>
      <c r="B3732" s="1">
        <v>6509.7</v>
      </c>
      <c r="C3732" s="1">
        <v>6509.7</v>
      </c>
    </row>
    <row r="3734" spans="1:4" x14ac:dyDescent="0.25">
      <c r="A3734" t="s">
        <v>2035</v>
      </c>
    </row>
    <row r="3736" spans="1:4" x14ac:dyDescent="0.25">
      <c r="A3736" t="s">
        <v>2036</v>
      </c>
    </row>
    <row r="3737" spans="1:4" x14ac:dyDescent="0.25">
      <c r="B3737" t="s">
        <v>8</v>
      </c>
      <c r="C3737" t="s">
        <v>8</v>
      </c>
      <c r="D3737" t="s">
        <v>8</v>
      </c>
    </row>
    <row r="3738" spans="1:4" x14ac:dyDescent="0.25">
      <c r="A3738" t="s">
        <v>2037</v>
      </c>
    </row>
    <row r="3740" spans="1:4" x14ac:dyDescent="0.25">
      <c r="B3740" t="s">
        <v>8</v>
      </c>
      <c r="C3740" t="s">
        <v>8</v>
      </c>
      <c r="D3740" t="s">
        <v>8</v>
      </c>
    </row>
    <row r="3741" spans="1:4" x14ac:dyDescent="0.25">
      <c r="A3741" t="s">
        <v>2038</v>
      </c>
    </row>
    <row r="3743" spans="1:4" x14ac:dyDescent="0.25">
      <c r="A3743" t="s">
        <v>2039</v>
      </c>
    </row>
    <row r="3745" spans="1:4" x14ac:dyDescent="0.25">
      <c r="A3745" t="s">
        <v>2040</v>
      </c>
    </row>
    <row r="3746" spans="1:4" x14ac:dyDescent="0.25">
      <c r="B3746" t="s">
        <v>8</v>
      </c>
      <c r="C3746" t="s">
        <v>8</v>
      </c>
      <c r="D3746" t="s">
        <v>8</v>
      </c>
    </row>
    <row r="3747" spans="1:4" x14ac:dyDescent="0.25">
      <c r="A3747" t="s">
        <v>2041</v>
      </c>
    </row>
    <row r="3749" spans="1:4" x14ac:dyDescent="0.25">
      <c r="B3749" t="s">
        <v>8</v>
      </c>
      <c r="C3749" t="s">
        <v>8</v>
      </c>
      <c r="D3749" t="s">
        <v>8</v>
      </c>
    </row>
    <row r="3750" spans="1:4" x14ac:dyDescent="0.25">
      <c r="A3750" t="s">
        <v>2042</v>
      </c>
    </row>
    <row r="3752" spans="1:4" x14ac:dyDescent="0.25">
      <c r="A3752" t="s">
        <v>2043</v>
      </c>
    </row>
    <row r="3754" spans="1:4" x14ac:dyDescent="0.25">
      <c r="A3754" t="s">
        <v>2044</v>
      </c>
    </row>
    <row r="3755" spans="1:4" x14ac:dyDescent="0.25">
      <c r="B3755" t="s">
        <v>8</v>
      </c>
      <c r="C3755" t="s">
        <v>8</v>
      </c>
      <c r="D3755" t="s">
        <v>8</v>
      </c>
    </row>
    <row r="3756" spans="1:4" x14ac:dyDescent="0.25">
      <c r="A3756" t="s">
        <v>2045</v>
      </c>
    </row>
    <row r="3758" spans="1:4" x14ac:dyDescent="0.25">
      <c r="B3758" t="s">
        <v>8</v>
      </c>
      <c r="C3758" t="s">
        <v>8</v>
      </c>
      <c r="D3758" t="s">
        <v>8</v>
      </c>
    </row>
    <row r="3759" spans="1:4" x14ac:dyDescent="0.25">
      <c r="A3759" t="s">
        <v>2046</v>
      </c>
    </row>
    <row r="3761" spans="1:3" x14ac:dyDescent="0.25">
      <c r="A3761" t="s">
        <v>2047</v>
      </c>
    </row>
    <row r="3763" spans="1:3" x14ac:dyDescent="0.25">
      <c r="A3763" t="s">
        <v>2048</v>
      </c>
    </row>
    <row r="3765" spans="1:3" x14ac:dyDescent="0.25">
      <c r="A3765" t="s">
        <v>2049</v>
      </c>
      <c r="B3765" s="1">
        <v>10067277.939999999</v>
      </c>
      <c r="C3765" s="1">
        <v>10067277.939999999</v>
      </c>
    </row>
    <row r="3766" spans="1:3" x14ac:dyDescent="0.25">
      <c r="A3766" t="s">
        <v>2050</v>
      </c>
      <c r="B3766" s="1">
        <v>86629.94</v>
      </c>
      <c r="C3766" s="1">
        <v>86629.94</v>
      </c>
    </row>
    <row r="3767" spans="1:3" x14ac:dyDescent="0.25">
      <c r="A3767" t="s">
        <v>2051</v>
      </c>
      <c r="B3767" s="1">
        <v>68695.17</v>
      </c>
      <c r="C3767" s="1">
        <v>68695.17</v>
      </c>
    </row>
    <row r="3768" spans="1:3" x14ac:dyDescent="0.25">
      <c r="A3768" t="s">
        <v>2052</v>
      </c>
      <c r="B3768" s="1">
        <v>21278196.600000001</v>
      </c>
      <c r="C3768" s="1">
        <v>21278196.600000001</v>
      </c>
    </row>
    <row r="3769" spans="1:3" x14ac:dyDescent="0.25">
      <c r="A3769" t="s">
        <v>2053</v>
      </c>
      <c r="B3769" s="1">
        <v>5032533.8600000003</v>
      </c>
      <c r="C3769" s="1">
        <v>5032533.8600000003</v>
      </c>
    </row>
    <row r="3770" spans="1:3" x14ac:dyDescent="0.25">
      <c r="A3770" t="s">
        <v>2054</v>
      </c>
      <c r="B3770" s="1">
        <v>7318690.9000000004</v>
      </c>
      <c r="C3770" s="1">
        <v>7318690.9000000004</v>
      </c>
    </row>
    <row r="3771" spans="1:3" x14ac:dyDescent="0.25">
      <c r="A3771" t="s">
        <v>2055</v>
      </c>
      <c r="B3771" s="1">
        <v>2074635.56</v>
      </c>
      <c r="C3771" s="1">
        <v>2074635.56</v>
      </c>
    </row>
    <row r="3772" spans="1:3" x14ac:dyDescent="0.25">
      <c r="A3772" t="s">
        <v>2056</v>
      </c>
      <c r="B3772" s="1">
        <v>1532516.82</v>
      </c>
      <c r="C3772" s="1">
        <v>1532516.82</v>
      </c>
    </row>
    <row r="3773" spans="1:3" x14ac:dyDescent="0.25">
      <c r="A3773" t="s">
        <v>2057</v>
      </c>
      <c r="B3773" s="1">
        <v>12250218.16</v>
      </c>
      <c r="C3773" s="1">
        <v>12250218.16</v>
      </c>
    </row>
    <row r="3774" spans="1:3" x14ac:dyDescent="0.25">
      <c r="A3774" t="s">
        <v>2058</v>
      </c>
      <c r="B3774" s="1">
        <v>12939113.289999999</v>
      </c>
      <c r="C3774" s="1">
        <v>12939113.289999999</v>
      </c>
    </row>
    <row r="3775" spans="1:3" x14ac:dyDescent="0.25">
      <c r="A3775" t="s">
        <v>2059</v>
      </c>
      <c r="B3775" s="1">
        <v>5661964.6600000001</v>
      </c>
      <c r="C3775" s="1">
        <v>5661964.6600000001</v>
      </c>
    </row>
    <row r="3776" spans="1:3" x14ac:dyDescent="0.25">
      <c r="A3776" t="s">
        <v>2060</v>
      </c>
      <c r="B3776" s="1">
        <v>5089242.25</v>
      </c>
      <c r="C3776" s="1">
        <v>5089242.25</v>
      </c>
    </row>
    <row r="3777" spans="1:4" x14ac:dyDescent="0.25">
      <c r="A3777" t="s">
        <v>2061</v>
      </c>
      <c r="B3777" s="1">
        <v>24556.75</v>
      </c>
      <c r="C3777" s="1">
        <v>24556.75</v>
      </c>
    </row>
    <row r="3778" spans="1:4" x14ac:dyDescent="0.25">
      <c r="A3778" t="s">
        <v>2062</v>
      </c>
      <c r="B3778" s="1">
        <v>24193692.350000001</v>
      </c>
      <c r="C3778" s="1">
        <v>24193692.350000001</v>
      </c>
    </row>
    <row r="3779" spans="1:4" x14ac:dyDescent="0.25">
      <c r="A3779" t="s">
        <v>2063</v>
      </c>
      <c r="B3779" s="1">
        <v>2373938.66</v>
      </c>
      <c r="C3779" s="1">
        <v>2373938.66</v>
      </c>
    </row>
    <row r="3780" spans="1:4" x14ac:dyDescent="0.25">
      <c r="A3780" t="s">
        <v>2064</v>
      </c>
      <c r="B3780" s="1">
        <v>432034.87</v>
      </c>
      <c r="C3780" s="1">
        <v>432034.87</v>
      </c>
    </row>
    <row r="3781" spans="1:4" x14ac:dyDescent="0.25">
      <c r="A3781" t="s">
        <v>2065</v>
      </c>
      <c r="B3781" s="1">
        <v>16268218.58</v>
      </c>
      <c r="C3781" s="1">
        <v>16268218.58</v>
      </c>
    </row>
    <row r="3782" spans="1:4" x14ac:dyDescent="0.25">
      <c r="A3782" t="s">
        <v>2066</v>
      </c>
      <c r="B3782" s="1">
        <v>25972294.550000001</v>
      </c>
      <c r="C3782" s="1">
        <v>25972294.550000001</v>
      </c>
    </row>
    <row r="3783" spans="1:4" x14ac:dyDescent="0.25">
      <c r="A3783" t="s">
        <v>2067</v>
      </c>
      <c r="B3783" s="1">
        <v>4215.13</v>
      </c>
      <c r="C3783" s="1">
        <v>4215.13</v>
      </c>
    </row>
    <row r="3784" spans="1:4" x14ac:dyDescent="0.25">
      <c r="A3784" t="s">
        <v>2068</v>
      </c>
      <c r="B3784" s="1">
        <v>97037.05</v>
      </c>
      <c r="C3784" s="1">
        <v>97037.05</v>
      </c>
    </row>
    <row r="3785" spans="1:4" x14ac:dyDescent="0.25">
      <c r="B3785" t="s">
        <v>8</v>
      </c>
      <c r="C3785" t="s">
        <v>8</v>
      </c>
      <c r="D3785" t="s">
        <v>8</v>
      </c>
    </row>
    <row r="3786" spans="1:4" x14ac:dyDescent="0.25">
      <c r="A3786" t="s">
        <v>2069</v>
      </c>
      <c r="B3786" s="1">
        <v>152765703.09</v>
      </c>
      <c r="C3786" s="1">
        <v>152765703.09</v>
      </c>
    </row>
    <row r="3788" spans="1:4" x14ac:dyDescent="0.25">
      <c r="B3788" t="s">
        <v>8</v>
      </c>
      <c r="C3788" t="s">
        <v>8</v>
      </c>
      <c r="D3788" t="s">
        <v>8</v>
      </c>
    </row>
    <row r="3789" spans="1:4" x14ac:dyDescent="0.25">
      <c r="A3789" t="s">
        <v>2070</v>
      </c>
      <c r="B3789" s="1">
        <v>152765703.09</v>
      </c>
      <c r="C3789" s="1">
        <v>152765703.09</v>
      </c>
    </row>
    <row r="3791" spans="1:4" x14ac:dyDescent="0.25">
      <c r="A3791" t="s">
        <v>2071</v>
      </c>
    </row>
    <row r="3793" spans="1:4" x14ac:dyDescent="0.25">
      <c r="A3793" t="s">
        <v>2072</v>
      </c>
    </row>
    <row r="3795" spans="1:4" x14ac:dyDescent="0.25">
      <c r="A3795" t="s">
        <v>2073</v>
      </c>
      <c r="B3795" s="1">
        <v>664776495.12</v>
      </c>
      <c r="C3795" s="1">
        <v>664776495.12</v>
      </c>
    </row>
    <row r="3796" spans="1:4" x14ac:dyDescent="0.25">
      <c r="A3796" t="s">
        <v>2074</v>
      </c>
      <c r="B3796" s="1">
        <v>3000</v>
      </c>
      <c r="C3796" s="1">
        <v>3000</v>
      </c>
    </row>
    <row r="3797" spans="1:4" x14ac:dyDescent="0.25">
      <c r="A3797" t="s">
        <v>2075</v>
      </c>
      <c r="B3797" s="1">
        <v>818697.08</v>
      </c>
      <c r="C3797" s="1">
        <v>818697.08</v>
      </c>
    </row>
    <row r="3798" spans="1:4" x14ac:dyDescent="0.25">
      <c r="B3798" t="s">
        <v>8</v>
      </c>
      <c r="C3798" t="s">
        <v>8</v>
      </c>
      <c r="D3798" t="s">
        <v>8</v>
      </c>
    </row>
    <row r="3799" spans="1:4" x14ac:dyDescent="0.25">
      <c r="A3799" t="s">
        <v>2076</v>
      </c>
      <c r="B3799" s="1">
        <v>665598192.20000005</v>
      </c>
      <c r="C3799" s="1">
        <v>665598192.20000005</v>
      </c>
    </row>
    <row r="3801" spans="1:4" x14ac:dyDescent="0.25">
      <c r="A3801" t="s">
        <v>2077</v>
      </c>
    </row>
    <row r="3803" spans="1:4" x14ac:dyDescent="0.25">
      <c r="A3803" t="s">
        <v>2078</v>
      </c>
      <c r="B3803" s="1">
        <v>32842462.620000001</v>
      </c>
      <c r="C3803" s="1">
        <v>32842462.620000001</v>
      </c>
    </row>
    <row r="3804" spans="1:4" x14ac:dyDescent="0.25">
      <c r="A3804" t="s">
        <v>2079</v>
      </c>
      <c r="B3804" s="1">
        <v>8849815.9100000001</v>
      </c>
      <c r="C3804" s="1">
        <v>8849815.9100000001</v>
      </c>
    </row>
    <row r="3805" spans="1:4" x14ac:dyDescent="0.25">
      <c r="A3805" t="s">
        <v>2080</v>
      </c>
      <c r="B3805" s="1">
        <v>3311946.37</v>
      </c>
      <c r="C3805" s="1">
        <v>3311946.37</v>
      </c>
    </row>
    <row r="3806" spans="1:4" x14ac:dyDescent="0.25">
      <c r="A3806" t="s">
        <v>2081</v>
      </c>
      <c r="B3806" s="1">
        <v>92083.08</v>
      </c>
      <c r="C3806" s="1">
        <v>92083.08</v>
      </c>
    </row>
    <row r="3807" spans="1:4" x14ac:dyDescent="0.25">
      <c r="A3807" t="s">
        <v>2082</v>
      </c>
      <c r="B3807" s="1">
        <v>15416595.09</v>
      </c>
      <c r="C3807" s="1">
        <v>15416595.09</v>
      </c>
    </row>
    <row r="3808" spans="1:4" x14ac:dyDescent="0.25">
      <c r="A3808" t="s">
        <v>2083</v>
      </c>
      <c r="B3808" s="1">
        <v>19228505.699999999</v>
      </c>
      <c r="C3808" s="1">
        <v>19228505.699999999</v>
      </c>
    </row>
    <row r="3809" spans="1:3" x14ac:dyDescent="0.25">
      <c r="A3809" t="s">
        <v>2084</v>
      </c>
      <c r="B3809" s="1">
        <v>18286922.41</v>
      </c>
      <c r="C3809" s="1">
        <v>18286922.41</v>
      </c>
    </row>
    <row r="3810" spans="1:3" x14ac:dyDescent="0.25">
      <c r="A3810" t="s">
        <v>2085</v>
      </c>
      <c r="B3810" s="1">
        <v>44834.43</v>
      </c>
      <c r="C3810" s="1">
        <v>44834.43</v>
      </c>
    </row>
    <row r="3811" spans="1:3" x14ac:dyDescent="0.25">
      <c r="A3811" t="s">
        <v>2086</v>
      </c>
      <c r="B3811" s="1">
        <v>50483112.740000002</v>
      </c>
      <c r="C3811" s="1">
        <v>50483112.740000002</v>
      </c>
    </row>
    <row r="3812" spans="1:3" x14ac:dyDescent="0.25">
      <c r="A3812" t="s">
        <v>2087</v>
      </c>
      <c r="B3812" s="1">
        <v>383471.49</v>
      </c>
      <c r="C3812" s="1">
        <v>383471.49</v>
      </c>
    </row>
    <row r="3813" spans="1:3" x14ac:dyDescent="0.25">
      <c r="A3813" t="s">
        <v>2088</v>
      </c>
      <c r="B3813" s="1">
        <v>1229813.6399999999</v>
      </c>
      <c r="C3813" s="1">
        <v>1229813.6399999999</v>
      </c>
    </row>
    <row r="3814" spans="1:3" x14ac:dyDescent="0.25">
      <c r="A3814" t="s">
        <v>2089</v>
      </c>
      <c r="B3814" s="1">
        <v>931064.97</v>
      </c>
      <c r="C3814" s="1">
        <v>931064.97</v>
      </c>
    </row>
    <row r="3815" spans="1:3" x14ac:dyDescent="0.25">
      <c r="A3815" t="s">
        <v>2090</v>
      </c>
      <c r="B3815" s="1">
        <v>53955544.759999998</v>
      </c>
      <c r="C3815" s="1">
        <v>53955544.759999998</v>
      </c>
    </row>
    <row r="3816" spans="1:3" x14ac:dyDescent="0.25">
      <c r="A3816" t="s">
        <v>2091</v>
      </c>
      <c r="B3816" s="1">
        <v>95872858.909999996</v>
      </c>
      <c r="C3816" s="1">
        <v>95872858.909999996</v>
      </c>
    </row>
    <row r="3817" spans="1:3" x14ac:dyDescent="0.25">
      <c r="A3817" t="s">
        <v>2092</v>
      </c>
      <c r="B3817" s="1">
        <v>31229179.289999999</v>
      </c>
      <c r="C3817" s="1">
        <v>31229179.289999999</v>
      </c>
    </row>
    <row r="3818" spans="1:3" x14ac:dyDescent="0.25">
      <c r="A3818" t="s">
        <v>2093</v>
      </c>
      <c r="B3818" s="1">
        <v>42837978.829999998</v>
      </c>
      <c r="C3818" s="1">
        <v>42837978.829999998</v>
      </c>
    </row>
    <row r="3819" spans="1:3" x14ac:dyDescent="0.25">
      <c r="A3819" t="s">
        <v>2094</v>
      </c>
      <c r="B3819" s="1">
        <v>5416695.3700000001</v>
      </c>
      <c r="C3819" s="1">
        <v>5416695.3700000001</v>
      </c>
    </row>
    <row r="3820" spans="1:3" x14ac:dyDescent="0.25">
      <c r="A3820" t="s">
        <v>2095</v>
      </c>
      <c r="B3820" s="1">
        <v>5008592.54</v>
      </c>
      <c r="C3820" s="1">
        <v>5008592.54</v>
      </c>
    </row>
    <row r="3821" spans="1:3" x14ac:dyDescent="0.25">
      <c r="A3821" t="s">
        <v>2096</v>
      </c>
      <c r="B3821" s="1">
        <v>2696895.92</v>
      </c>
      <c r="C3821" s="1">
        <v>2696895.92</v>
      </c>
    </row>
    <row r="3822" spans="1:3" x14ac:dyDescent="0.25">
      <c r="A3822" t="s">
        <v>2097</v>
      </c>
      <c r="B3822" s="1">
        <v>66400</v>
      </c>
      <c r="C3822" s="1">
        <v>66400</v>
      </c>
    </row>
    <row r="3823" spans="1:3" x14ac:dyDescent="0.25">
      <c r="A3823" t="s">
        <v>2098</v>
      </c>
      <c r="B3823" s="1">
        <v>472052383.08999997</v>
      </c>
      <c r="C3823" s="1">
        <v>472052383.08999997</v>
      </c>
    </row>
    <row r="3824" spans="1:3" x14ac:dyDescent="0.25">
      <c r="A3824" t="s">
        <v>2099</v>
      </c>
      <c r="B3824" s="1">
        <v>1281263.28</v>
      </c>
      <c r="C3824" s="1">
        <v>1281263.28</v>
      </c>
    </row>
    <row r="3825" spans="1:4" x14ac:dyDescent="0.25">
      <c r="A3825" t="s">
        <v>2100</v>
      </c>
      <c r="B3825" s="1">
        <v>61742.84</v>
      </c>
      <c r="C3825" s="1">
        <v>61742.84</v>
      </c>
    </row>
    <row r="3826" spans="1:4" x14ac:dyDescent="0.25">
      <c r="A3826" t="s">
        <v>2101</v>
      </c>
      <c r="B3826" s="1">
        <v>157268231.80000001</v>
      </c>
      <c r="C3826" s="1">
        <v>157268231.80000001</v>
      </c>
    </row>
    <row r="3827" spans="1:4" x14ac:dyDescent="0.25">
      <c r="A3827" t="s">
        <v>2102</v>
      </c>
      <c r="B3827" s="1">
        <v>2321569.41</v>
      </c>
      <c r="C3827" s="1">
        <v>2321569.41</v>
      </c>
    </row>
    <row r="3828" spans="1:4" x14ac:dyDescent="0.25">
      <c r="A3828" t="s">
        <v>2103</v>
      </c>
      <c r="B3828" s="1">
        <v>2929820.64</v>
      </c>
      <c r="C3828" s="1">
        <v>2929820.64</v>
      </c>
    </row>
    <row r="3829" spans="1:4" x14ac:dyDescent="0.25">
      <c r="A3829" t="s">
        <v>2104</v>
      </c>
      <c r="B3829" s="1">
        <v>52814.58</v>
      </c>
      <c r="C3829" s="1">
        <v>52814.58</v>
      </c>
    </row>
    <row r="3830" spans="1:4" x14ac:dyDescent="0.25">
      <c r="A3830" t="s">
        <v>2105</v>
      </c>
      <c r="B3830" s="1">
        <v>4856089.07</v>
      </c>
      <c r="C3830" s="1">
        <v>4856089.07</v>
      </c>
    </row>
    <row r="3831" spans="1:4" x14ac:dyDescent="0.25">
      <c r="A3831" t="s">
        <v>2106</v>
      </c>
      <c r="B3831" s="1">
        <v>267810.23</v>
      </c>
      <c r="C3831" s="1">
        <v>267810.23</v>
      </c>
    </row>
    <row r="3832" spans="1:4" x14ac:dyDescent="0.25">
      <c r="A3832" t="s">
        <v>2107</v>
      </c>
      <c r="B3832" s="1">
        <v>267289001741.16</v>
      </c>
      <c r="C3832" s="1">
        <v>267289001741.16</v>
      </c>
    </row>
    <row r="3833" spans="1:4" x14ac:dyDescent="0.25">
      <c r="B3833" t="s">
        <v>8</v>
      </c>
      <c r="C3833" t="s">
        <v>8</v>
      </c>
      <c r="D3833" t="s">
        <v>8</v>
      </c>
    </row>
    <row r="3834" spans="1:4" x14ac:dyDescent="0.25">
      <c r="A3834" t="s">
        <v>2108</v>
      </c>
      <c r="B3834" s="1">
        <v>268318278240.17001</v>
      </c>
      <c r="C3834" s="1">
        <v>268318278240.17001</v>
      </c>
    </row>
    <row r="3836" spans="1:4" x14ac:dyDescent="0.25">
      <c r="A3836" t="s">
        <v>2109</v>
      </c>
    </row>
    <row r="3838" spans="1:4" x14ac:dyDescent="0.25">
      <c r="A3838" t="s">
        <v>2110</v>
      </c>
    </row>
    <row r="3839" spans="1:4" x14ac:dyDescent="0.25">
      <c r="A3839" t="s">
        <v>2111</v>
      </c>
    </row>
    <row r="3840" spans="1:4" x14ac:dyDescent="0.25">
      <c r="B3840" t="s">
        <v>8</v>
      </c>
      <c r="C3840" t="s">
        <v>8</v>
      </c>
      <c r="D3840" t="s">
        <v>8</v>
      </c>
    </row>
    <row r="3841" spans="1:4" x14ac:dyDescent="0.25">
      <c r="A3841" t="s">
        <v>2112</v>
      </c>
    </row>
    <row r="3843" spans="1:4" x14ac:dyDescent="0.25">
      <c r="A3843" t="s">
        <v>2113</v>
      </c>
    </row>
    <row r="3844" spans="1:4" x14ac:dyDescent="0.25">
      <c r="B3844" t="s">
        <v>8</v>
      </c>
      <c r="C3844" t="s">
        <v>8</v>
      </c>
      <c r="D3844" t="s">
        <v>8</v>
      </c>
    </row>
    <row r="3845" spans="1:4" x14ac:dyDescent="0.25">
      <c r="A3845" t="s">
        <v>2114</v>
      </c>
    </row>
    <row r="3847" spans="1:4" x14ac:dyDescent="0.25">
      <c r="A3847" t="s">
        <v>2115</v>
      </c>
    </row>
    <row r="3848" spans="1:4" x14ac:dyDescent="0.25">
      <c r="B3848" t="s">
        <v>8</v>
      </c>
      <c r="C3848" t="s">
        <v>8</v>
      </c>
      <c r="D3848" t="s">
        <v>8</v>
      </c>
    </row>
    <row r="3849" spans="1:4" x14ac:dyDescent="0.25">
      <c r="A3849" t="s">
        <v>2116</v>
      </c>
    </row>
    <row r="3851" spans="1:4" x14ac:dyDescent="0.25">
      <c r="A3851" t="s">
        <v>2117</v>
      </c>
    </row>
    <row r="3852" spans="1:4" x14ac:dyDescent="0.25">
      <c r="B3852" t="s">
        <v>8</v>
      </c>
      <c r="C3852" t="s">
        <v>8</v>
      </c>
      <c r="D3852" t="s">
        <v>8</v>
      </c>
    </row>
    <row r="3853" spans="1:4" x14ac:dyDescent="0.25">
      <c r="A3853" t="s">
        <v>2118</v>
      </c>
    </row>
    <row r="3855" spans="1:4" x14ac:dyDescent="0.25">
      <c r="A3855" t="s">
        <v>2119</v>
      </c>
    </row>
    <row r="3856" spans="1:4" x14ac:dyDescent="0.25">
      <c r="B3856" t="s">
        <v>8</v>
      </c>
      <c r="C3856" t="s">
        <v>8</v>
      </c>
      <c r="D3856" t="s">
        <v>8</v>
      </c>
    </row>
    <row r="3857" spans="1:4" x14ac:dyDescent="0.25">
      <c r="A3857" t="s">
        <v>2120</v>
      </c>
    </row>
    <row r="3859" spans="1:4" x14ac:dyDescent="0.25">
      <c r="B3859" t="s">
        <v>8</v>
      </c>
      <c r="C3859" t="s">
        <v>8</v>
      </c>
      <c r="D3859" t="s">
        <v>8</v>
      </c>
    </row>
    <row r="3860" spans="1:4" x14ac:dyDescent="0.25">
      <c r="A3860" t="s">
        <v>2121</v>
      </c>
      <c r="B3860" s="1">
        <v>268983876432.37</v>
      </c>
      <c r="C3860" s="1">
        <v>268983876432.37</v>
      </c>
    </row>
    <row r="3862" spans="1:4" x14ac:dyDescent="0.25">
      <c r="A3862" t="s">
        <v>2122</v>
      </c>
    </row>
    <row r="3864" spans="1:4" x14ac:dyDescent="0.25">
      <c r="A3864" t="s">
        <v>2123</v>
      </c>
    </row>
    <row r="3866" spans="1:4" x14ac:dyDescent="0.25">
      <c r="A3866" t="s">
        <v>2124</v>
      </c>
      <c r="B3866" s="1">
        <v>300000</v>
      </c>
      <c r="D3866" s="1">
        <v>300000</v>
      </c>
    </row>
    <row r="3867" spans="1:4" x14ac:dyDescent="0.25">
      <c r="B3867" t="s">
        <v>8</v>
      </c>
      <c r="C3867" t="s">
        <v>8</v>
      </c>
      <c r="D3867" t="s">
        <v>8</v>
      </c>
    </row>
    <row r="3868" spans="1:4" x14ac:dyDescent="0.25">
      <c r="A3868" t="s">
        <v>2125</v>
      </c>
      <c r="B3868" s="1">
        <v>300000</v>
      </c>
      <c r="D3868" s="1">
        <v>300000</v>
      </c>
    </row>
    <row r="3870" spans="1:4" x14ac:dyDescent="0.25">
      <c r="A3870" t="s">
        <v>2126</v>
      </c>
    </row>
    <row r="3871" spans="1:4" x14ac:dyDescent="0.25">
      <c r="B3871" t="s">
        <v>8</v>
      </c>
      <c r="C3871" t="s">
        <v>8</v>
      </c>
      <c r="D3871" t="s">
        <v>8</v>
      </c>
    </row>
    <row r="3872" spans="1:4" x14ac:dyDescent="0.25">
      <c r="A3872" t="s">
        <v>2127</v>
      </c>
    </row>
    <row r="3874" spans="1:4" x14ac:dyDescent="0.25">
      <c r="A3874" t="s">
        <v>2128</v>
      </c>
    </row>
    <row r="3875" spans="1:4" x14ac:dyDescent="0.25">
      <c r="B3875" t="s">
        <v>8</v>
      </c>
      <c r="C3875" t="s">
        <v>8</v>
      </c>
      <c r="D3875" t="s">
        <v>8</v>
      </c>
    </row>
    <row r="3876" spans="1:4" x14ac:dyDescent="0.25">
      <c r="A3876" t="s">
        <v>2129</v>
      </c>
    </row>
    <row r="3878" spans="1:4" x14ac:dyDescent="0.25">
      <c r="A3878" t="s">
        <v>2130</v>
      </c>
    </row>
    <row r="3879" spans="1:4" x14ac:dyDescent="0.25">
      <c r="B3879" t="s">
        <v>8</v>
      </c>
      <c r="C3879" t="s">
        <v>8</v>
      </c>
      <c r="D3879" t="s">
        <v>8</v>
      </c>
    </row>
    <row r="3880" spans="1:4" x14ac:dyDescent="0.25">
      <c r="A3880" t="s">
        <v>2131</v>
      </c>
    </row>
    <row r="3882" spans="1:4" x14ac:dyDescent="0.25">
      <c r="B3882" t="s">
        <v>8</v>
      </c>
      <c r="C3882" t="s">
        <v>8</v>
      </c>
      <c r="D3882" t="s">
        <v>8</v>
      </c>
    </row>
    <row r="3883" spans="1:4" x14ac:dyDescent="0.25">
      <c r="A3883" t="s">
        <v>2132</v>
      </c>
      <c r="B3883" s="1">
        <v>300000</v>
      </c>
      <c r="D3883" s="1">
        <v>300000</v>
      </c>
    </row>
    <row r="3885" spans="1:4" x14ac:dyDescent="0.25">
      <c r="A3885" t="s">
        <v>2133</v>
      </c>
    </row>
    <row r="3887" spans="1:4" x14ac:dyDescent="0.25">
      <c r="A3887" t="s">
        <v>2134</v>
      </c>
    </row>
    <row r="3889" spans="1:4" x14ac:dyDescent="0.25">
      <c r="A3889" t="s">
        <v>2135</v>
      </c>
      <c r="C3889" s="1">
        <v>300000</v>
      </c>
      <c r="D3889" s="1">
        <v>-300000</v>
      </c>
    </row>
    <row r="3890" spans="1:4" x14ac:dyDescent="0.25">
      <c r="B3890" t="s">
        <v>8</v>
      </c>
      <c r="C3890" t="s">
        <v>8</v>
      </c>
      <c r="D3890" t="s">
        <v>8</v>
      </c>
    </row>
    <row r="3891" spans="1:4" x14ac:dyDescent="0.25">
      <c r="A3891" t="s">
        <v>2136</v>
      </c>
      <c r="C3891" s="1">
        <v>300000</v>
      </c>
      <c r="D3891" s="1">
        <v>-300000</v>
      </c>
    </row>
    <row r="3893" spans="1:4" x14ac:dyDescent="0.25">
      <c r="A3893" t="s">
        <v>2137</v>
      </c>
    </row>
    <row r="3894" spans="1:4" x14ac:dyDescent="0.25">
      <c r="B3894" t="s">
        <v>8</v>
      </c>
      <c r="C3894" t="s">
        <v>8</v>
      </c>
      <c r="D3894" t="s">
        <v>8</v>
      </c>
    </row>
    <row r="3895" spans="1:4" x14ac:dyDescent="0.25">
      <c r="A3895" t="s">
        <v>2138</v>
      </c>
    </row>
    <row r="3897" spans="1:4" x14ac:dyDescent="0.25">
      <c r="A3897" t="s">
        <v>2139</v>
      </c>
    </row>
    <row r="3898" spans="1:4" x14ac:dyDescent="0.25">
      <c r="B3898" t="s">
        <v>8</v>
      </c>
      <c r="C3898" t="s">
        <v>8</v>
      </c>
      <c r="D3898" t="s">
        <v>8</v>
      </c>
    </row>
    <row r="3899" spans="1:4" x14ac:dyDescent="0.25">
      <c r="A3899" t="s">
        <v>2140</v>
      </c>
    </row>
    <row r="3901" spans="1:4" x14ac:dyDescent="0.25">
      <c r="A3901" t="s">
        <v>2141</v>
      </c>
    </row>
    <row r="3902" spans="1:4" x14ac:dyDescent="0.25">
      <c r="B3902" t="s">
        <v>8</v>
      </c>
      <c r="C3902" t="s">
        <v>8</v>
      </c>
      <c r="D3902" t="s">
        <v>8</v>
      </c>
    </row>
    <row r="3903" spans="1:4" x14ac:dyDescent="0.25">
      <c r="A3903" t="s">
        <v>2142</v>
      </c>
    </row>
    <row r="3904" spans="1:4" x14ac:dyDescent="0.25">
      <c r="B3904" t="s">
        <v>8</v>
      </c>
      <c r="C3904" t="s">
        <v>8</v>
      </c>
      <c r="D3904" t="s">
        <v>8</v>
      </c>
    </row>
    <row r="3905" spans="1:4" x14ac:dyDescent="0.25">
      <c r="A3905" t="s">
        <v>2143</v>
      </c>
      <c r="C3905" s="1">
        <v>300000</v>
      </c>
      <c r="D3905" s="1">
        <v>-300000</v>
      </c>
    </row>
    <row r="3906" spans="1:4" x14ac:dyDescent="0.25">
      <c r="B3906" t="s">
        <v>8</v>
      </c>
      <c r="C3906" t="s">
        <v>8</v>
      </c>
      <c r="D3906" t="s">
        <v>8</v>
      </c>
    </row>
    <row r="3907" spans="1:4" x14ac:dyDescent="0.25">
      <c r="A3907" t="s">
        <v>2144</v>
      </c>
      <c r="B3907" s="1">
        <v>269140614185.92001</v>
      </c>
      <c r="C3907" s="1">
        <v>269141632592.14001</v>
      </c>
      <c r="D3907" s="1">
        <v>-1018406.22</v>
      </c>
    </row>
    <row r="3909" spans="1:4" x14ac:dyDescent="0.25">
      <c r="A3909" t="s">
        <v>2145</v>
      </c>
    </row>
    <row r="3910" spans="1:4" x14ac:dyDescent="0.25">
      <c r="B3910" t="s">
        <v>8</v>
      </c>
      <c r="C3910" t="s">
        <v>8</v>
      </c>
      <c r="D3910" t="s">
        <v>8</v>
      </c>
    </row>
    <row r="3911" spans="1:4" x14ac:dyDescent="0.25">
      <c r="A3911" t="s">
        <v>2146</v>
      </c>
    </row>
    <row r="3913" spans="1:4" x14ac:dyDescent="0.25">
      <c r="A3913" t="s">
        <v>2147</v>
      </c>
    </row>
    <row r="3914" spans="1:4" x14ac:dyDescent="0.25">
      <c r="B3914" t="s">
        <v>8</v>
      </c>
      <c r="C3914" t="s">
        <v>8</v>
      </c>
      <c r="D3914" t="s">
        <v>8</v>
      </c>
    </row>
    <row r="3915" spans="1:4" x14ac:dyDescent="0.25">
      <c r="A3915" t="s">
        <v>2148</v>
      </c>
    </row>
    <row r="3917" spans="1:4" x14ac:dyDescent="0.25">
      <c r="B3917" t="s">
        <v>2149</v>
      </c>
      <c r="C3917" t="s">
        <v>2149</v>
      </c>
      <c r="D3917" t="s">
        <v>2149</v>
      </c>
    </row>
    <row r="3918" spans="1:4" x14ac:dyDescent="0.25">
      <c r="A3918" t="s">
        <v>2150</v>
      </c>
      <c r="B3918" s="1">
        <v>815035900755.30005</v>
      </c>
      <c r="C3918" s="1">
        <v>815035900755.30005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467F-F6E2-4817-9015-EADAB32ECED4}">
  <dimension ref="A1:D1023"/>
  <sheetViews>
    <sheetView workbookViewId="0">
      <selection activeCell="I13" sqref="I13"/>
    </sheetView>
  </sheetViews>
  <sheetFormatPr defaultRowHeight="15" x14ac:dyDescent="0.25"/>
  <cols>
    <col min="1" max="1" width="64.85546875" bestFit="1" customWidth="1"/>
    <col min="2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4" spans="1:4" x14ac:dyDescent="0.25">
      <c r="A4" s="27" t="s">
        <v>5</v>
      </c>
      <c r="B4" s="27"/>
      <c r="C4" s="27"/>
      <c r="D4" s="27"/>
    </row>
    <row r="5" spans="1:4" x14ac:dyDescent="0.25">
      <c r="A5" s="27"/>
      <c r="B5" s="27" t="s">
        <v>8</v>
      </c>
      <c r="C5" s="27" t="s">
        <v>8</v>
      </c>
      <c r="D5" s="27" t="s">
        <v>8</v>
      </c>
    </row>
    <row r="6" spans="1:4" x14ac:dyDescent="0.25">
      <c r="A6" s="27" t="s">
        <v>12</v>
      </c>
      <c r="B6" s="28">
        <v>1388141.06</v>
      </c>
      <c r="C6" s="28">
        <v>1388115.88</v>
      </c>
      <c r="D6" s="28">
        <v>25.18</v>
      </c>
    </row>
    <row r="7" spans="1:4" x14ac:dyDescent="0.25">
      <c r="A7" s="27"/>
      <c r="B7" s="27"/>
      <c r="C7" s="27"/>
      <c r="D7" s="27"/>
    </row>
    <row r="8" spans="1:4" x14ac:dyDescent="0.25">
      <c r="A8" s="27" t="s">
        <v>13</v>
      </c>
      <c r="B8" s="27"/>
      <c r="C8" s="27"/>
      <c r="D8" s="27"/>
    </row>
    <row r="9" spans="1:4" x14ac:dyDescent="0.25">
      <c r="A9" s="27"/>
      <c r="B9" s="27" t="s">
        <v>8</v>
      </c>
      <c r="C9" s="27" t="s">
        <v>8</v>
      </c>
      <c r="D9" s="27" t="s">
        <v>8</v>
      </c>
    </row>
    <row r="10" spans="1:4" x14ac:dyDescent="0.25">
      <c r="A10" s="27" t="s">
        <v>47</v>
      </c>
      <c r="B10" s="28">
        <v>974480026.34000003</v>
      </c>
      <c r="C10" s="28">
        <v>874219563.88</v>
      </c>
      <c r="D10" s="28">
        <v>100260462.45999999</v>
      </c>
    </row>
    <row r="11" spans="1:4" x14ac:dyDescent="0.25">
      <c r="A11" s="27"/>
      <c r="B11" s="27"/>
      <c r="C11" s="27"/>
      <c r="D11" s="27"/>
    </row>
    <row r="12" spans="1:4" x14ac:dyDescent="0.25">
      <c r="A12" s="27" t="s">
        <v>48</v>
      </c>
      <c r="B12" s="27"/>
      <c r="C12" s="27"/>
      <c r="D12" s="27"/>
    </row>
    <row r="13" spans="1:4" x14ac:dyDescent="0.25">
      <c r="A13" s="27"/>
      <c r="B13" s="27" t="s">
        <v>8</v>
      </c>
      <c r="C13" s="27" t="s">
        <v>8</v>
      </c>
      <c r="D13" s="27" t="s">
        <v>8</v>
      </c>
    </row>
    <row r="14" spans="1:4" x14ac:dyDescent="0.25">
      <c r="A14" s="27" t="s">
        <v>188</v>
      </c>
      <c r="B14" s="28">
        <v>3350850233.1100001</v>
      </c>
      <c r="C14" s="28">
        <v>3336142633.6900001</v>
      </c>
      <c r="D14" s="28">
        <v>14707599.42</v>
      </c>
    </row>
    <row r="15" spans="1:4" x14ac:dyDescent="0.25">
      <c r="A15" s="27"/>
      <c r="B15" s="27"/>
      <c r="C15" s="27"/>
      <c r="D15" s="27"/>
    </row>
    <row r="16" spans="1:4" x14ac:dyDescent="0.25">
      <c r="A16" s="27" t="s">
        <v>189</v>
      </c>
      <c r="B16" s="27"/>
      <c r="C16" s="27"/>
      <c r="D16" s="27"/>
    </row>
    <row r="17" spans="1:4" x14ac:dyDescent="0.25">
      <c r="A17" s="27"/>
      <c r="B17" s="27" t="s">
        <v>8</v>
      </c>
      <c r="C17" s="27" t="s">
        <v>8</v>
      </c>
      <c r="D17" s="27" t="s">
        <v>8</v>
      </c>
    </row>
    <row r="18" spans="1:4" x14ac:dyDescent="0.25">
      <c r="A18" s="27" t="s">
        <v>196</v>
      </c>
      <c r="B18" s="27"/>
      <c r="C18" s="27"/>
      <c r="D18" s="27"/>
    </row>
    <row r="19" spans="1:4" x14ac:dyDescent="0.25">
      <c r="A19" s="27"/>
      <c r="B19" s="27"/>
      <c r="C19" s="27"/>
      <c r="D19" s="27"/>
    </row>
    <row r="20" spans="1:4" x14ac:dyDescent="0.25">
      <c r="A20" s="27" t="s">
        <v>197</v>
      </c>
      <c r="B20" s="27"/>
      <c r="C20" s="27"/>
      <c r="D20" s="27"/>
    </row>
    <row r="21" spans="1:4" x14ac:dyDescent="0.25">
      <c r="A21" s="27"/>
      <c r="B21" s="27" t="s">
        <v>8</v>
      </c>
      <c r="C21" s="27" t="s">
        <v>8</v>
      </c>
      <c r="D21" s="27" t="s">
        <v>8</v>
      </c>
    </row>
    <row r="22" spans="1:4" x14ac:dyDescent="0.25">
      <c r="A22" s="27" t="s">
        <v>214</v>
      </c>
      <c r="B22" s="28">
        <v>60131359.079999998</v>
      </c>
      <c r="C22" s="28">
        <v>59375745.420000002</v>
      </c>
      <c r="D22" s="28">
        <v>755613.66</v>
      </c>
    </row>
    <row r="23" spans="1:4" x14ac:dyDescent="0.25">
      <c r="A23" s="27"/>
      <c r="B23" s="27"/>
      <c r="C23" s="27"/>
      <c r="D23" s="27"/>
    </row>
    <row r="24" spans="1:4" x14ac:dyDescent="0.25">
      <c r="A24" s="27" t="s">
        <v>215</v>
      </c>
      <c r="B24" s="27"/>
      <c r="C24" s="27"/>
      <c r="D24" s="27"/>
    </row>
    <row r="25" spans="1:4" x14ac:dyDescent="0.25">
      <c r="A25" s="27"/>
      <c r="B25" s="27" t="s">
        <v>8</v>
      </c>
      <c r="C25" s="27" t="s">
        <v>8</v>
      </c>
      <c r="D25" s="27" t="s">
        <v>8</v>
      </c>
    </row>
    <row r="26" spans="1:4" x14ac:dyDescent="0.25">
      <c r="A26" s="27" t="s">
        <v>216</v>
      </c>
      <c r="B26" s="27"/>
      <c r="C26" s="27"/>
      <c r="D26" s="27"/>
    </row>
    <row r="27" spans="1:4" x14ac:dyDescent="0.25">
      <c r="A27" s="27"/>
      <c r="B27" s="27"/>
      <c r="C27" s="27"/>
      <c r="D27" s="27"/>
    </row>
    <row r="28" spans="1:4" x14ac:dyDescent="0.25">
      <c r="A28" s="27" t="s">
        <v>217</v>
      </c>
      <c r="B28" s="27"/>
      <c r="C28" s="27"/>
      <c r="D28" s="27"/>
    </row>
    <row r="29" spans="1:4" x14ac:dyDescent="0.25">
      <c r="A29" s="27"/>
      <c r="B29" s="27" t="s">
        <v>8</v>
      </c>
      <c r="C29" s="27" t="s">
        <v>8</v>
      </c>
      <c r="D29" s="27" t="s">
        <v>8</v>
      </c>
    </row>
    <row r="30" spans="1:4" x14ac:dyDescent="0.25">
      <c r="A30" s="27" t="s">
        <v>218</v>
      </c>
      <c r="B30" s="27"/>
      <c r="C30" s="27"/>
      <c r="D30" s="27"/>
    </row>
    <row r="31" spans="1:4" x14ac:dyDescent="0.25">
      <c r="A31" s="27"/>
      <c r="B31" s="27"/>
      <c r="C31" s="27"/>
      <c r="D31" s="27"/>
    </row>
    <row r="32" spans="1:4" x14ac:dyDescent="0.25">
      <c r="A32" s="27" t="s">
        <v>219</v>
      </c>
      <c r="B32" s="27"/>
      <c r="C32" s="27"/>
      <c r="D32" s="27"/>
    </row>
    <row r="33" spans="1:4" x14ac:dyDescent="0.25">
      <c r="A33" s="27"/>
      <c r="B33" s="27" t="s">
        <v>8</v>
      </c>
      <c r="C33" s="27" t="s">
        <v>8</v>
      </c>
      <c r="D33" s="27" t="s">
        <v>8</v>
      </c>
    </row>
    <row r="34" spans="1:4" x14ac:dyDescent="0.25">
      <c r="A34" s="27" t="s">
        <v>220</v>
      </c>
      <c r="B34" s="27"/>
      <c r="C34" s="27"/>
      <c r="D34" s="27"/>
    </row>
    <row r="35" spans="1:4" x14ac:dyDescent="0.25">
      <c r="A35" s="27"/>
      <c r="B35" s="27"/>
      <c r="C35" s="27"/>
      <c r="D35" s="27"/>
    </row>
    <row r="36" spans="1:4" x14ac:dyDescent="0.25">
      <c r="A36" s="27" t="s">
        <v>221</v>
      </c>
      <c r="B36" s="27"/>
      <c r="C36" s="27"/>
      <c r="D36" s="27"/>
    </row>
    <row r="37" spans="1:4" x14ac:dyDescent="0.25">
      <c r="A37" s="27"/>
      <c r="B37" s="27" t="s">
        <v>8</v>
      </c>
      <c r="C37" s="27" t="s">
        <v>8</v>
      </c>
      <c r="D37" s="27" t="s">
        <v>8</v>
      </c>
    </row>
    <row r="38" spans="1:4" x14ac:dyDescent="0.25">
      <c r="A38" s="27" t="s">
        <v>234</v>
      </c>
      <c r="B38" s="28">
        <v>399128301.69</v>
      </c>
      <c r="C38" s="28">
        <v>318197757.97000003</v>
      </c>
      <c r="D38" s="28">
        <v>80930543.719999999</v>
      </c>
    </row>
    <row r="39" spans="1:4" x14ac:dyDescent="0.25">
      <c r="A39" s="27"/>
      <c r="B39" s="27"/>
      <c r="C39" s="27"/>
      <c r="D39" s="27"/>
    </row>
    <row r="40" spans="1:4" x14ac:dyDescent="0.25">
      <c r="A40" s="27" t="s">
        <v>235</v>
      </c>
      <c r="B40" s="27"/>
      <c r="C40" s="27"/>
      <c r="D40" s="27"/>
    </row>
    <row r="41" spans="1:4" x14ac:dyDescent="0.25">
      <c r="A41" s="27"/>
      <c r="B41" s="27" t="s">
        <v>8</v>
      </c>
      <c r="C41" s="27" t="s">
        <v>8</v>
      </c>
      <c r="D41" s="27" t="s">
        <v>8</v>
      </c>
    </row>
    <row r="42" spans="1:4" x14ac:dyDescent="0.25">
      <c r="A42" s="27" t="s">
        <v>236</v>
      </c>
      <c r="B42" s="27"/>
      <c r="C42" s="27"/>
      <c r="D42" s="27"/>
    </row>
    <row r="43" spans="1:4" x14ac:dyDescent="0.25">
      <c r="A43" s="27"/>
      <c r="B43" s="27"/>
      <c r="C43" s="27"/>
      <c r="D43" s="27"/>
    </row>
    <row r="44" spans="1:4" x14ac:dyDescent="0.25">
      <c r="A44" s="27" t="s">
        <v>237</v>
      </c>
      <c r="B44" s="27"/>
      <c r="C44" s="27"/>
      <c r="D44" s="27"/>
    </row>
    <row r="45" spans="1:4" x14ac:dyDescent="0.25">
      <c r="A45" s="27"/>
      <c r="B45" s="27" t="s">
        <v>8</v>
      </c>
      <c r="C45" s="27" t="s">
        <v>8</v>
      </c>
      <c r="D45" s="27" t="s">
        <v>8</v>
      </c>
    </row>
    <row r="46" spans="1:4" x14ac:dyDescent="0.25">
      <c r="A46" s="27" t="s">
        <v>243</v>
      </c>
      <c r="B46" s="28">
        <v>1379582073.03</v>
      </c>
      <c r="C46" s="28">
        <v>1273324538.51</v>
      </c>
      <c r="D46" s="28">
        <v>106257534.52</v>
      </c>
    </row>
    <row r="47" spans="1:4" x14ac:dyDescent="0.25">
      <c r="A47" s="27"/>
      <c r="B47" s="27"/>
      <c r="C47" s="27"/>
      <c r="D47" s="27"/>
    </row>
    <row r="48" spans="1:4" x14ac:dyDescent="0.25">
      <c r="A48" s="27" t="s">
        <v>244</v>
      </c>
      <c r="B48" s="27"/>
      <c r="C48" s="27"/>
      <c r="D48" s="27"/>
    </row>
    <row r="49" spans="1:4" x14ac:dyDescent="0.25">
      <c r="A49" s="27"/>
      <c r="B49" s="27" t="s">
        <v>8</v>
      </c>
      <c r="C49" s="27" t="s">
        <v>8</v>
      </c>
      <c r="D49" s="27" t="s">
        <v>8</v>
      </c>
    </row>
    <row r="50" spans="1:4" x14ac:dyDescent="0.25">
      <c r="A50" s="27" t="s">
        <v>263</v>
      </c>
      <c r="B50" s="28">
        <v>158299911.69999999</v>
      </c>
      <c r="C50" s="28">
        <v>158299911.69999999</v>
      </c>
      <c r="D50" s="28"/>
    </row>
    <row r="51" spans="1:4" x14ac:dyDescent="0.25">
      <c r="A51" s="27"/>
      <c r="B51" s="27"/>
      <c r="C51" s="27"/>
      <c r="D51" s="27"/>
    </row>
    <row r="52" spans="1:4" x14ac:dyDescent="0.25">
      <c r="A52" s="27" t="s">
        <v>264</v>
      </c>
      <c r="B52" s="27"/>
      <c r="C52" s="27"/>
      <c r="D52" s="27"/>
    </row>
    <row r="53" spans="1:4" x14ac:dyDescent="0.25">
      <c r="A53" s="27"/>
      <c r="B53" s="27" t="s">
        <v>8</v>
      </c>
      <c r="C53" s="27" t="s">
        <v>8</v>
      </c>
      <c r="D53" s="27" t="s">
        <v>8</v>
      </c>
    </row>
    <row r="54" spans="1:4" x14ac:dyDescent="0.25">
      <c r="A54" s="27" t="s">
        <v>268</v>
      </c>
      <c r="B54" s="28">
        <v>30361433.129999999</v>
      </c>
      <c r="C54" s="28">
        <v>37176036.939999998</v>
      </c>
      <c r="D54" s="28">
        <v>-6814603.8099999996</v>
      </c>
    </row>
    <row r="55" spans="1:4" x14ac:dyDescent="0.25">
      <c r="A55" s="27"/>
      <c r="B55" s="27"/>
      <c r="C55" s="27"/>
      <c r="D55" s="27"/>
    </row>
    <row r="56" spans="1:4" x14ac:dyDescent="0.25">
      <c r="A56" s="27" t="s">
        <v>269</v>
      </c>
      <c r="B56" s="27"/>
      <c r="C56" s="27"/>
      <c r="D56" s="27"/>
    </row>
    <row r="57" spans="1:4" x14ac:dyDescent="0.25">
      <c r="A57" s="27"/>
      <c r="B57" s="27" t="s">
        <v>8</v>
      </c>
      <c r="C57" s="27" t="s">
        <v>8</v>
      </c>
      <c r="D57" s="27" t="s">
        <v>8</v>
      </c>
    </row>
    <row r="58" spans="1:4" x14ac:dyDescent="0.25">
      <c r="A58" s="27" t="s">
        <v>272</v>
      </c>
      <c r="B58" s="27"/>
      <c r="C58" s="27"/>
      <c r="D58" s="27"/>
    </row>
    <row r="59" spans="1:4" x14ac:dyDescent="0.25">
      <c r="A59" s="27"/>
      <c r="B59" s="27"/>
      <c r="C59" s="27"/>
      <c r="D59" s="27"/>
    </row>
    <row r="60" spans="1:4" x14ac:dyDescent="0.25">
      <c r="A60" s="27" t="s">
        <v>273</v>
      </c>
      <c r="B60" s="27"/>
      <c r="C60" s="27"/>
      <c r="D60" s="27"/>
    </row>
    <row r="61" spans="1:4" x14ac:dyDescent="0.25">
      <c r="A61" s="27"/>
      <c r="B61" s="27" t="s">
        <v>8</v>
      </c>
      <c r="C61" s="27" t="s">
        <v>8</v>
      </c>
      <c r="D61" s="27" t="s">
        <v>8</v>
      </c>
    </row>
    <row r="62" spans="1:4" x14ac:dyDescent="0.25">
      <c r="A62" s="27" t="s">
        <v>315</v>
      </c>
      <c r="B62" s="28">
        <v>1421431.48</v>
      </c>
      <c r="C62" s="27"/>
      <c r="D62" s="28">
        <v>1421431.48</v>
      </c>
    </row>
    <row r="63" spans="1:4" x14ac:dyDescent="0.25">
      <c r="A63" s="27"/>
      <c r="B63" s="27"/>
      <c r="C63" s="27"/>
      <c r="D63" s="27"/>
    </row>
    <row r="64" spans="1:4" x14ac:dyDescent="0.25">
      <c r="A64" s="27" t="s">
        <v>316</v>
      </c>
      <c r="B64" s="27"/>
      <c r="C64" s="27"/>
      <c r="D64" s="27"/>
    </row>
    <row r="65" spans="1:4" x14ac:dyDescent="0.25">
      <c r="A65" s="27"/>
      <c r="B65" s="27" t="s">
        <v>8</v>
      </c>
      <c r="C65" s="27" t="s">
        <v>8</v>
      </c>
      <c r="D65" s="27" t="s">
        <v>8</v>
      </c>
    </row>
    <row r="66" spans="1:4" x14ac:dyDescent="0.25">
      <c r="A66" s="27" t="s">
        <v>357</v>
      </c>
      <c r="B66" s="27"/>
      <c r="C66" s="28">
        <v>1367779.24</v>
      </c>
      <c r="D66" s="28">
        <v>-1367779.24</v>
      </c>
    </row>
    <row r="67" spans="1:4" x14ac:dyDescent="0.25">
      <c r="A67" s="27"/>
      <c r="B67" s="27"/>
      <c r="C67" s="27"/>
      <c r="D67" s="27"/>
    </row>
    <row r="68" spans="1:4" x14ac:dyDescent="0.25">
      <c r="A68" s="27" t="s">
        <v>358</v>
      </c>
      <c r="B68" s="27"/>
      <c r="C68" s="27"/>
      <c r="D68" s="27"/>
    </row>
    <row r="69" spans="1:4" x14ac:dyDescent="0.25">
      <c r="A69" s="27"/>
      <c r="B69" s="27" t="s">
        <v>8</v>
      </c>
      <c r="C69" s="27" t="s">
        <v>8</v>
      </c>
      <c r="D69" s="27" t="s">
        <v>8</v>
      </c>
    </row>
    <row r="70" spans="1:4" x14ac:dyDescent="0.25">
      <c r="A70" s="27" t="s">
        <v>361</v>
      </c>
      <c r="B70" s="27"/>
      <c r="C70" s="27"/>
      <c r="D70" s="27"/>
    </row>
    <row r="71" spans="1:4" x14ac:dyDescent="0.25">
      <c r="A71" s="27"/>
      <c r="B71" s="27"/>
      <c r="C71" s="27"/>
      <c r="D71" s="27"/>
    </row>
    <row r="72" spans="1:4" x14ac:dyDescent="0.25">
      <c r="A72" s="27" t="s">
        <v>362</v>
      </c>
      <c r="B72" s="27"/>
      <c r="C72" s="27"/>
      <c r="D72" s="27"/>
    </row>
    <row r="73" spans="1:4" x14ac:dyDescent="0.25">
      <c r="A73" s="27"/>
      <c r="B73" s="27" t="s">
        <v>8</v>
      </c>
      <c r="C73" s="27" t="s">
        <v>8</v>
      </c>
      <c r="D73" s="27" t="s">
        <v>8</v>
      </c>
    </row>
    <row r="74" spans="1:4" x14ac:dyDescent="0.25">
      <c r="A74" s="27" t="s">
        <v>365</v>
      </c>
      <c r="B74" s="27"/>
      <c r="C74" s="27"/>
      <c r="D74" s="27"/>
    </row>
    <row r="75" spans="1:4" x14ac:dyDescent="0.25">
      <c r="A75" s="27"/>
      <c r="B75" s="27"/>
      <c r="C75" s="27"/>
      <c r="D75" s="27"/>
    </row>
    <row r="76" spans="1:4" x14ac:dyDescent="0.25">
      <c r="A76" s="27" t="s">
        <v>366</v>
      </c>
      <c r="B76" s="27"/>
      <c r="C76" s="27"/>
      <c r="D76" s="27"/>
    </row>
    <row r="77" spans="1:4" x14ac:dyDescent="0.25">
      <c r="A77" s="27"/>
      <c r="B77" s="27" t="s">
        <v>8</v>
      </c>
      <c r="C77" s="27" t="s">
        <v>8</v>
      </c>
      <c r="D77" s="27" t="s">
        <v>8</v>
      </c>
    </row>
    <row r="78" spans="1:4" x14ac:dyDescent="0.25">
      <c r="A78" s="27" t="s">
        <v>369</v>
      </c>
      <c r="B78" s="27"/>
      <c r="C78" s="27"/>
      <c r="D78" s="27"/>
    </row>
    <row r="79" spans="1:4" x14ac:dyDescent="0.25">
      <c r="A79" s="27"/>
      <c r="B79" s="27"/>
      <c r="C79" s="27"/>
      <c r="D79" s="27"/>
    </row>
    <row r="80" spans="1:4" x14ac:dyDescent="0.25">
      <c r="A80" s="27" t="s">
        <v>370</v>
      </c>
      <c r="B80" s="27"/>
      <c r="C80" s="27"/>
      <c r="D80" s="27"/>
    </row>
    <row r="81" spans="1:4" x14ac:dyDescent="0.25">
      <c r="A81" s="27"/>
      <c r="B81" s="27" t="s">
        <v>8</v>
      </c>
      <c r="C81" s="27" t="s">
        <v>8</v>
      </c>
      <c r="D81" s="27" t="s">
        <v>8</v>
      </c>
    </row>
    <row r="82" spans="1:4" x14ac:dyDescent="0.25">
      <c r="A82" s="27" t="s">
        <v>373</v>
      </c>
      <c r="B82" s="27"/>
      <c r="C82" s="27"/>
      <c r="D82" s="27"/>
    </row>
    <row r="83" spans="1:4" x14ac:dyDescent="0.25">
      <c r="A83" s="27"/>
      <c r="B83" s="27"/>
      <c r="C83" s="27"/>
      <c r="D83" s="27"/>
    </row>
    <row r="84" spans="1:4" x14ac:dyDescent="0.25">
      <c r="A84" s="27" t="s">
        <v>374</v>
      </c>
      <c r="B84" s="27"/>
      <c r="C84" s="27"/>
      <c r="D84" s="27"/>
    </row>
    <row r="85" spans="1:4" x14ac:dyDescent="0.25">
      <c r="A85" s="27"/>
      <c r="B85" s="27" t="s">
        <v>8</v>
      </c>
      <c r="C85" s="27" t="s">
        <v>8</v>
      </c>
      <c r="D85" s="27" t="s">
        <v>8</v>
      </c>
    </row>
    <row r="86" spans="1:4" x14ac:dyDescent="0.25">
      <c r="A86" s="27" t="s">
        <v>382</v>
      </c>
      <c r="B86" s="28">
        <v>58909343.130000003</v>
      </c>
      <c r="C86" s="28">
        <v>44136547.32</v>
      </c>
      <c r="D86" s="28">
        <v>14772795.810000001</v>
      </c>
    </row>
    <row r="87" spans="1:4" x14ac:dyDescent="0.25">
      <c r="A87" s="27"/>
      <c r="B87" s="27"/>
      <c r="C87" s="27"/>
      <c r="D87" s="27"/>
    </row>
    <row r="88" spans="1:4" x14ac:dyDescent="0.25">
      <c r="A88" s="27" t="s">
        <v>383</v>
      </c>
      <c r="B88" s="27"/>
      <c r="C88" s="27"/>
      <c r="D88" s="27"/>
    </row>
    <row r="89" spans="1:4" x14ac:dyDescent="0.25">
      <c r="A89" s="27"/>
      <c r="B89" s="27" t="s">
        <v>8</v>
      </c>
      <c r="C89" s="27" t="s">
        <v>8</v>
      </c>
      <c r="D89" s="27" t="s">
        <v>8</v>
      </c>
    </row>
    <row r="90" spans="1:4" x14ac:dyDescent="0.25">
      <c r="A90" s="27" t="s">
        <v>417</v>
      </c>
      <c r="B90" s="28">
        <v>268610692279.20999</v>
      </c>
      <c r="C90" s="28">
        <v>268418726796.47</v>
      </c>
      <c r="D90" s="28">
        <v>191965482.74000001</v>
      </c>
    </row>
    <row r="91" spans="1:4" x14ac:dyDescent="0.25">
      <c r="A91" s="27"/>
      <c r="B91" s="27"/>
      <c r="C91" s="27"/>
      <c r="D91" s="27"/>
    </row>
    <row r="92" spans="1:4" x14ac:dyDescent="0.25">
      <c r="A92" s="27" t="s">
        <v>418</v>
      </c>
      <c r="B92" s="27"/>
      <c r="C92" s="27"/>
      <c r="D92" s="27"/>
    </row>
    <row r="93" spans="1:4" x14ac:dyDescent="0.25">
      <c r="A93" s="27"/>
      <c r="B93" s="27" t="s">
        <v>8</v>
      </c>
      <c r="C93" s="27" t="s">
        <v>8</v>
      </c>
      <c r="D93" s="27" t="s">
        <v>8</v>
      </c>
    </row>
    <row r="94" spans="1:4" x14ac:dyDescent="0.25">
      <c r="A94" s="27" t="s">
        <v>429</v>
      </c>
      <c r="B94" s="28">
        <v>101879.94</v>
      </c>
      <c r="C94" s="27"/>
      <c r="D94" s="28">
        <v>101879.94</v>
      </c>
    </row>
    <row r="95" spans="1:4" x14ac:dyDescent="0.25">
      <c r="A95" s="27"/>
      <c r="B95" s="27"/>
      <c r="C95" s="27"/>
      <c r="D95" s="27"/>
    </row>
    <row r="96" spans="1:4" x14ac:dyDescent="0.25">
      <c r="A96" s="27" t="s">
        <v>430</v>
      </c>
      <c r="B96" s="27"/>
      <c r="C96" s="27"/>
      <c r="D96" s="27"/>
    </row>
    <row r="97" spans="1:4" x14ac:dyDescent="0.25">
      <c r="A97" s="27"/>
      <c r="B97" s="27" t="s">
        <v>8</v>
      </c>
      <c r="C97" s="27" t="s">
        <v>8</v>
      </c>
      <c r="D97" s="27" t="s">
        <v>8</v>
      </c>
    </row>
    <row r="98" spans="1:4" x14ac:dyDescent="0.25">
      <c r="A98" s="27" t="s">
        <v>434</v>
      </c>
      <c r="B98" s="28">
        <v>63362500.990000002</v>
      </c>
      <c r="C98" s="28">
        <v>58607925.700000003</v>
      </c>
      <c r="D98" s="28">
        <v>4754575.29</v>
      </c>
    </row>
    <row r="99" spans="1:4" x14ac:dyDescent="0.25">
      <c r="A99" s="27"/>
      <c r="B99" s="27"/>
      <c r="C99" s="27"/>
      <c r="D99" s="27"/>
    </row>
    <row r="100" spans="1:4" x14ac:dyDescent="0.25">
      <c r="A100" s="27" t="s">
        <v>435</v>
      </c>
      <c r="B100" s="27"/>
      <c r="C100" s="27"/>
      <c r="D100" s="27"/>
    </row>
    <row r="101" spans="1:4" x14ac:dyDescent="0.25">
      <c r="A101" s="27"/>
      <c r="B101" s="27" t="s">
        <v>8</v>
      </c>
      <c r="C101" s="27" t="s">
        <v>8</v>
      </c>
      <c r="D101" s="27" t="s">
        <v>8</v>
      </c>
    </row>
    <row r="102" spans="1:4" x14ac:dyDescent="0.25">
      <c r="A102" s="27" t="s">
        <v>466</v>
      </c>
      <c r="B102" s="28">
        <v>12585679.619999999</v>
      </c>
      <c r="C102" s="28">
        <v>12267954.07</v>
      </c>
      <c r="D102" s="28">
        <v>317725.55</v>
      </c>
    </row>
    <row r="103" spans="1:4" x14ac:dyDescent="0.25">
      <c r="A103" s="27"/>
      <c r="B103" s="27"/>
      <c r="C103" s="27"/>
      <c r="D103" s="27"/>
    </row>
    <row r="104" spans="1:4" x14ac:dyDescent="0.25">
      <c r="A104" s="27" t="s">
        <v>467</v>
      </c>
      <c r="B104" s="27"/>
      <c r="C104" s="27"/>
      <c r="D104" s="27"/>
    </row>
    <row r="105" spans="1:4" x14ac:dyDescent="0.25">
      <c r="A105" s="27"/>
      <c r="B105" s="27" t="s">
        <v>8</v>
      </c>
      <c r="C105" s="27" t="s">
        <v>8</v>
      </c>
      <c r="D105" s="27" t="s">
        <v>8</v>
      </c>
    </row>
    <row r="106" spans="1:4" x14ac:dyDescent="0.25">
      <c r="A106" s="27" t="s">
        <v>486</v>
      </c>
      <c r="B106" s="28">
        <v>6925850.5599999996</v>
      </c>
      <c r="C106" s="28">
        <v>5839101.5599999996</v>
      </c>
      <c r="D106" s="28">
        <v>1086749</v>
      </c>
    </row>
    <row r="107" spans="1:4" x14ac:dyDescent="0.25">
      <c r="A107" s="27"/>
      <c r="B107" s="27"/>
      <c r="C107" s="27"/>
      <c r="D107" s="27"/>
    </row>
    <row r="108" spans="1:4" x14ac:dyDescent="0.25">
      <c r="A108" s="27" t="s">
        <v>487</v>
      </c>
      <c r="B108" s="27"/>
      <c r="C108" s="27"/>
      <c r="D108" s="27"/>
    </row>
    <row r="109" spans="1:4" x14ac:dyDescent="0.25">
      <c r="A109" s="27"/>
      <c r="B109" s="27" t="s">
        <v>8</v>
      </c>
      <c r="C109" s="27" t="s">
        <v>8</v>
      </c>
      <c r="D109" s="27" t="s">
        <v>8</v>
      </c>
    </row>
    <row r="110" spans="1:4" x14ac:dyDescent="0.25">
      <c r="A110" s="27" t="s">
        <v>491</v>
      </c>
      <c r="B110" s="28">
        <v>6016618.4199999999</v>
      </c>
      <c r="C110" s="28">
        <v>3099263.57</v>
      </c>
      <c r="D110" s="28">
        <v>2917354.85</v>
      </c>
    </row>
    <row r="111" spans="1:4" x14ac:dyDescent="0.25">
      <c r="A111" s="27"/>
      <c r="B111" s="27"/>
      <c r="C111" s="27"/>
      <c r="D111" s="27"/>
    </row>
    <row r="112" spans="1:4" x14ac:dyDescent="0.25">
      <c r="A112" s="27" t="s">
        <v>492</v>
      </c>
      <c r="B112" s="27"/>
      <c r="C112" s="27"/>
      <c r="D112" s="27"/>
    </row>
    <row r="113" spans="1:4" x14ac:dyDescent="0.25">
      <c r="A113" s="27"/>
      <c r="B113" s="27" t="s">
        <v>8</v>
      </c>
      <c r="C113" s="27" t="s">
        <v>8</v>
      </c>
      <c r="D113" s="27" t="s">
        <v>8</v>
      </c>
    </row>
    <row r="114" spans="1:4" x14ac:dyDescent="0.25">
      <c r="A114" s="27" t="s">
        <v>510</v>
      </c>
      <c r="B114" s="28">
        <v>197839785.33000001</v>
      </c>
      <c r="C114" s="28">
        <v>197839785.33000001</v>
      </c>
      <c r="D114" s="27"/>
    </row>
    <row r="115" spans="1:4" x14ac:dyDescent="0.25">
      <c r="A115" s="27"/>
      <c r="B115" s="27"/>
      <c r="C115" s="27"/>
      <c r="D115" s="27"/>
    </row>
    <row r="116" spans="1:4" x14ac:dyDescent="0.25">
      <c r="A116" s="27" t="s">
        <v>511</v>
      </c>
      <c r="B116" s="27"/>
      <c r="C116" s="27"/>
      <c r="D116" s="27"/>
    </row>
    <row r="117" spans="1:4" x14ac:dyDescent="0.25">
      <c r="A117" s="27"/>
      <c r="B117" s="27" t="s">
        <v>8</v>
      </c>
      <c r="C117" s="27" t="s">
        <v>8</v>
      </c>
      <c r="D117" s="27" t="s">
        <v>8</v>
      </c>
    </row>
    <row r="118" spans="1:4" x14ac:dyDescent="0.25">
      <c r="A118" s="27" t="s">
        <v>520</v>
      </c>
      <c r="B118" s="27"/>
      <c r="C118" s="27"/>
      <c r="D118" s="27"/>
    </row>
    <row r="119" spans="1:4" x14ac:dyDescent="0.25">
      <c r="A119" s="27"/>
      <c r="B119" s="27"/>
      <c r="C119" s="27"/>
      <c r="D119" s="27"/>
    </row>
    <row r="120" spans="1:4" x14ac:dyDescent="0.25">
      <c r="A120" s="27" t="s">
        <v>521</v>
      </c>
      <c r="B120" s="27"/>
      <c r="C120" s="27"/>
      <c r="D120" s="27"/>
    </row>
    <row r="121" spans="1:4" x14ac:dyDescent="0.25">
      <c r="A121" s="27"/>
      <c r="B121" s="27" t="s">
        <v>8</v>
      </c>
      <c r="C121" s="27" t="s">
        <v>8</v>
      </c>
      <c r="D121" s="27" t="s">
        <v>8</v>
      </c>
    </row>
    <row r="122" spans="1:4" x14ac:dyDescent="0.25">
      <c r="A122" s="27" t="s">
        <v>538</v>
      </c>
      <c r="B122" s="28">
        <v>1818048.23</v>
      </c>
      <c r="C122" s="28">
        <v>19604.830000000002</v>
      </c>
      <c r="D122" s="28">
        <v>1798443.4</v>
      </c>
    </row>
    <row r="123" spans="1:4" x14ac:dyDescent="0.25">
      <c r="A123" s="27"/>
      <c r="B123" s="27"/>
      <c r="C123" s="27"/>
      <c r="D123" s="27"/>
    </row>
    <row r="124" spans="1:4" x14ac:dyDescent="0.25">
      <c r="A124" s="27" t="s">
        <v>539</v>
      </c>
      <c r="B124" s="27"/>
      <c r="C124" s="27"/>
      <c r="D124" s="27"/>
    </row>
    <row r="125" spans="1:4" x14ac:dyDescent="0.25">
      <c r="A125" s="27"/>
      <c r="B125" s="27" t="s">
        <v>8</v>
      </c>
      <c r="C125" s="27" t="s">
        <v>8</v>
      </c>
      <c r="D125" s="27" t="s">
        <v>8</v>
      </c>
    </row>
    <row r="126" spans="1:4" x14ac:dyDescent="0.25">
      <c r="A126" s="27" t="s">
        <v>546</v>
      </c>
      <c r="B126" s="28">
        <v>1594233.34</v>
      </c>
      <c r="C126" s="28">
        <v>1059142.3400000001</v>
      </c>
      <c r="D126" s="28">
        <v>535091</v>
      </c>
    </row>
    <row r="127" spans="1:4" x14ac:dyDescent="0.25">
      <c r="A127" s="27"/>
      <c r="B127" s="27"/>
      <c r="C127" s="27"/>
      <c r="D127" s="27"/>
    </row>
    <row r="128" spans="1:4" x14ac:dyDescent="0.25">
      <c r="A128" s="27" t="s">
        <v>547</v>
      </c>
      <c r="B128" s="27"/>
      <c r="C128" s="27"/>
      <c r="D128" s="27"/>
    </row>
    <row r="129" spans="1:4" x14ac:dyDescent="0.25">
      <c r="A129" s="27"/>
      <c r="B129" s="27" t="s">
        <v>8</v>
      </c>
      <c r="C129" s="27" t="s">
        <v>8</v>
      </c>
      <c r="D129" s="27" t="s">
        <v>8</v>
      </c>
    </row>
    <row r="130" spans="1:4" x14ac:dyDescent="0.25">
      <c r="A130" s="27" t="s">
        <v>553</v>
      </c>
      <c r="B130" s="28">
        <v>3641953.86</v>
      </c>
      <c r="C130" s="28">
        <v>3622889.61</v>
      </c>
      <c r="D130" s="28">
        <v>19064.25</v>
      </c>
    </row>
    <row r="131" spans="1:4" x14ac:dyDescent="0.25">
      <c r="A131" s="27"/>
      <c r="B131" s="27"/>
      <c r="C131" s="27"/>
      <c r="D131" s="27"/>
    </row>
    <row r="132" spans="1:4" x14ac:dyDescent="0.25">
      <c r="A132" s="27" t="s">
        <v>554</v>
      </c>
      <c r="B132" s="27"/>
      <c r="C132" s="27"/>
      <c r="D132" s="27"/>
    </row>
    <row r="133" spans="1:4" x14ac:dyDescent="0.25">
      <c r="A133" s="27"/>
      <c r="B133" s="27" t="s">
        <v>8</v>
      </c>
      <c r="C133" s="27" t="s">
        <v>8</v>
      </c>
      <c r="D133" s="27" t="s">
        <v>8</v>
      </c>
    </row>
    <row r="134" spans="1:4" x14ac:dyDescent="0.25">
      <c r="A134" s="27" t="s">
        <v>561</v>
      </c>
      <c r="B134" s="27"/>
      <c r="C134" s="27"/>
      <c r="D134" s="27"/>
    </row>
    <row r="135" spans="1:4" x14ac:dyDescent="0.25">
      <c r="A135" s="27"/>
      <c r="B135" s="27"/>
      <c r="C135" s="27"/>
      <c r="D135" s="27"/>
    </row>
    <row r="136" spans="1:4" x14ac:dyDescent="0.25">
      <c r="A136" s="27" t="s">
        <v>562</v>
      </c>
      <c r="B136" s="27"/>
      <c r="C136" s="27"/>
      <c r="D136" s="27"/>
    </row>
    <row r="137" spans="1:4" x14ac:dyDescent="0.25">
      <c r="A137" s="27"/>
      <c r="B137" s="27" t="s">
        <v>8</v>
      </c>
      <c r="C137" s="27" t="s">
        <v>8</v>
      </c>
      <c r="D137" s="27" t="s">
        <v>8</v>
      </c>
    </row>
    <row r="138" spans="1:4" x14ac:dyDescent="0.25">
      <c r="A138" s="27" t="s">
        <v>566</v>
      </c>
      <c r="B138" s="28">
        <v>36098001.82</v>
      </c>
      <c r="C138" s="28">
        <v>36098001.82</v>
      </c>
      <c r="D138" s="27"/>
    </row>
    <row r="139" spans="1:4" x14ac:dyDescent="0.25">
      <c r="A139" s="27"/>
      <c r="B139" s="27"/>
      <c r="C139" s="27"/>
      <c r="D139" s="27"/>
    </row>
    <row r="140" spans="1:4" x14ac:dyDescent="0.25">
      <c r="A140" s="27" t="s">
        <v>567</v>
      </c>
      <c r="B140" s="27"/>
      <c r="C140" s="27"/>
      <c r="D140" s="27"/>
    </row>
    <row r="141" spans="1:4" x14ac:dyDescent="0.25">
      <c r="A141" s="27"/>
      <c r="B141" s="27" t="s">
        <v>8</v>
      </c>
      <c r="C141" s="27" t="s">
        <v>8</v>
      </c>
      <c r="D141" s="27" t="s">
        <v>8</v>
      </c>
    </row>
    <row r="142" spans="1:4" x14ac:dyDescent="0.25">
      <c r="A142" s="27" t="s">
        <v>570</v>
      </c>
      <c r="B142" s="27"/>
      <c r="C142" s="27"/>
      <c r="D142" s="27"/>
    </row>
    <row r="143" spans="1:4" x14ac:dyDescent="0.25">
      <c r="A143" s="27"/>
      <c r="B143" s="27"/>
      <c r="C143" s="27"/>
      <c r="D143" s="27"/>
    </row>
    <row r="144" spans="1:4" x14ac:dyDescent="0.25">
      <c r="A144" s="27" t="s">
        <v>571</v>
      </c>
      <c r="B144" s="27"/>
      <c r="C144" s="27"/>
      <c r="D144" s="27"/>
    </row>
    <row r="145" spans="1:4" x14ac:dyDescent="0.25">
      <c r="A145" s="27"/>
      <c r="B145" s="27" t="s">
        <v>8</v>
      </c>
      <c r="C145" s="27" t="s">
        <v>8</v>
      </c>
      <c r="D145" s="27" t="s">
        <v>8</v>
      </c>
    </row>
    <row r="146" spans="1:4" x14ac:dyDescent="0.25">
      <c r="A146" s="27" t="s">
        <v>574</v>
      </c>
      <c r="B146" s="27"/>
      <c r="C146" s="27"/>
      <c r="D146" s="27"/>
    </row>
    <row r="147" spans="1:4" x14ac:dyDescent="0.25">
      <c r="A147" s="27"/>
      <c r="B147" s="27"/>
      <c r="C147" s="27"/>
      <c r="D147" s="27"/>
    </row>
    <row r="148" spans="1:4" x14ac:dyDescent="0.25">
      <c r="A148" s="27" t="s">
        <v>575</v>
      </c>
      <c r="B148" s="27"/>
      <c r="C148" s="27"/>
      <c r="D148" s="27"/>
    </row>
    <row r="149" spans="1:4" x14ac:dyDescent="0.25">
      <c r="A149" s="27"/>
      <c r="B149" s="27" t="s">
        <v>8</v>
      </c>
      <c r="C149" s="27" t="s">
        <v>8</v>
      </c>
      <c r="D149" s="27" t="s">
        <v>8</v>
      </c>
    </row>
    <row r="150" spans="1:4" x14ac:dyDescent="0.25">
      <c r="A150" s="27" t="s">
        <v>578</v>
      </c>
      <c r="B150" s="27"/>
      <c r="C150" s="27"/>
      <c r="D150" s="27"/>
    </row>
    <row r="151" spans="1:4" x14ac:dyDescent="0.25">
      <c r="A151" s="27"/>
      <c r="B151" s="27"/>
      <c r="C151" s="27"/>
      <c r="D151" s="27"/>
    </row>
    <row r="152" spans="1:4" x14ac:dyDescent="0.25">
      <c r="A152" s="27" t="s">
        <v>579</v>
      </c>
      <c r="B152" s="27"/>
      <c r="C152" s="27"/>
      <c r="D152" s="27"/>
    </row>
    <row r="153" spans="1:4" x14ac:dyDescent="0.25">
      <c r="A153" s="27"/>
      <c r="B153" s="27" t="s">
        <v>8</v>
      </c>
      <c r="C153" s="27" t="s">
        <v>8</v>
      </c>
      <c r="D153" s="27" t="s">
        <v>8</v>
      </c>
    </row>
    <row r="154" spans="1:4" x14ac:dyDescent="0.25">
      <c r="A154" s="27" t="s">
        <v>582</v>
      </c>
      <c r="B154" s="27"/>
      <c r="C154" s="27"/>
      <c r="D154" s="27"/>
    </row>
    <row r="155" spans="1:4" x14ac:dyDescent="0.25">
      <c r="A155" s="27"/>
      <c r="B155" s="27"/>
      <c r="C155" s="27"/>
      <c r="D155" s="27"/>
    </row>
    <row r="156" spans="1:4" x14ac:dyDescent="0.25">
      <c r="A156" s="27" t="s">
        <v>583</v>
      </c>
      <c r="B156" s="27"/>
      <c r="C156" s="27"/>
      <c r="D156" s="27"/>
    </row>
    <row r="157" spans="1:4" x14ac:dyDescent="0.25">
      <c r="A157" s="27"/>
      <c r="B157" s="27" t="s">
        <v>8</v>
      </c>
      <c r="C157" s="27" t="s">
        <v>8</v>
      </c>
      <c r="D157" s="27" t="s">
        <v>8</v>
      </c>
    </row>
    <row r="158" spans="1:4" x14ac:dyDescent="0.25">
      <c r="A158" s="27" t="s">
        <v>590</v>
      </c>
      <c r="B158" s="28">
        <v>3852</v>
      </c>
      <c r="C158" s="27"/>
      <c r="D158" s="28">
        <v>3852</v>
      </c>
    </row>
    <row r="159" spans="1:4" x14ac:dyDescent="0.25">
      <c r="A159" s="27"/>
      <c r="B159" s="27"/>
      <c r="C159" s="27"/>
      <c r="D159" s="27"/>
    </row>
    <row r="160" spans="1:4" x14ac:dyDescent="0.25">
      <c r="A160" s="27" t="s">
        <v>591</v>
      </c>
      <c r="B160" s="27"/>
      <c r="C160" s="27"/>
      <c r="D160" s="27"/>
    </row>
    <row r="161" spans="1:4" x14ac:dyDescent="0.25">
      <c r="A161" s="27"/>
      <c r="B161" s="27" t="s">
        <v>8</v>
      </c>
      <c r="C161" s="27" t="s">
        <v>8</v>
      </c>
      <c r="D161" s="27" t="s">
        <v>8</v>
      </c>
    </row>
    <row r="162" spans="1:4" x14ac:dyDescent="0.25">
      <c r="A162" s="27" t="s">
        <v>592</v>
      </c>
      <c r="B162" s="27"/>
      <c r="C162" s="27"/>
      <c r="D162" s="27"/>
    </row>
    <row r="163" spans="1:4" x14ac:dyDescent="0.25">
      <c r="A163" s="27"/>
      <c r="B163" s="27"/>
      <c r="C163" s="27"/>
      <c r="D163" s="27"/>
    </row>
    <row r="164" spans="1:4" x14ac:dyDescent="0.25">
      <c r="A164" s="27" t="s">
        <v>593</v>
      </c>
      <c r="B164" s="27"/>
      <c r="C164" s="27"/>
      <c r="D164" s="27"/>
    </row>
    <row r="165" spans="1:4" x14ac:dyDescent="0.25">
      <c r="A165" s="27"/>
      <c r="B165" s="27" t="s">
        <v>8</v>
      </c>
      <c r="C165" s="27" t="s">
        <v>8</v>
      </c>
      <c r="D165" s="27" t="s">
        <v>8</v>
      </c>
    </row>
    <row r="166" spans="1:4" x14ac:dyDescent="0.25">
      <c r="A166" s="27" t="s">
        <v>594</v>
      </c>
      <c r="B166" s="27"/>
      <c r="C166" s="27"/>
      <c r="D166" s="27"/>
    </row>
    <row r="167" spans="1:4" x14ac:dyDescent="0.25">
      <c r="A167" s="27"/>
      <c r="B167" s="27"/>
      <c r="C167" s="27"/>
      <c r="D167" s="27"/>
    </row>
    <row r="168" spans="1:4" x14ac:dyDescent="0.25">
      <c r="A168" s="27" t="s">
        <v>595</v>
      </c>
      <c r="B168" s="27"/>
      <c r="C168" s="27"/>
      <c r="D168" s="27"/>
    </row>
    <row r="169" spans="1:4" x14ac:dyDescent="0.25">
      <c r="A169" s="27"/>
      <c r="B169" s="27" t="s">
        <v>8</v>
      </c>
      <c r="C169" s="27" t="s">
        <v>8</v>
      </c>
      <c r="D169" s="27" t="s">
        <v>8</v>
      </c>
    </row>
    <row r="170" spans="1:4" x14ac:dyDescent="0.25">
      <c r="A170" s="27" t="s">
        <v>596</v>
      </c>
      <c r="B170" s="27"/>
      <c r="C170" s="27"/>
      <c r="D170" s="27"/>
    </row>
    <row r="171" spans="1:4" x14ac:dyDescent="0.25">
      <c r="A171" s="27"/>
      <c r="B171" s="27"/>
      <c r="C171" s="27"/>
      <c r="D171" s="27"/>
    </row>
    <row r="172" spans="1:4" x14ac:dyDescent="0.25">
      <c r="A172" s="27" t="s">
        <v>597</v>
      </c>
      <c r="B172" s="27"/>
      <c r="C172" s="27"/>
      <c r="D172" s="27"/>
    </row>
    <row r="173" spans="1:4" x14ac:dyDescent="0.25">
      <c r="A173" s="27"/>
      <c r="B173" s="27" t="s">
        <v>8</v>
      </c>
      <c r="C173" s="27" t="s">
        <v>8</v>
      </c>
      <c r="D173" s="27" t="s">
        <v>8</v>
      </c>
    </row>
    <row r="174" spans="1:4" x14ac:dyDescent="0.25">
      <c r="A174" s="27" t="s">
        <v>598</v>
      </c>
      <c r="B174" s="27"/>
      <c r="C174" s="27"/>
      <c r="D174" s="27"/>
    </row>
    <row r="175" spans="1:4" x14ac:dyDescent="0.25">
      <c r="A175" s="27"/>
      <c r="B175" s="27"/>
      <c r="C175" s="27"/>
      <c r="D175" s="27"/>
    </row>
    <row r="176" spans="1:4" x14ac:dyDescent="0.25">
      <c r="A176" s="27" t="s">
        <v>599</v>
      </c>
      <c r="B176" s="27"/>
      <c r="C176" s="27"/>
      <c r="D176" s="27"/>
    </row>
    <row r="177" spans="1:4" x14ac:dyDescent="0.25">
      <c r="A177" s="27"/>
      <c r="B177" s="27" t="s">
        <v>8</v>
      </c>
      <c r="C177" s="27" t="s">
        <v>8</v>
      </c>
      <c r="D177" s="27" t="s">
        <v>8</v>
      </c>
    </row>
    <row r="178" spans="1:4" x14ac:dyDescent="0.25">
      <c r="A178" s="27" t="s">
        <v>600</v>
      </c>
      <c r="B178" s="27"/>
      <c r="C178" s="27"/>
      <c r="D178" s="27"/>
    </row>
    <row r="179" spans="1:4" x14ac:dyDescent="0.25">
      <c r="A179" s="27"/>
      <c r="B179" s="27"/>
      <c r="C179" s="27"/>
      <c r="D179" s="27"/>
    </row>
    <row r="180" spans="1:4" x14ac:dyDescent="0.25">
      <c r="A180" s="27" t="s">
        <v>601</v>
      </c>
      <c r="B180" s="27"/>
      <c r="C180" s="27"/>
      <c r="D180" s="27"/>
    </row>
    <row r="181" spans="1:4" x14ac:dyDescent="0.25">
      <c r="A181" s="27"/>
      <c r="B181" s="27" t="s">
        <v>8</v>
      </c>
      <c r="C181" s="27" t="s">
        <v>8</v>
      </c>
      <c r="D181" s="27" t="s">
        <v>8</v>
      </c>
    </row>
    <row r="182" spans="1:4" x14ac:dyDescent="0.25">
      <c r="A182" s="27" t="s">
        <v>602</v>
      </c>
      <c r="B182" s="27"/>
      <c r="C182" s="27"/>
      <c r="D182" s="27"/>
    </row>
    <row r="183" spans="1:4" x14ac:dyDescent="0.25">
      <c r="A183" s="27"/>
      <c r="B183" s="27"/>
      <c r="C183" s="27"/>
      <c r="D183" s="27"/>
    </row>
    <row r="184" spans="1:4" x14ac:dyDescent="0.25">
      <c r="A184" s="27" t="s">
        <v>603</v>
      </c>
      <c r="B184" s="27"/>
      <c r="C184" s="27"/>
      <c r="D184" s="27"/>
    </row>
    <row r="185" spans="1:4" x14ac:dyDescent="0.25">
      <c r="A185" s="27"/>
      <c r="B185" s="27" t="s">
        <v>8</v>
      </c>
      <c r="C185" s="27" t="s">
        <v>8</v>
      </c>
      <c r="D185" s="27" t="s">
        <v>8</v>
      </c>
    </row>
    <row r="186" spans="1:4" x14ac:dyDescent="0.25">
      <c r="A186" s="27" t="s">
        <v>604</v>
      </c>
      <c r="B186" s="27"/>
      <c r="C186" s="27"/>
      <c r="D186" s="27"/>
    </row>
    <row r="187" spans="1:4" x14ac:dyDescent="0.25">
      <c r="A187" s="27"/>
      <c r="B187" s="27"/>
      <c r="C187" s="27"/>
      <c r="D187" s="27"/>
    </row>
    <row r="188" spans="1:4" x14ac:dyDescent="0.25">
      <c r="A188" s="27" t="s">
        <v>605</v>
      </c>
      <c r="B188" s="27"/>
      <c r="C188" s="27"/>
      <c r="D188" s="27"/>
    </row>
    <row r="189" spans="1:4" x14ac:dyDescent="0.25">
      <c r="A189" s="27"/>
      <c r="B189" s="27" t="s">
        <v>8</v>
      </c>
      <c r="C189" s="27" t="s">
        <v>8</v>
      </c>
      <c r="D189" s="27" t="s">
        <v>8</v>
      </c>
    </row>
    <row r="190" spans="1:4" x14ac:dyDescent="0.25">
      <c r="A190" s="27" t="s">
        <v>606</v>
      </c>
      <c r="B190" s="27"/>
      <c r="C190" s="27"/>
      <c r="D190" s="27"/>
    </row>
    <row r="191" spans="1:4" x14ac:dyDescent="0.25">
      <c r="A191" s="27"/>
      <c r="B191" s="27"/>
      <c r="C191" s="27"/>
      <c r="D191" s="27"/>
    </row>
    <row r="192" spans="1:4" x14ac:dyDescent="0.25">
      <c r="A192" s="27" t="s">
        <v>607</v>
      </c>
      <c r="B192" s="27"/>
      <c r="C192" s="27"/>
      <c r="D192" s="27"/>
    </row>
    <row r="193" spans="1:4" x14ac:dyDescent="0.25">
      <c r="A193" s="27"/>
      <c r="B193" s="27" t="s">
        <v>8</v>
      </c>
      <c r="C193" s="27" t="s">
        <v>8</v>
      </c>
      <c r="D193" s="27" t="s">
        <v>8</v>
      </c>
    </row>
    <row r="194" spans="1:4" x14ac:dyDescent="0.25">
      <c r="A194" s="27" t="s">
        <v>608</v>
      </c>
      <c r="B194" s="27"/>
      <c r="C194" s="27"/>
      <c r="D194" s="27"/>
    </row>
    <row r="195" spans="1:4" x14ac:dyDescent="0.25">
      <c r="A195" s="27"/>
      <c r="B195" s="27"/>
      <c r="C195" s="27"/>
      <c r="D195" s="27"/>
    </row>
    <row r="196" spans="1:4" x14ac:dyDescent="0.25">
      <c r="A196" s="27" t="s">
        <v>609</v>
      </c>
      <c r="B196" s="27"/>
      <c r="C196" s="27"/>
      <c r="D196" s="27"/>
    </row>
    <row r="197" spans="1:4" x14ac:dyDescent="0.25">
      <c r="A197" s="27"/>
      <c r="B197" s="27" t="s">
        <v>8</v>
      </c>
      <c r="C197" s="27" t="s">
        <v>8</v>
      </c>
      <c r="D197" s="27" t="s">
        <v>8</v>
      </c>
    </row>
    <row r="198" spans="1:4" x14ac:dyDescent="0.25">
      <c r="A198" s="27" t="s">
        <v>610</v>
      </c>
      <c r="B198" s="27"/>
      <c r="C198" s="27"/>
      <c r="D198" s="27"/>
    </row>
    <row r="199" spans="1:4" x14ac:dyDescent="0.25">
      <c r="A199" s="27"/>
      <c r="B199" s="27"/>
      <c r="C199" s="27"/>
      <c r="D199" s="27"/>
    </row>
    <row r="200" spans="1:4" x14ac:dyDescent="0.25">
      <c r="A200" s="27" t="s">
        <v>611</v>
      </c>
      <c r="B200" s="27"/>
      <c r="C200" s="27"/>
      <c r="D200" s="27"/>
    </row>
    <row r="201" spans="1:4" x14ac:dyDescent="0.25">
      <c r="A201" s="27"/>
      <c r="B201" s="27" t="s">
        <v>8</v>
      </c>
      <c r="C201" s="27" t="s">
        <v>8</v>
      </c>
      <c r="D201" s="27" t="s">
        <v>8</v>
      </c>
    </row>
    <row r="202" spans="1:4" x14ac:dyDescent="0.25">
      <c r="A202" s="27" t="s">
        <v>612</v>
      </c>
      <c r="B202" s="27"/>
      <c r="C202" s="27"/>
      <c r="D202" s="27"/>
    </row>
    <row r="203" spans="1:4" x14ac:dyDescent="0.25">
      <c r="A203" s="27"/>
      <c r="B203" s="27"/>
      <c r="C203" s="27"/>
      <c r="D203" s="27"/>
    </row>
    <row r="204" spans="1:4" x14ac:dyDescent="0.25">
      <c r="A204" s="27" t="s">
        <v>613</v>
      </c>
      <c r="B204" s="27"/>
      <c r="C204" s="27"/>
      <c r="D204" s="27"/>
    </row>
    <row r="205" spans="1:4" x14ac:dyDescent="0.25">
      <c r="A205" s="27"/>
      <c r="B205" s="27" t="s">
        <v>8</v>
      </c>
      <c r="C205" s="27" t="s">
        <v>8</v>
      </c>
      <c r="D205" s="27" t="s">
        <v>8</v>
      </c>
    </row>
    <row r="206" spans="1:4" x14ac:dyDescent="0.25">
      <c r="A206" s="27" t="s">
        <v>618</v>
      </c>
      <c r="B206" s="27"/>
      <c r="C206" s="27"/>
      <c r="D206" s="27"/>
    </row>
    <row r="207" spans="1:4" x14ac:dyDescent="0.25">
      <c r="A207" s="27"/>
      <c r="B207" s="27"/>
      <c r="C207" s="27"/>
      <c r="D207" s="27"/>
    </row>
    <row r="208" spans="1:4" x14ac:dyDescent="0.25">
      <c r="A208" s="27" t="s">
        <v>619</v>
      </c>
      <c r="B208" s="27"/>
      <c r="C208" s="27"/>
      <c r="D208" s="27"/>
    </row>
    <row r="209" spans="1:4" x14ac:dyDescent="0.25">
      <c r="A209" s="27"/>
      <c r="B209" s="27" t="s">
        <v>8</v>
      </c>
      <c r="C209" s="27" t="s">
        <v>8</v>
      </c>
      <c r="D209" s="27" t="s">
        <v>8</v>
      </c>
    </row>
    <row r="210" spans="1:4" x14ac:dyDescent="0.25">
      <c r="A210" s="27" t="s">
        <v>620</v>
      </c>
      <c r="B210" s="27"/>
      <c r="C210" s="27"/>
      <c r="D210" s="27"/>
    </row>
    <row r="211" spans="1:4" x14ac:dyDescent="0.25">
      <c r="A211" s="27"/>
      <c r="B211" s="27"/>
      <c r="C211" s="27"/>
      <c r="D211" s="27"/>
    </row>
    <row r="212" spans="1:4" x14ac:dyDescent="0.25">
      <c r="A212" s="27" t="s">
        <v>621</v>
      </c>
      <c r="B212" s="27"/>
      <c r="C212" s="27"/>
      <c r="D212" s="27"/>
    </row>
    <row r="213" spans="1:4" x14ac:dyDescent="0.25">
      <c r="A213" s="27"/>
      <c r="B213" s="27" t="s">
        <v>8</v>
      </c>
      <c r="C213" s="27" t="s">
        <v>8</v>
      </c>
      <c r="D213" s="27" t="s">
        <v>8</v>
      </c>
    </row>
    <row r="214" spans="1:4" x14ac:dyDescent="0.25">
      <c r="A214" s="27" t="s">
        <v>622</v>
      </c>
      <c r="B214" s="27"/>
      <c r="C214" s="27"/>
      <c r="D214" s="27"/>
    </row>
    <row r="215" spans="1:4" x14ac:dyDescent="0.25">
      <c r="A215" s="27"/>
      <c r="B215" s="27"/>
      <c r="C215" s="27"/>
      <c r="D215" s="27"/>
    </row>
    <row r="216" spans="1:4" x14ac:dyDescent="0.25">
      <c r="A216" s="27" t="s">
        <v>623</v>
      </c>
      <c r="B216" s="27"/>
      <c r="C216" s="27"/>
      <c r="D216" s="27"/>
    </row>
    <row r="217" spans="1:4" x14ac:dyDescent="0.25">
      <c r="A217" s="27"/>
      <c r="B217" s="27" t="s">
        <v>8</v>
      </c>
      <c r="C217" s="27" t="s">
        <v>8</v>
      </c>
      <c r="D217" s="27" t="s">
        <v>8</v>
      </c>
    </row>
    <row r="218" spans="1:4" x14ac:dyDescent="0.25">
      <c r="A218" s="27" t="s">
        <v>624</v>
      </c>
      <c r="B218" s="27"/>
      <c r="C218" s="27"/>
      <c r="D218" s="27"/>
    </row>
    <row r="219" spans="1:4" x14ac:dyDescent="0.25">
      <c r="A219" s="27"/>
      <c r="B219" s="27"/>
      <c r="C219" s="27"/>
      <c r="D219" s="27"/>
    </row>
    <row r="220" spans="1:4" x14ac:dyDescent="0.25">
      <c r="A220" s="27" t="s">
        <v>625</v>
      </c>
      <c r="B220" s="27"/>
      <c r="C220" s="27"/>
      <c r="D220" s="27"/>
    </row>
    <row r="221" spans="1:4" x14ac:dyDescent="0.25">
      <c r="A221" s="27"/>
      <c r="B221" s="27" t="s">
        <v>8</v>
      </c>
      <c r="C221" s="27" t="s">
        <v>8</v>
      </c>
      <c r="D221" s="27" t="s">
        <v>8</v>
      </c>
    </row>
    <row r="222" spans="1:4" x14ac:dyDescent="0.25">
      <c r="A222" s="27" t="s">
        <v>626</v>
      </c>
      <c r="B222" s="27"/>
      <c r="C222" s="27"/>
      <c r="D222" s="27"/>
    </row>
    <row r="223" spans="1:4" x14ac:dyDescent="0.25">
      <c r="A223" s="27"/>
      <c r="B223" s="27"/>
      <c r="C223" s="27"/>
      <c r="D223" s="27"/>
    </row>
    <row r="224" spans="1:4" x14ac:dyDescent="0.25">
      <c r="A224" s="27" t="s">
        <v>627</v>
      </c>
      <c r="B224" s="27"/>
      <c r="C224" s="27"/>
      <c r="D224" s="27"/>
    </row>
    <row r="225" spans="1:4" x14ac:dyDescent="0.25">
      <c r="A225" s="27"/>
      <c r="B225" s="27" t="s">
        <v>8</v>
      </c>
      <c r="C225" s="27" t="s">
        <v>8</v>
      </c>
      <c r="D225" s="27" t="s">
        <v>8</v>
      </c>
    </row>
    <row r="226" spans="1:4" x14ac:dyDescent="0.25">
      <c r="A226" s="27" t="s">
        <v>628</v>
      </c>
      <c r="B226" s="27"/>
      <c r="C226" s="27"/>
      <c r="D226" s="27"/>
    </row>
    <row r="227" spans="1:4" x14ac:dyDescent="0.25">
      <c r="A227" s="27"/>
      <c r="B227" s="27"/>
      <c r="C227" s="27"/>
      <c r="D227" s="27"/>
    </row>
    <row r="228" spans="1:4" x14ac:dyDescent="0.25">
      <c r="A228" s="27" t="s">
        <v>629</v>
      </c>
      <c r="B228" s="27"/>
      <c r="C228" s="27"/>
      <c r="D228" s="27"/>
    </row>
    <row r="229" spans="1:4" x14ac:dyDescent="0.25">
      <c r="A229" s="27"/>
      <c r="B229" s="27" t="s">
        <v>8</v>
      </c>
      <c r="C229" s="27" t="s">
        <v>8</v>
      </c>
      <c r="D229" s="27" t="s">
        <v>8</v>
      </c>
    </row>
    <row r="230" spans="1:4" x14ac:dyDescent="0.25">
      <c r="A230" s="27" t="s">
        <v>630</v>
      </c>
      <c r="B230" s="27"/>
      <c r="C230" s="27"/>
      <c r="D230" s="27"/>
    </row>
    <row r="231" spans="1:4" x14ac:dyDescent="0.25">
      <c r="A231" s="27"/>
      <c r="B231" s="27"/>
      <c r="C231" s="27"/>
      <c r="D231" s="27"/>
    </row>
    <row r="232" spans="1:4" x14ac:dyDescent="0.25">
      <c r="A232" s="27" t="s">
        <v>631</v>
      </c>
      <c r="B232" s="27"/>
      <c r="C232" s="27"/>
      <c r="D232" s="27"/>
    </row>
    <row r="233" spans="1:4" x14ac:dyDescent="0.25">
      <c r="A233" s="27"/>
      <c r="B233" s="27" t="s">
        <v>8</v>
      </c>
      <c r="C233" s="27" t="s">
        <v>8</v>
      </c>
      <c r="D233" s="27" t="s">
        <v>8</v>
      </c>
    </row>
    <row r="234" spans="1:4" x14ac:dyDescent="0.25">
      <c r="A234" s="27" t="s">
        <v>632</v>
      </c>
      <c r="B234" s="27"/>
      <c r="C234" s="27"/>
      <c r="D234" s="27"/>
    </row>
    <row r="235" spans="1:4" x14ac:dyDescent="0.25">
      <c r="A235" s="27"/>
      <c r="B235" s="27"/>
      <c r="C235" s="27"/>
      <c r="D235" s="27"/>
    </row>
    <row r="236" spans="1:4" x14ac:dyDescent="0.25">
      <c r="A236" s="27" t="s">
        <v>633</v>
      </c>
      <c r="B236" s="27"/>
      <c r="C236" s="27"/>
      <c r="D236" s="27"/>
    </row>
    <row r="237" spans="1:4" x14ac:dyDescent="0.25">
      <c r="A237" s="27"/>
      <c r="B237" s="27" t="s">
        <v>8</v>
      </c>
      <c r="C237" s="27" t="s">
        <v>8</v>
      </c>
      <c r="D237" s="27" t="s">
        <v>8</v>
      </c>
    </row>
    <row r="238" spans="1:4" x14ac:dyDescent="0.25">
      <c r="A238" s="27" t="s">
        <v>643</v>
      </c>
      <c r="B238" s="28">
        <v>62916873.350000001</v>
      </c>
      <c r="C238" s="28">
        <v>10639098.300000001</v>
      </c>
      <c r="D238" s="28">
        <v>52277775.049999997</v>
      </c>
    </row>
    <row r="239" spans="1:4" x14ac:dyDescent="0.25">
      <c r="A239" s="27"/>
      <c r="B239" s="27"/>
      <c r="C239" s="27"/>
      <c r="D239" s="27"/>
    </row>
    <row r="240" spans="1:4" x14ac:dyDescent="0.25">
      <c r="A240" s="27" t="s">
        <v>644</v>
      </c>
      <c r="B240" s="27"/>
      <c r="C240" s="27"/>
      <c r="D240" s="27"/>
    </row>
    <row r="241" spans="1:4" x14ac:dyDescent="0.25">
      <c r="A241" s="27"/>
      <c r="B241" s="27" t="s">
        <v>8</v>
      </c>
      <c r="C241" s="27" t="s">
        <v>8</v>
      </c>
      <c r="D241" s="27" t="s">
        <v>8</v>
      </c>
    </row>
    <row r="242" spans="1:4" x14ac:dyDescent="0.25">
      <c r="A242" s="27" t="s">
        <v>645</v>
      </c>
      <c r="B242" s="27"/>
      <c r="C242" s="27"/>
      <c r="D242" s="27"/>
    </row>
    <row r="243" spans="1:4" x14ac:dyDescent="0.25">
      <c r="A243" s="27"/>
      <c r="B243" s="27"/>
      <c r="C243" s="27"/>
      <c r="D243" s="27"/>
    </row>
    <row r="244" spans="1:4" x14ac:dyDescent="0.25">
      <c r="A244" s="27" t="s">
        <v>646</v>
      </c>
      <c r="B244" s="27"/>
      <c r="C244" s="27"/>
      <c r="D244" s="27"/>
    </row>
    <row r="245" spans="1:4" x14ac:dyDescent="0.25">
      <c r="A245" s="27"/>
      <c r="B245" s="27" t="s">
        <v>8</v>
      </c>
      <c r="C245" s="27" t="s">
        <v>8</v>
      </c>
      <c r="D245" s="27" t="s">
        <v>8</v>
      </c>
    </row>
    <row r="246" spans="1:4" x14ac:dyDescent="0.25">
      <c r="A246" s="27" t="s">
        <v>651</v>
      </c>
      <c r="B246" s="27"/>
      <c r="C246" s="27"/>
      <c r="D246" s="27"/>
    </row>
    <row r="247" spans="1:4" x14ac:dyDescent="0.25">
      <c r="A247" s="27"/>
      <c r="B247" s="27"/>
      <c r="C247" s="27"/>
      <c r="D247" s="27"/>
    </row>
    <row r="248" spans="1:4" x14ac:dyDescent="0.25">
      <c r="A248" s="27" t="s">
        <v>652</v>
      </c>
      <c r="B248" s="27"/>
      <c r="C248" s="27"/>
      <c r="D248" s="27"/>
    </row>
    <row r="249" spans="1:4" x14ac:dyDescent="0.25">
      <c r="A249" s="27"/>
      <c r="B249" s="27" t="s">
        <v>8</v>
      </c>
      <c r="C249" s="27" t="s">
        <v>8</v>
      </c>
      <c r="D249" s="27" t="s">
        <v>8</v>
      </c>
    </row>
    <row r="250" spans="1:4" x14ac:dyDescent="0.25">
      <c r="A250" s="27" t="s">
        <v>655</v>
      </c>
      <c r="B250" s="27"/>
      <c r="C250" s="27"/>
      <c r="D250" s="27"/>
    </row>
    <row r="251" spans="1:4" x14ac:dyDescent="0.25">
      <c r="A251" s="27"/>
      <c r="B251" s="27"/>
      <c r="C251" s="27"/>
      <c r="D251" s="27"/>
    </row>
    <row r="252" spans="1:4" x14ac:dyDescent="0.25">
      <c r="A252" s="27" t="s">
        <v>656</v>
      </c>
      <c r="B252" s="27"/>
      <c r="C252" s="27"/>
      <c r="D252" s="27"/>
    </row>
    <row r="253" spans="1:4" x14ac:dyDescent="0.25">
      <c r="A253" s="27"/>
      <c r="B253" s="27" t="s">
        <v>8</v>
      </c>
      <c r="C253" s="27" t="s">
        <v>8</v>
      </c>
      <c r="D253" s="27" t="s">
        <v>8</v>
      </c>
    </row>
    <row r="254" spans="1:4" x14ac:dyDescent="0.25">
      <c r="A254" s="27" t="s">
        <v>671</v>
      </c>
      <c r="B254" s="28">
        <v>27311361.48</v>
      </c>
      <c r="C254" s="28">
        <v>5630259.25</v>
      </c>
      <c r="D254" s="28">
        <v>21681102.23</v>
      </c>
    </row>
    <row r="255" spans="1:4" x14ac:dyDescent="0.25">
      <c r="A255" s="27"/>
      <c r="B255" s="27"/>
      <c r="C255" s="27"/>
      <c r="D255" s="27"/>
    </row>
    <row r="256" spans="1:4" x14ac:dyDescent="0.25">
      <c r="A256" s="27" t="s">
        <v>672</v>
      </c>
      <c r="B256" s="27"/>
      <c r="C256" s="27"/>
      <c r="D256" s="27"/>
    </row>
    <row r="257" spans="1:4" x14ac:dyDescent="0.25">
      <c r="A257" s="27"/>
      <c r="B257" s="27" t="s">
        <v>8</v>
      </c>
      <c r="C257" s="27" t="s">
        <v>8</v>
      </c>
      <c r="D257" s="27" t="s">
        <v>8</v>
      </c>
    </row>
    <row r="258" spans="1:4" x14ac:dyDescent="0.25">
      <c r="A258" s="27" t="s">
        <v>682</v>
      </c>
      <c r="B258" s="28">
        <v>17034037.82</v>
      </c>
      <c r="C258" s="28">
        <v>2547034.54</v>
      </c>
      <c r="D258" s="28">
        <v>14487003.279999999</v>
      </c>
    </row>
    <row r="259" spans="1:4" x14ac:dyDescent="0.25">
      <c r="A259" s="27"/>
      <c r="B259" s="27"/>
      <c r="C259" s="27"/>
      <c r="D259" s="27"/>
    </row>
    <row r="260" spans="1:4" x14ac:dyDescent="0.25">
      <c r="A260" s="27" t="s">
        <v>683</v>
      </c>
      <c r="B260" s="27"/>
      <c r="C260" s="27"/>
      <c r="D260" s="27"/>
    </row>
    <row r="261" spans="1:4" x14ac:dyDescent="0.25">
      <c r="A261" s="27"/>
      <c r="B261" s="27" t="s">
        <v>8</v>
      </c>
      <c r="C261" s="27" t="s">
        <v>8</v>
      </c>
      <c r="D261" s="27" t="s">
        <v>8</v>
      </c>
    </row>
    <row r="262" spans="1:4" x14ac:dyDescent="0.25">
      <c r="A262" s="27" t="s">
        <v>684</v>
      </c>
      <c r="B262" s="27"/>
      <c r="C262" s="27"/>
      <c r="D262" s="27"/>
    </row>
    <row r="263" spans="1:4" x14ac:dyDescent="0.25">
      <c r="A263" s="27"/>
      <c r="B263" s="27"/>
      <c r="C263" s="27"/>
      <c r="D263" s="27"/>
    </row>
    <row r="264" spans="1:4" x14ac:dyDescent="0.25">
      <c r="A264" s="27" t="s">
        <v>685</v>
      </c>
      <c r="B264" s="27"/>
      <c r="C264" s="27"/>
      <c r="D264" s="27"/>
    </row>
    <row r="265" spans="1:4" x14ac:dyDescent="0.25">
      <c r="A265" s="27"/>
      <c r="B265" s="27" t="s">
        <v>8</v>
      </c>
      <c r="C265" s="27" t="s">
        <v>8</v>
      </c>
      <c r="D265" s="27" t="s">
        <v>8</v>
      </c>
    </row>
    <row r="266" spans="1:4" x14ac:dyDescent="0.25">
      <c r="A266" s="27" t="s">
        <v>706</v>
      </c>
      <c r="B266" s="28">
        <v>210490.29</v>
      </c>
      <c r="C266" s="28">
        <v>21704207.859999999</v>
      </c>
      <c r="D266" s="28">
        <v>-21493717.57</v>
      </c>
    </row>
    <row r="267" spans="1:4" x14ac:dyDescent="0.25">
      <c r="A267" s="27"/>
      <c r="B267" s="27"/>
      <c r="C267" s="27"/>
      <c r="D267" s="27"/>
    </row>
    <row r="268" spans="1:4" x14ac:dyDescent="0.25">
      <c r="A268" s="27" t="s">
        <v>707</v>
      </c>
      <c r="B268" s="27"/>
      <c r="C268" s="27"/>
      <c r="D268" s="27"/>
    </row>
    <row r="269" spans="1:4" x14ac:dyDescent="0.25">
      <c r="A269" s="27"/>
      <c r="B269" s="27" t="s">
        <v>8</v>
      </c>
      <c r="C269" s="27" t="s">
        <v>8</v>
      </c>
      <c r="D269" s="27" t="s">
        <v>8</v>
      </c>
    </row>
    <row r="270" spans="1:4" x14ac:dyDescent="0.25">
      <c r="A270" s="27" t="s">
        <v>718</v>
      </c>
      <c r="B270" s="28">
        <v>844718.21</v>
      </c>
      <c r="C270" s="28">
        <v>335000</v>
      </c>
      <c r="D270" s="28">
        <v>509718.21</v>
      </c>
    </row>
    <row r="271" spans="1:4" x14ac:dyDescent="0.25">
      <c r="A271" s="27"/>
      <c r="B271" s="27"/>
      <c r="C271" s="27"/>
      <c r="D271" s="27"/>
    </row>
    <row r="272" spans="1:4" x14ac:dyDescent="0.25">
      <c r="A272" s="27" t="s">
        <v>719</v>
      </c>
      <c r="B272" s="27"/>
      <c r="C272" s="27"/>
      <c r="D272" s="27"/>
    </row>
    <row r="273" spans="1:4" x14ac:dyDescent="0.25">
      <c r="A273" s="27"/>
      <c r="B273" s="27" t="s">
        <v>8</v>
      </c>
      <c r="C273" s="27" t="s">
        <v>8</v>
      </c>
      <c r="D273" s="27" t="s">
        <v>8</v>
      </c>
    </row>
    <row r="274" spans="1:4" x14ac:dyDescent="0.25">
      <c r="A274" s="27" t="s">
        <v>723</v>
      </c>
      <c r="B274" s="28">
        <v>10200</v>
      </c>
      <c r="C274" s="28">
        <v>10200</v>
      </c>
      <c r="D274" s="27"/>
    </row>
    <row r="275" spans="1:4" x14ac:dyDescent="0.25">
      <c r="A275" s="27"/>
      <c r="B275" s="27"/>
      <c r="C275" s="27"/>
      <c r="D275" s="27"/>
    </row>
    <row r="276" spans="1:4" x14ac:dyDescent="0.25">
      <c r="A276" s="27" t="s">
        <v>724</v>
      </c>
      <c r="B276" s="27"/>
      <c r="C276" s="27"/>
      <c r="D276" s="27"/>
    </row>
    <row r="277" spans="1:4" x14ac:dyDescent="0.25">
      <c r="A277" s="27"/>
      <c r="B277" s="27" t="s">
        <v>8</v>
      </c>
      <c r="C277" s="27" t="s">
        <v>8</v>
      </c>
      <c r="D277" s="27" t="s">
        <v>8</v>
      </c>
    </row>
    <row r="278" spans="1:4" x14ac:dyDescent="0.25">
      <c r="A278" s="27" t="s">
        <v>739</v>
      </c>
      <c r="B278" s="28">
        <v>60604112.68</v>
      </c>
      <c r="C278" s="28">
        <v>77280</v>
      </c>
      <c r="D278" s="28">
        <v>60526832.68</v>
      </c>
    </row>
    <row r="279" spans="1:4" x14ac:dyDescent="0.25">
      <c r="A279" s="27"/>
      <c r="B279" s="27"/>
      <c r="C279" s="27"/>
      <c r="D279" s="27"/>
    </row>
    <row r="280" spans="1:4" x14ac:dyDescent="0.25">
      <c r="A280" s="27" t="s">
        <v>740</v>
      </c>
      <c r="B280" s="27"/>
      <c r="C280" s="27"/>
      <c r="D280" s="27"/>
    </row>
    <row r="281" spans="1:4" x14ac:dyDescent="0.25">
      <c r="A281" s="27"/>
      <c r="B281" s="27" t="s">
        <v>8</v>
      </c>
      <c r="C281" s="27" t="s">
        <v>8</v>
      </c>
      <c r="D281" s="27" t="s">
        <v>8</v>
      </c>
    </row>
    <row r="282" spans="1:4" x14ac:dyDescent="0.25">
      <c r="A282" s="27" t="s">
        <v>741</v>
      </c>
      <c r="B282" s="27"/>
      <c r="C282" s="27"/>
      <c r="D282" s="27"/>
    </row>
    <row r="283" spans="1:4" x14ac:dyDescent="0.25">
      <c r="A283" s="27"/>
      <c r="B283" s="27"/>
      <c r="C283" s="27"/>
      <c r="D283" s="27"/>
    </row>
    <row r="284" spans="1:4" x14ac:dyDescent="0.25">
      <c r="A284" s="27" t="s">
        <v>742</v>
      </c>
      <c r="B284" s="27"/>
      <c r="C284" s="27"/>
      <c r="D284" s="27"/>
    </row>
    <row r="285" spans="1:4" x14ac:dyDescent="0.25">
      <c r="A285" s="27"/>
      <c r="B285" s="27" t="s">
        <v>8</v>
      </c>
      <c r="C285" s="27" t="s">
        <v>8</v>
      </c>
      <c r="D285" s="27" t="s">
        <v>8</v>
      </c>
    </row>
    <row r="286" spans="1:4" x14ac:dyDescent="0.25">
      <c r="A286" s="27" t="s">
        <v>743</v>
      </c>
      <c r="B286" s="27"/>
      <c r="C286" s="27"/>
      <c r="D286" s="27"/>
    </row>
    <row r="287" spans="1:4" x14ac:dyDescent="0.25">
      <c r="A287" s="27"/>
      <c r="B287" s="27"/>
      <c r="C287" s="27"/>
      <c r="D287" s="27"/>
    </row>
    <row r="288" spans="1:4" x14ac:dyDescent="0.25">
      <c r="A288" s="27" t="s">
        <v>744</v>
      </c>
      <c r="B288" s="27"/>
      <c r="C288" s="27"/>
      <c r="D288" s="27"/>
    </row>
    <row r="289" spans="1:4" x14ac:dyDescent="0.25">
      <c r="A289" s="27"/>
      <c r="B289" s="27" t="s">
        <v>8</v>
      </c>
      <c r="C289" s="27" t="s">
        <v>8</v>
      </c>
      <c r="D289" s="27" t="s">
        <v>8</v>
      </c>
    </row>
    <row r="290" spans="1:4" x14ac:dyDescent="0.25">
      <c r="A290" s="27" t="s">
        <v>745</v>
      </c>
      <c r="B290" s="27"/>
      <c r="C290" s="27"/>
      <c r="D290" s="27"/>
    </row>
    <row r="291" spans="1:4" x14ac:dyDescent="0.25">
      <c r="A291" s="27"/>
      <c r="B291" s="27"/>
      <c r="C291" s="27"/>
      <c r="D291" s="27"/>
    </row>
    <row r="292" spans="1:4" x14ac:dyDescent="0.25">
      <c r="A292" s="27" t="s">
        <v>746</v>
      </c>
      <c r="B292" s="27"/>
      <c r="C292" s="27"/>
      <c r="D292" s="27"/>
    </row>
    <row r="293" spans="1:4" x14ac:dyDescent="0.25">
      <c r="A293" s="27"/>
      <c r="B293" s="27" t="s">
        <v>8</v>
      </c>
      <c r="C293" s="27" t="s">
        <v>8</v>
      </c>
      <c r="D293" s="27" t="s">
        <v>8</v>
      </c>
    </row>
    <row r="294" spans="1:4" x14ac:dyDescent="0.25">
      <c r="A294" s="27" t="s">
        <v>781</v>
      </c>
      <c r="B294" s="28">
        <v>63907027.270000003</v>
      </c>
      <c r="C294" s="27"/>
      <c r="D294" s="28">
        <v>63907027.270000003</v>
      </c>
    </row>
    <row r="295" spans="1:4" x14ac:dyDescent="0.25">
      <c r="A295" s="27"/>
      <c r="B295" s="27"/>
      <c r="C295" s="27"/>
      <c r="D295" s="27"/>
    </row>
    <row r="296" spans="1:4" x14ac:dyDescent="0.25">
      <c r="A296" s="27" t="s">
        <v>782</v>
      </c>
      <c r="B296" s="27"/>
      <c r="C296" s="27"/>
      <c r="D296" s="27"/>
    </row>
    <row r="297" spans="1:4" x14ac:dyDescent="0.25">
      <c r="A297" s="27"/>
      <c r="B297" s="27" t="s">
        <v>8</v>
      </c>
      <c r="C297" s="27" t="s">
        <v>8</v>
      </c>
      <c r="D297" s="27" t="s">
        <v>8</v>
      </c>
    </row>
    <row r="298" spans="1:4" x14ac:dyDescent="0.25">
      <c r="A298" s="27" t="s">
        <v>785</v>
      </c>
      <c r="B298" s="27"/>
      <c r="C298" s="27"/>
      <c r="D298" s="27"/>
    </row>
    <row r="299" spans="1:4" x14ac:dyDescent="0.25">
      <c r="A299" s="27"/>
      <c r="B299" s="27"/>
      <c r="C299" s="27"/>
      <c r="D299" s="27"/>
    </row>
    <row r="300" spans="1:4" x14ac:dyDescent="0.25">
      <c r="A300" s="27" t="s">
        <v>786</v>
      </c>
      <c r="B300" s="27"/>
      <c r="C300" s="27"/>
      <c r="D300" s="27"/>
    </row>
    <row r="301" spans="1:4" x14ac:dyDescent="0.25">
      <c r="A301" s="27"/>
      <c r="B301" s="27" t="s">
        <v>8</v>
      </c>
      <c r="C301" s="27" t="s">
        <v>8</v>
      </c>
      <c r="D301" s="27" t="s">
        <v>8</v>
      </c>
    </row>
    <row r="302" spans="1:4" x14ac:dyDescent="0.25">
      <c r="A302" s="27" t="s">
        <v>789</v>
      </c>
      <c r="B302" s="27"/>
      <c r="C302" s="27"/>
      <c r="D302" s="27"/>
    </row>
    <row r="303" spans="1:4" x14ac:dyDescent="0.25">
      <c r="A303" s="27"/>
      <c r="B303" s="27"/>
      <c r="C303" s="27"/>
      <c r="D303" s="27"/>
    </row>
    <row r="304" spans="1:4" x14ac:dyDescent="0.25">
      <c r="A304" s="27" t="s">
        <v>790</v>
      </c>
      <c r="B304" s="27"/>
      <c r="C304" s="27"/>
      <c r="D304" s="27"/>
    </row>
    <row r="305" spans="1:4" x14ac:dyDescent="0.25">
      <c r="A305" s="27"/>
      <c r="B305" s="27" t="s">
        <v>8</v>
      </c>
      <c r="C305" s="27" t="s">
        <v>8</v>
      </c>
      <c r="D305" s="27" t="s">
        <v>8</v>
      </c>
    </row>
    <row r="306" spans="1:4" x14ac:dyDescent="0.25">
      <c r="A306" s="27" t="s">
        <v>805</v>
      </c>
      <c r="B306" s="27"/>
      <c r="C306" s="28">
        <v>53568850.609999999</v>
      </c>
      <c r="D306" s="28">
        <v>-53568850.609999999</v>
      </c>
    </row>
    <row r="307" spans="1:4" x14ac:dyDescent="0.25">
      <c r="A307" s="27"/>
      <c r="B307" s="27"/>
      <c r="C307" s="27"/>
      <c r="D307" s="27"/>
    </row>
    <row r="308" spans="1:4" x14ac:dyDescent="0.25">
      <c r="A308" s="27" t="s">
        <v>806</v>
      </c>
      <c r="B308" s="27"/>
      <c r="C308" s="27"/>
      <c r="D308" s="27"/>
    </row>
    <row r="309" spans="1:4" x14ac:dyDescent="0.25">
      <c r="A309" s="27"/>
      <c r="B309" s="27" t="s">
        <v>8</v>
      </c>
      <c r="C309" s="27" t="s">
        <v>8</v>
      </c>
      <c r="D309" s="27" t="s">
        <v>8</v>
      </c>
    </row>
    <row r="310" spans="1:4" x14ac:dyDescent="0.25">
      <c r="A310" s="27" t="s">
        <v>807</v>
      </c>
      <c r="B310" s="27"/>
      <c r="C310" s="27"/>
      <c r="D310" s="27"/>
    </row>
    <row r="311" spans="1:4" x14ac:dyDescent="0.25">
      <c r="A311" s="27"/>
      <c r="B311" s="27"/>
      <c r="C311" s="27"/>
      <c r="D311" s="27"/>
    </row>
    <row r="312" spans="1:4" x14ac:dyDescent="0.25">
      <c r="A312" s="27" t="s">
        <v>808</v>
      </c>
      <c r="B312" s="27"/>
      <c r="C312" s="27"/>
      <c r="D312" s="27"/>
    </row>
    <row r="313" spans="1:4" x14ac:dyDescent="0.25">
      <c r="A313" s="27"/>
      <c r="B313" s="27" t="s">
        <v>8</v>
      </c>
      <c r="C313" s="27" t="s">
        <v>8</v>
      </c>
      <c r="D313" s="27" t="s">
        <v>8</v>
      </c>
    </row>
    <row r="314" spans="1:4" x14ac:dyDescent="0.25">
      <c r="A314" s="27" t="s">
        <v>809</v>
      </c>
      <c r="B314" s="27"/>
      <c r="C314" s="27"/>
      <c r="D314" s="27"/>
    </row>
    <row r="315" spans="1:4" x14ac:dyDescent="0.25">
      <c r="A315" s="27"/>
      <c r="B315" s="27"/>
      <c r="C315" s="27"/>
      <c r="D315" s="27"/>
    </row>
    <row r="316" spans="1:4" x14ac:dyDescent="0.25">
      <c r="A316" s="27" t="s">
        <v>810</v>
      </c>
      <c r="B316" s="27"/>
      <c r="C316" s="27"/>
      <c r="D316" s="27"/>
    </row>
    <row r="317" spans="1:4" x14ac:dyDescent="0.25">
      <c r="A317" s="27"/>
      <c r="B317" s="27" t="s">
        <v>8</v>
      </c>
      <c r="C317" s="27" t="s">
        <v>8</v>
      </c>
      <c r="D317" s="27" t="s">
        <v>8</v>
      </c>
    </row>
    <row r="318" spans="1:4" x14ac:dyDescent="0.25">
      <c r="A318" s="27" t="s">
        <v>811</v>
      </c>
      <c r="B318" s="27"/>
      <c r="C318" s="27"/>
      <c r="D318" s="27"/>
    </row>
    <row r="319" spans="1:4" x14ac:dyDescent="0.25">
      <c r="A319" s="27"/>
      <c r="B319" s="27"/>
      <c r="C319" s="27"/>
      <c r="D319" s="27"/>
    </row>
    <row r="320" spans="1:4" x14ac:dyDescent="0.25">
      <c r="A320" s="27" t="s">
        <v>812</v>
      </c>
      <c r="B320" s="27"/>
      <c r="C320" s="27"/>
      <c r="D320" s="27"/>
    </row>
    <row r="321" spans="1:4" x14ac:dyDescent="0.25">
      <c r="A321" s="27"/>
      <c r="B321" s="27" t="s">
        <v>8</v>
      </c>
      <c r="C321" s="27" t="s">
        <v>8</v>
      </c>
      <c r="D321" s="27" t="s">
        <v>8</v>
      </c>
    </row>
    <row r="322" spans="1:4" x14ac:dyDescent="0.25">
      <c r="A322" s="27" t="s">
        <v>813</v>
      </c>
      <c r="B322" s="27"/>
      <c r="C322" s="27"/>
      <c r="D322" s="27"/>
    </row>
    <row r="323" spans="1:4" x14ac:dyDescent="0.25">
      <c r="A323" s="27"/>
      <c r="B323" s="27"/>
      <c r="C323" s="27"/>
      <c r="D323" s="27"/>
    </row>
    <row r="324" spans="1:4" x14ac:dyDescent="0.25">
      <c r="A324" s="27" t="s">
        <v>814</v>
      </c>
      <c r="B324" s="27"/>
      <c r="C324" s="27"/>
      <c r="D324" s="27"/>
    </row>
    <row r="325" spans="1:4" x14ac:dyDescent="0.25">
      <c r="A325" s="27"/>
      <c r="B325" s="27" t="s">
        <v>8</v>
      </c>
      <c r="C325" s="27" t="s">
        <v>8</v>
      </c>
      <c r="D325" s="27" t="s">
        <v>8</v>
      </c>
    </row>
    <row r="326" spans="1:4" x14ac:dyDescent="0.25">
      <c r="A326" s="27" t="s">
        <v>815</v>
      </c>
      <c r="B326" s="27"/>
      <c r="C326" s="27"/>
      <c r="D326" s="27"/>
    </row>
    <row r="327" spans="1:4" x14ac:dyDescent="0.25">
      <c r="A327" s="27"/>
      <c r="B327" s="27"/>
      <c r="C327" s="27"/>
      <c r="D327" s="27"/>
    </row>
    <row r="328" spans="1:4" x14ac:dyDescent="0.25">
      <c r="A328" s="27" t="s">
        <v>816</v>
      </c>
      <c r="B328" s="27"/>
      <c r="C328" s="27"/>
      <c r="D328" s="27"/>
    </row>
    <row r="329" spans="1:4" x14ac:dyDescent="0.25">
      <c r="A329" s="27"/>
      <c r="B329" s="27" t="s">
        <v>8</v>
      </c>
      <c r="C329" s="27" t="s">
        <v>8</v>
      </c>
      <c r="D329" s="27" t="s">
        <v>8</v>
      </c>
    </row>
    <row r="330" spans="1:4" x14ac:dyDescent="0.25">
      <c r="A330" s="27" t="s">
        <v>817</v>
      </c>
      <c r="B330" s="27"/>
      <c r="C330" s="27"/>
      <c r="D330" s="27"/>
    </row>
    <row r="331" spans="1:4" x14ac:dyDescent="0.25">
      <c r="A331" s="27"/>
      <c r="B331" s="27"/>
      <c r="C331" s="27"/>
      <c r="D331" s="27"/>
    </row>
    <row r="332" spans="1:4" x14ac:dyDescent="0.25">
      <c r="A332" s="27" t="s">
        <v>818</v>
      </c>
      <c r="B332" s="27"/>
      <c r="C332" s="27"/>
      <c r="D332" s="27"/>
    </row>
    <row r="333" spans="1:4" x14ac:dyDescent="0.25">
      <c r="A333" s="27"/>
      <c r="B333" s="27" t="s">
        <v>8</v>
      </c>
      <c r="C333" s="27" t="s">
        <v>8</v>
      </c>
      <c r="D333" s="27" t="s">
        <v>8</v>
      </c>
    </row>
    <row r="334" spans="1:4" x14ac:dyDescent="0.25">
      <c r="A334" s="27" t="s">
        <v>849</v>
      </c>
      <c r="B334" s="28">
        <v>4221375.72</v>
      </c>
      <c r="C334" s="28">
        <v>3751763.07</v>
      </c>
      <c r="D334" s="28">
        <v>469612.65</v>
      </c>
    </row>
    <row r="335" spans="1:4" x14ac:dyDescent="0.25">
      <c r="A335" s="27"/>
      <c r="B335" s="27"/>
      <c r="C335" s="27"/>
      <c r="D335" s="27"/>
    </row>
    <row r="336" spans="1:4" x14ac:dyDescent="0.25">
      <c r="A336" s="27" t="s">
        <v>850</v>
      </c>
      <c r="B336" s="27"/>
      <c r="C336" s="27"/>
      <c r="D336" s="27"/>
    </row>
    <row r="337" spans="1:4" x14ac:dyDescent="0.25">
      <c r="A337" s="27"/>
      <c r="B337" s="27" t="s">
        <v>8</v>
      </c>
      <c r="C337" s="27" t="s">
        <v>8</v>
      </c>
      <c r="D337" s="27" t="s">
        <v>8</v>
      </c>
    </row>
    <row r="338" spans="1:4" x14ac:dyDescent="0.25">
      <c r="A338" s="27" t="s">
        <v>863</v>
      </c>
      <c r="B338" s="27"/>
      <c r="C338" s="27"/>
      <c r="D338" s="27"/>
    </row>
    <row r="339" spans="1:4" x14ac:dyDescent="0.25">
      <c r="A339" s="27"/>
      <c r="B339" s="27"/>
      <c r="C339" s="27"/>
      <c r="D339" s="27"/>
    </row>
    <row r="340" spans="1:4" x14ac:dyDescent="0.25">
      <c r="A340" s="27" t="s">
        <v>864</v>
      </c>
      <c r="B340" s="27"/>
      <c r="C340" s="27"/>
      <c r="D340" s="27"/>
    </row>
    <row r="341" spans="1:4" x14ac:dyDescent="0.25">
      <c r="A341" s="27"/>
      <c r="B341" s="27" t="s">
        <v>8</v>
      </c>
      <c r="C341" s="27" t="s">
        <v>8</v>
      </c>
      <c r="D341" s="27" t="s">
        <v>8</v>
      </c>
    </row>
    <row r="342" spans="1:4" x14ac:dyDescent="0.25">
      <c r="A342" s="27" t="s">
        <v>865</v>
      </c>
      <c r="B342" s="27"/>
      <c r="C342" s="27"/>
      <c r="D342" s="27"/>
    </row>
    <row r="343" spans="1:4" x14ac:dyDescent="0.25">
      <c r="A343" s="27"/>
      <c r="B343" s="27"/>
      <c r="C343" s="27"/>
      <c r="D343" s="27"/>
    </row>
    <row r="344" spans="1:4" x14ac:dyDescent="0.25">
      <c r="A344" s="27" t="s">
        <v>866</v>
      </c>
      <c r="B344" s="27"/>
      <c r="C344" s="27"/>
      <c r="D344" s="27"/>
    </row>
    <row r="345" spans="1:4" x14ac:dyDescent="0.25">
      <c r="A345" s="27"/>
      <c r="B345" s="27" t="s">
        <v>8</v>
      </c>
      <c r="C345" s="27" t="s">
        <v>8</v>
      </c>
      <c r="D345" s="27" t="s">
        <v>8</v>
      </c>
    </row>
    <row r="346" spans="1:4" x14ac:dyDescent="0.25">
      <c r="A346" s="27" t="s">
        <v>873</v>
      </c>
      <c r="B346" s="27"/>
      <c r="C346" s="27"/>
      <c r="D346" s="27"/>
    </row>
    <row r="347" spans="1:4" x14ac:dyDescent="0.25">
      <c r="A347" s="27"/>
      <c r="B347" s="27"/>
      <c r="C347" s="27"/>
      <c r="D347" s="27"/>
    </row>
    <row r="348" spans="1:4" x14ac:dyDescent="0.25">
      <c r="A348" s="27" t="s">
        <v>874</v>
      </c>
      <c r="B348" s="27"/>
      <c r="C348" s="27"/>
      <c r="D348" s="27"/>
    </row>
    <row r="349" spans="1:4" x14ac:dyDescent="0.25">
      <c r="A349" s="27"/>
      <c r="B349" s="27" t="s">
        <v>8</v>
      </c>
      <c r="C349" s="27" t="s">
        <v>8</v>
      </c>
      <c r="D349" s="27" t="s">
        <v>8</v>
      </c>
    </row>
    <row r="350" spans="1:4" x14ac:dyDescent="0.25">
      <c r="A350" s="27" t="s">
        <v>875</v>
      </c>
      <c r="B350" s="27"/>
      <c r="C350" s="27"/>
      <c r="D350" s="27"/>
    </row>
    <row r="351" spans="1:4" x14ac:dyDescent="0.25">
      <c r="A351" s="27"/>
      <c r="B351" s="27"/>
      <c r="C351" s="27"/>
      <c r="D351" s="27"/>
    </row>
    <row r="352" spans="1:4" x14ac:dyDescent="0.25">
      <c r="A352" s="27" t="s">
        <v>876</v>
      </c>
      <c r="B352" s="27"/>
      <c r="C352" s="27"/>
      <c r="D352" s="27"/>
    </row>
    <row r="353" spans="1:4" x14ac:dyDescent="0.25">
      <c r="A353" s="27"/>
      <c r="B353" s="27" t="s">
        <v>8</v>
      </c>
      <c r="C353" s="27" t="s">
        <v>8</v>
      </c>
      <c r="D353" s="27" t="s">
        <v>8</v>
      </c>
    </row>
    <row r="354" spans="1:4" x14ac:dyDescent="0.25">
      <c r="A354" s="27" t="s">
        <v>877</v>
      </c>
      <c r="B354" s="27"/>
      <c r="C354" s="27"/>
      <c r="D354" s="27"/>
    </row>
    <row r="355" spans="1:4" x14ac:dyDescent="0.25">
      <c r="A355" s="27"/>
      <c r="B355" s="27"/>
      <c r="C355" s="27"/>
      <c r="D355" s="27"/>
    </row>
    <row r="356" spans="1:4" x14ac:dyDescent="0.25">
      <c r="A356" s="27" t="s">
        <v>878</v>
      </c>
      <c r="B356" s="27"/>
      <c r="C356" s="27"/>
      <c r="D356" s="27"/>
    </row>
    <row r="357" spans="1:4" x14ac:dyDescent="0.25">
      <c r="A357" s="27"/>
      <c r="B357" s="27" t="s">
        <v>8</v>
      </c>
      <c r="C357" s="27" t="s">
        <v>8</v>
      </c>
      <c r="D357" s="27" t="s">
        <v>8</v>
      </c>
    </row>
    <row r="358" spans="1:4" x14ac:dyDescent="0.25">
      <c r="A358" s="27" t="s">
        <v>879</v>
      </c>
      <c r="B358" s="27"/>
      <c r="C358" s="27"/>
      <c r="D358" s="27"/>
    </row>
    <row r="359" spans="1:4" x14ac:dyDescent="0.25">
      <c r="A359" s="27"/>
      <c r="B359" s="27"/>
      <c r="C359" s="27"/>
      <c r="D359" s="27"/>
    </row>
    <row r="360" spans="1:4" x14ac:dyDescent="0.25">
      <c r="A360" s="27" t="s">
        <v>880</v>
      </c>
      <c r="B360" s="27"/>
      <c r="C360" s="27"/>
      <c r="D360" s="27"/>
    </row>
    <row r="361" spans="1:4" x14ac:dyDescent="0.25">
      <c r="A361" s="27"/>
      <c r="B361" s="27" t="s">
        <v>8</v>
      </c>
      <c r="C361" s="27" t="s">
        <v>8</v>
      </c>
      <c r="D361" s="27" t="s">
        <v>8</v>
      </c>
    </row>
    <row r="362" spans="1:4" x14ac:dyDescent="0.25">
      <c r="A362" s="27" t="s">
        <v>881</v>
      </c>
      <c r="B362" s="27"/>
      <c r="C362" s="27"/>
      <c r="D362" s="27"/>
    </row>
    <row r="363" spans="1:4" x14ac:dyDescent="0.25">
      <c r="A363" s="27"/>
      <c r="B363" s="27"/>
      <c r="C363" s="27"/>
      <c r="D363" s="27"/>
    </row>
    <row r="364" spans="1:4" x14ac:dyDescent="0.25">
      <c r="A364" s="27" t="s">
        <v>882</v>
      </c>
      <c r="B364" s="27"/>
      <c r="C364" s="27"/>
      <c r="D364" s="27"/>
    </row>
    <row r="365" spans="1:4" x14ac:dyDescent="0.25">
      <c r="A365" s="27"/>
      <c r="B365" s="27" t="s">
        <v>8</v>
      </c>
      <c r="C365" s="27" t="s">
        <v>8</v>
      </c>
      <c r="D365" s="27" t="s">
        <v>8</v>
      </c>
    </row>
    <row r="366" spans="1:4" x14ac:dyDescent="0.25">
      <c r="A366" s="27" t="s">
        <v>883</v>
      </c>
      <c r="B366" s="27"/>
      <c r="C366" s="27"/>
      <c r="D366" s="27"/>
    </row>
    <row r="367" spans="1:4" x14ac:dyDescent="0.25">
      <c r="A367" s="27"/>
      <c r="B367" s="27"/>
      <c r="C367" s="27"/>
      <c r="D367" s="27"/>
    </row>
    <row r="368" spans="1:4" x14ac:dyDescent="0.25">
      <c r="A368" s="27" t="s">
        <v>884</v>
      </c>
      <c r="B368" s="27"/>
      <c r="C368" s="27"/>
      <c r="D368" s="27"/>
    </row>
    <row r="369" spans="1:4" x14ac:dyDescent="0.25">
      <c r="A369" s="27"/>
      <c r="B369" s="27" t="s">
        <v>8</v>
      </c>
      <c r="C369" s="27" t="s">
        <v>8</v>
      </c>
      <c r="D369" s="27" t="s">
        <v>8</v>
      </c>
    </row>
    <row r="370" spans="1:4" x14ac:dyDescent="0.25">
      <c r="A370" s="27" t="s">
        <v>885</v>
      </c>
      <c r="B370" s="27"/>
      <c r="C370" s="27"/>
      <c r="D370" s="27"/>
    </row>
    <row r="371" spans="1:4" x14ac:dyDescent="0.25">
      <c r="A371" s="27"/>
      <c r="B371" s="27" t="s">
        <v>8</v>
      </c>
      <c r="C371" s="27" t="s">
        <v>8</v>
      </c>
      <c r="D371" s="27" t="s">
        <v>8</v>
      </c>
    </row>
    <row r="372" spans="1:4" x14ac:dyDescent="0.25">
      <c r="A372" s="27" t="s">
        <v>886</v>
      </c>
      <c r="B372" s="28">
        <v>275592293133.89001</v>
      </c>
      <c r="C372" s="28">
        <v>274939072789.47998</v>
      </c>
      <c r="D372" s="28">
        <v>653220344.40999997</v>
      </c>
    </row>
    <row r="373" spans="1:4" x14ac:dyDescent="0.25">
      <c r="A373" s="27"/>
      <c r="B373" s="27"/>
      <c r="C373" s="27"/>
      <c r="D373" s="27"/>
    </row>
    <row r="374" spans="1:4" x14ac:dyDescent="0.25">
      <c r="A374" s="27" t="s">
        <v>887</v>
      </c>
      <c r="B374" s="27"/>
      <c r="C374" s="27"/>
      <c r="D374" s="27"/>
    </row>
    <row r="375" spans="1:4" x14ac:dyDescent="0.25">
      <c r="A375" s="27"/>
      <c r="B375" s="27"/>
      <c r="C375" s="27"/>
      <c r="D375" s="27"/>
    </row>
    <row r="376" spans="1:4" x14ac:dyDescent="0.25">
      <c r="A376" s="27" t="s">
        <v>888</v>
      </c>
      <c r="B376" s="27"/>
      <c r="C376" s="27"/>
      <c r="D376" s="27"/>
    </row>
    <row r="377" spans="1:4" x14ac:dyDescent="0.25">
      <c r="A377" s="27"/>
      <c r="B377" s="27" t="s">
        <v>8</v>
      </c>
      <c r="C377" s="27" t="s">
        <v>8</v>
      </c>
      <c r="D377" s="27" t="s">
        <v>8</v>
      </c>
    </row>
    <row r="378" spans="1:4" x14ac:dyDescent="0.25">
      <c r="A378" s="27" t="s">
        <v>928</v>
      </c>
      <c r="B378" s="28">
        <v>91847242.75</v>
      </c>
      <c r="C378" s="28">
        <v>91847242.75</v>
      </c>
      <c r="D378" s="28"/>
    </row>
    <row r="379" spans="1:4" x14ac:dyDescent="0.25">
      <c r="A379" s="27"/>
      <c r="B379" s="27"/>
      <c r="C379" s="27"/>
      <c r="D379" s="27"/>
    </row>
    <row r="380" spans="1:4" x14ac:dyDescent="0.25">
      <c r="A380" s="27" t="s">
        <v>929</v>
      </c>
      <c r="B380" s="27"/>
      <c r="C380" s="27"/>
      <c r="D380" s="27"/>
    </row>
    <row r="381" spans="1:4" x14ac:dyDescent="0.25">
      <c r="A381" s="27"/>
      <c r="B381" s="27" t="s">
        <v>8</v>
      </c>
      <c r="C381" s="27" t="s">
        <v>8</v>
      </c>
      <c r="D381" s="27" t="s">
        <v>8</v>
      </c>
    </row>
    <row r="382" spans="1:4" x14ac:dyDescent="0.25">
      <c r="A382" s="27" t="s">
        <v>935</v>
      </c>
      <c r="B382" s="28">
        <v>4372571.04</v>
      </c>
      <c r="C382" s="28">
        <v>5201554.3099999996</v>
      </c>
      <c r="D382" s="28">
        <v>-828983.27</v>
      </c>
    </row>
    <row r="383" spans="1:4" x14ac:dyDescent="0.25">
      <c r="A383" s="27"/>
      <c r="B383" s="27"/>
      <c r="C383" s="27"/>
      <c r="D383" s="27"/>
    </row>
    <row r="384" spans="1:4" x14ac:dyDescent="0.25">
      <c r="A384" s="27" t="s">
        <v>936</v>
      </c>
      <c r="B384" s="27"/>
      <c r="C384" s="27"/>
      <c r="D384" s="27"/>
    </row>
    <row r="385" spans="1:4" x14ac:dyDescent="0.25">
      <c r="A385" s="27"/>
      <c r="B385" s="27" t="s">
        <v>8</v>
      </c>
      <c r="C385" s="27" t="s">
        <v>8</v>
      </c>
      <c r="D385" s="27" t="s">
        <v>8</v>
      </c>
    </row>
    <row r="386" spans="1:4" x14ac:dyDescent="0.25">
      <c r="A386" s="27" t="s">
        <v>942</v>
      </c>
      <c r="B386" s="28">
        <v>885748.27</v>
      </c>
      <c r="C386" s="28">
        <v>818745.33</v>
      </c>
      <c r="D386" s="28">
        <v>67002.94</v>
      </c>
    </row>
    <row r="387" spans="1:4" x14ac:dyDescent="0.25">
      <c r="A387" s="27"/>
      <c r="B387" s="27"/>
      <c r="C387" s="27"/>
      <c r="D387" s="27"/>
    </row>
    <row r="388" spans="1:4" x14ac:dyDescent="0.25">
      <c r="A388" s="27" t="s">
        <v>943</v>
      </c>
      <c r="B388" s="27"/>
      <c r="C388" s="27"/>
      <c r="D388" s="27"/>
    </row>
    <row r="389" spans="1:4" x14ac:dyDescent="0.25">
      <c r="A389" s="27"/>
      <c r="B389" s="27" t="s">
        <v>8</v>
      </c>
      <c r="C389" s="27" t="s">
        <v>8</v>
      </c>
      <c r="D389" s="27" t="s">
        <v>8</v>
      </c>
    </row>
    <row r="390" spans="1:4" x14ac:dyDescent="0.25">
      <c r="A390" s="27" t="s">
        <v>954</v>
      </c>
      <c r="B390" s="28">
        <v>36466281.210000001</v>
      </c>
      <c r="C390" s="28">
        <v>36466281.210000001</v>
      </c>
      <c r="D390" s="28"/>
    </row>
    <row r="391" spans="1:4" x14ac:dyDescent="0.25">
      <c r="A391" s="27"/>
      <c r="B391" s="27"/>
      <c r="C391" s="27"/>
      <c r="D391" s="27"/>
    </row>
    <row r="392" spans="1:4" x14ac:dyDescent="0.25">
      <c r="A392" s="27" t="s">
        <v>955</v>
      </c>
      <c r="B392" s="27"/>
      <c r="C392" s="27"/>
      <c r="D392" s="27"/>
    </row>
    <row r="393" spans="1:4" x14ac:dyDescent="0.25">
      <c r="A393" s="27"/>
      <c r="B393" s="27" t="s">
        <v>8</v>
      </c>
      <c r="C393" s="27" t="s">
        <v>8</v>
      </c>
      <c r="D393" s="27" t="s">
        <v>8</v>
      </c>
    </row>
    <row r="394" spans="1:4" x14ac:dyDescent="0.25">
      <c r="A394" s="27" t="s">
        <v>956</v>
      </c>
      <c r="B394" s="27"/>
      <c r="C394" s="27"/>
      <c r="D394" s="27"/>
    </row>
    <row r="395" spans="1:4" x14ac:dyDescent="0.25">
      <c r="A395" s="27"/>
      <c r="B395" s="27"/>
      <c r="C395" s="27"/>
      <c r="D395" s="27"/>
    </row>
    <row r="396" spans="1:4" x14ac:dyDescent="0.25">
      <c r="A396" s="27" t="s">
        <v>957</v>
      </c>
      <c r="B396" s="27"/>
      <c r="C396" s="27"/>
      <c r="D396" s="27"/>
    </row>
    <row r="397" spans="1:4" x14ac:dyDescent="0.25">
      <c r="A397" s="27"/>
      <c r="B397" s="27" t="s">
        <v>8</v>
      </c>
      <c r="C397" s="27" t="s">
        <v>8</v>
      </c>
      <c r="D397" s="27" t="s">
        <v>8</v>
      </c>
    </row>
    <row r="398" spans="1:4" x14ac:dyDescent="0.25">
      <c r="A398" s="27" t="s">
        <v>958</v>
      </c>
      <c r="B398" s="27"/>
      <c r="C398" s="27"/>
      <c r="D398" s="27"/>
    </row>
    <row r="399" spans="1:4" x14ac:dyDescent="0.25">
      <c r="A399" s="27"/>
      <c r="B399" s="27"/>
      <c r="C399" s="27"/>
      <c r="D399" s="27"/>
    </row>
    <row r="400" spans="1:4" x14ac:dyDescent="0.25">
      <c r="A400" s="27" t="s">
        <v>959</v>
      </c>
      <c r="B400" s="27"/>
      <c r="C400" s="27"/>
      <c r="D400" s="27"/>
    </row>
    <row r="401" spans="1:4" x14ac:dyDescent="0.25">
      <c r="A401" s="27"/>
      <c r="B401" s="27" t="s">
        <v>8</v>
      </c>
      <c r="C401" s="27" t="s">
        <v>8</v>
      </c>
      <c r="D401" s="27" t="s">
        <v>8</v>
      </c>
    </row>
    <row r="402" spans="1:4" x14ac:dyDescent="0.25">
      <c r="A402" s="27" t="s">
        <v>960</v>
      </c>
      <c r="B402" s="27"/>
      <c r="C402" s="27"/>
      <c r="D402" s="27"/>
    </row>
    <row r="403" spans="1:4" x14ac:dyDescent="0.25">
      <c r="A403" s="27"/>
      <c r="B403" s="27"/>
      <c r="C403" s="27"/>
      <c r="D403" s="27"/>
    </row>
    <row r="404" spans="1:4" x14ac:dyDescent="0.25">
      <c r="A404" s="27" t="s">
        <v>961</v>
      </c>
      <c r="B404" s="27"/>
      <c r="C404" s="27"/>
      <c r="D404" s="27"/>
    </row>
    <row r="405" spans="1:4" x14ac:dyDescent="0.25">
      <c r="A405" s="27"/>
      <c r="B405" s="27" t="s">
        <v>8</v>
      </c>
      <c r="C405" s="27" t="s">
        <v>8</v>
      </c>
      <c r="D405" s="27" t="s">
        <v>8</v>
      </c>
    </row>
    <row r="406" spans="1:4" x14ac:dyDescent="0.25">
      <c r="A406" s="27" t="s">
        <v>962</v>
      </c>
      <c r="B406" s="27"/>
      <c r="C406" s="27"/>
      <c r="D406" s="27"/>
    </row>
    <row r="407" spans="1:4" x14ac:dyDescent="0.25">
      <c r="A407" s="27"/>
      <c r="B407" s="27"/>
      <c r="C407" s="27"/>
      <c r="D407" s="27"/>
    </row>
    <row r="408" spans="1:4" x14ac:dyDescent="0.25">
      <c r="A408" s="27" t="s">
        <v>963</v>
      </c>
      <c r="B408" s="27"/>
      <c r="C408" s="27"/>
      <c r="D408" s="27"/>
    </row>
    <row r="409" spans="1:4" x14ac:dyDescent="0.25">
      <c r="A409" s="27"/>
      <c r="B409" s="27" t="s">
        <v>8</v>
      </c>
      <c r="C409" s="27" t="s">
        <v>8</v>
      </c>
      <c r="D409" s="27" t="s">
        <v>8</v>
      </c>
    </row>
    <row r="410" spans="1:4" x14ac:dyDescent="0.25">
      <c r="A410" s="27" t="s">
        <v>974</v>
      </c>
      <c r="B410" s="28">
        <v>9483662.4499999993</v>
      </c>
      <c r="C410" s="28">
        <v>15857016.949999999</v>
      </c>
      <c r="D410" s="28">
        <v>-6373354.5</v>
      </c>
    </row>
    <row r="411" spans="1:4" x14ac:dyDescent="0.25">
      <c r="A411" s="27"/>
      <c r="B411" s="27"/>
      <c r="C411" s="27"/>
      <c r="D411" s="27"/>
    </row>
    <row r="412" spans="1:4" x14ac:dyDescent="0.25">
      <c r="A412" s="27" t="s">
        <v>975</v>
      </c>
      <c r="B412" s="27"/>
      <c r="C412" s="27"/>
      <c r="D412" s="27"/>
    </row>
    <row r="413" spans="1:4" x14ac:dyDescent="0.25">
      <c r="A413" s="27"/>
      <c r="B413" s="27" t="s">
        <v>8</v>
      </c>
      <c r="C413" s="27" t="s">
        <v>8</v>
      </c>
      <c r="D413" s="27" t="s">
        <v>8</v>
      </c>
    </row>
    <row r="414" spans="1:4" x14ac:dyDescent="0.25">
      <c r="A414" s="27" t="s">
        <v>993</v>
      </c>
      <c r="B414" s="28">
        <v>1195310548.26</v>
      </c>
      <c r="C414" s="28">
        <v>1480124291.1400001</v>
      </c>
      <c r="D414" s="28">
        <v>-284813742.88</v>
      </c>
    </row>
    <row r="415" spans="1:4" x14ac:dyDescent="0.25">
      <c r="A415" s="27"/>
      <c r="B415" s="27"/>
      <c r="C415" s="27"/>
      <c r="D415" s="27"/>
    </row>
    <row r="416" spans="1:4" x14ac:dyDescent="0.25">
      <c r="A416" s="27" t="s">
        <v>994</v>
      </c>
      <c r="B416" s="27"/>
      <c r="C416" s="27"/>
      <c r="D416" s="27"/>
    </row>
    <row r="417" spans="1:4" x14ac:dyDescent="0.25">
      <c r="A417" s="27"/>
      <c r="B417" s="27" t="s">
        <v>8</v>
      </c>
      <c r="C417" s="27" t="s">
        <v>8</v>
      </c>
      <c r="D417" s="27" t="s">
        <v>8</v>
      </c>
    </row>
    <row r="418" spans="1:4" x14ac:dyDescent="0.25">
      <c r="A418" s="27" t="s">
        <v>1008</v>
      </c>
      <c r="B418" s="28">
        <v>26831371</v>
      </c>
      <c r="C418" s="28">
        <v>55231371</v>
      </c>
      <c r="D418" s="28">
        <v>-28400000</v>
      </c>
    </row>
    <row r="419" spans="1:4" x14ac:dyDescent="0.25">
      <c r="A419" s="27"/>
      <c r="B419" s="27"/>
      <c r="C419" s="27"/>
      <c r="D419" s="27"/>
    </row>
    <row r="420" spans="1:4" x14ac:dyDescent="0.25">
      <c r="A420" s="27" t="s">
        <v>1009</v>
      </c>
      <c r="B420" s="27"/>
      <c r="C420" s="27"/>
      <c r="D420" s="27"/>
    </row>
    <row r="421" spans="1:4" x14ac:dyDescent="0.25">
      <c r="A421" s="27"/>
      <c r="B421" s="27" t="s">
        <v>8</v>
      </c>
      <c r="C421" s="27" t="s">
        <v>8</v>
      </c>
      <c r="D421" s="27" t="s">
        <v>8</v>
      </c>
    </row>
    <row r="422" spans="1:4" x14ac:dyDescent="0.25">
      <c r="A422" s="27" t="s">
        <v>1013</v>
      </c>
      <c r="B422" s="28">
        <v>8694187.1300000008</v>
      </c>
      <c r="C422" s="28">
        <v>5798231.3099999996</v>
      </c>
      <c r="D422" s="28">
        <v>2895955.82</v>
      </c>
    </row>
    <row r="423" spans="1:4" x14ac:dyDescent="0.25">
      <c r="A423" s="27"/>
      <c r="B423" s="27"/>
      <c r="C423" s="27"/>
      <c r="D423" s="27"/>
    </row>
    <row r="424" spans="1:4" x14ac:dyDescent="0.25">
      <c r="A424" s="27" t="s">
        <v>1014</v>
      </c>
      <c r="B424" s="27"/>
      <c r="C424" s="27"/>
      <c r="D424" s="27"/>
    </row>
    <row r="425" spans="1:4" x14ac:dyDescent="0.25">
      <c r="A425" s="27"/>
      <c r="B425" s="27" t="s">
        <v>8</v>
      </c>
      <c r="C425" s="27" t="s">
        <v>8</v>
      </c>
      <c r="D425" s="27" t="s">
        <v>8</v>
      </c>
    </row>
    <row r="426" spans="1:4" x14ac:dyDescent="0.25">
      <c r="A426" s="27" t="s">
        <v>1019</v>
      </c>
      <c r="B426" s="27"/>
      <c r="C426" s="27"/>
      <c r="D426" s="27"/>
    </row>
    <row r="427" spans="1:4" x14ac:dyDescent="0.25">
      <c r="A427" s="27"/>
      <c r="B427" s="27"/>
      <c r="C427" s="27"/>
      <c r="D427" s="27"/>
    </row>
    <row r="428" spans="1:4" x14ac:dyDescent="0.25">
      <c r="A428" s="27" t="s">
        <v>1020</v>
      </c>
      <c r="B428" s="27"/>
      <c r="C428" s="27"/>
      <c r="D428" s="27"/>
    </row>
    <row r="429" spans="1:4" x14ac:dyDescent="0.25">
      <c r="A429" s="27"/>
      <c r="B429" s="27" t="s">
        <v>8</v>
      </c>
      <c r="C429" s="27" t="s">
        <v>8</v>
      </c>
      <c r="D429" s="27" t="s">
        <v>8</v>
      </c>
    </row>
    <row r="430" spans="1:4" x14ac:dyDescent="0.25">
      <c r="A430" s="27" t="s">
        <v>1030</v>
      </c>
      <c r="B430" s="28">
        <v>38561532.399999999</v>
      </c>
      <c r="C430" s="28">
        <v>39818848.450000003</v>
      </c>
      <c r="D430" s="28">
        <v>-1257316.05</v>
      </c>
    </row>
    <row r="431" spans="1:4" x14ac:dyDescent="0.25">
      <c r="A431" s="27"/>
      <c r="B431" s="27"/>
      <c r="C431" s="27"/>
      <c r="D431" s="27"/>
    </row>
    <row r="432" spans="1:4" x14ac:dyDescent="0.25">
      <c r="A432" s="27" t="s">
        <v>1031</v>
      </c>
      <c r="B432" s="27"/>
      <c r="C432" s="27"/>
      <c r="D432" s="27"/>
    </row>
    <row r="433" spans="1:4" x14ac:dyDescent="0.25">
      <c r="A433" s="27"/>
      <c r="B433" s="27" t="s">
        <v>8</v>
      </c>
      <c r="C433" s="27" t="s">
        <v>8</v>
      </c>
      <c r="D433" s="27" t="s">
        <v>8</v>
      </c>
    </row>
    <row r="434" spans="1:4" x14ac:dyDescent="0.25">
      <c r="A434" s="27" t="s">
        <v>1038</v>
      </c>
      <c r="B434" s="28">
        <v>1620000</v>
      </c>
      <c r="C434" s="28">
        <v>1620000</v>
      </c>
      <c r="D434" s="27"/>
    </row>
    <row r="435" spans="1:4" x14ac:dyDescent="0.25">
      <c r="A435" s="27"/>
      <c r="B435" s="27"/>
      <c r="C435" s="27"/>
      <c r="D435" s="27"/>
    </row>
    <row r="436" spans="1:4" x14ac:dyDescent="0.25">
      <c r="A436" s="27" t="s">
        <v>1039</v>
      </c>
      <c r="B436" s="27"/>
      <c r="C436" s="27"/>
      <c r="D436" s="27"/>
    </row>
    <row r="437" spans="1:4" x14ac:dyDescent="0.25">
      <c r="A437" s="27"/>
      <c r="B437" s="27" t="s">
        <v>8</v>
      </c>
      <c r="C437" s="27" t="s">
        <v>8</v>
      </c>
      <c r="D437" s="27" t="s">
        <v>8</v>
      </c>
    </row>
    <row r="438" spans="1:4" x14ac:dyDescent="0.25">
      <c r="A438" s="27" t="s">
        <v>1044</v>
      </c>
      <c r="B438" s="27"/>
      <c r="C438" s="27"/>
      <c r="D438" s="27"/>
    </row>
    <row r="439" spans="1:4" x14ac:dyDescent="0.25">
      <c r="A439" s="27"/>
      <c r="B439" s="27"/>
      <c r="C439" s="27"/>
      <c r="D439" s="27"/>
    </row>
    <row r="440" spans="1:4" x14ac:dyDescent="0.25">
      <c r="A440" s="27" t="s">
        <v>1045</v>
      </c>
      <c r="B440" s="27"/>
      <c r="C440" s="27"/>
      <c r="D440" s="27"/>
    </row>
    <row r="441" spans="1:4" x14ac:dyDescent="0.25">
      <c r="A441" s="27"/>
      <c r="B441" s="27" t="s">
        <v>8</v>
      </c>
      <c r="C441" s="27" t="s">
        <v>8</v>
      </c>
      <c r="D441" s="27" t="s">
        <v>8</v>
      </c>
    </row>
    <row r="442" spans="1:4" x14ac:dyDescent="0.25">
      <c r="A442" s="27" t="s">
        <v>1048</v>
      </c>
      <c r="B442" s="28">
        <v>4200000</v>
      </c>
      <c r="C442" s="28">
        <v>4200000</v>
      </c>
      <c r="D442" s="27"/>
    </row>
    <row r="443" spans="1:4" x14ac:dyDescent="0.25">
      <c r="A443" s="27"/>
      <c r="B443" s="27"/>
      <c r="C443" s="27"/>
      <c r="D443" s="27"/>
    </row>
    <row r="444" spans="1:4" x14ac:dyDescent="0.25">
      <c r="A444" s="27" t="s">
        <v>1049</v>
      </c>
      <c r="B444" s="27"/>
      <c r="C444" s="27"/>
      <c r="D444" s="27"/>
    </row>
    <row r="445" spans="1:4" x14ac:dyDescent="0.25">
      <c r="A445" s="27"/>
      <c r="B445" s="27" t="s">
        <v>8</v>
      </c>
      <c r="C445" s="27" t="s">
        <v>8</v>
      </c>
      <c r="D445" s="27" t="s">
        <v>8</v>
      </c>
    </row>
    <row r="446" spans="1:4" x14ac:dyDescent="0.25">
      <c r="A446" s="27" t="s">
        <v>1059</v>
      </c>
      <c r="B446" s="28">
        <v>22567388.5</v>
      </c>
      <c r="C446" s="28">
        <v>24692269.829999998</v>
      </c>
      <c r="D446" s="28">
        <v>-2124881.33</v>
      </c>
    </row>
    <row r="447" spans="1:4" x14ac:dyDescent="0.25">
      <c r="A447" s="27"/>
      <c r="B447" s="27"/>
      <c r="C447" s="27"/>
      <c r="D447" s="27"/>
    </row>
    <row r="448" spans="1:4" x14ac:dyDescent="0.25">
      <c r="A448" s="27" t="s">
        <v>1060</v>
      </c>
      <c r="B448" s="27"/>
      <c r="C448" s="27"/>
      <c r="D448" s="27"/>
    </row>
    <row r="449" spans="1:4" x14ac:dyDescent="0.25">
      <c r="A449" s="27"/>
      <c r="B449" s="27" t="s">
        <v>8</v>
      </c>
      <c r="C449" s="27" t="s">
        <v>8</v>
      </c>
      <c r="D449" s="27" t="s">
        <v>8</v>
      </c>
    </row>
    <row r="450" spans="1:4" x14ac:dyDescent="0.25">
      <c r="A450" s="27" t="s">
        <v>1066</v>
      </c>
      <c r="B450" s="28">
        <v>15849.79</v>
      </c>
      <c r="C450" s="28">
        <v>15849.79</v>
      </c>
      <c r="D450" s="27"/>
    </row>
    <row r="451" spans="1:4" x14ac:dyDescent="0.25">
      <c r="A451" s="27"/>
      <c r="B451" s="27"/>
      <c r="C451" s="27"/>
      <c r="D451" s="27"/>
    </row>
    <row r="452" spans="1:4" x14ac:dyDescent="0.25">
      <c r="A452" s="27" t="s">
        <v>1067</v>
      </c>
      <c r="B452" s="27"/>
      <c r="C452" s="27"/>
      <c r="D452" s="27"/>
    </row>
    <row r="453" spans="1:4" x14ac:dyDescent="0.25">
      <c r="A453" s="27"/>
      <c r="B453" s="27" t="s">
        <v>8</v>
      </c>
      <c r="C453" s="27" t="s">
        <v>8</v>
      </c>
      <c r="D453" s="27" t="s">
        <v>8</v>
      </c>
    </row>
    <row r="454" spans="1:4" x14ac:dyDescent="0.25">
      <c r="A454" s="27" t="s">
        <v>1068</v>
      </c>
      <c r="B454" s="27"/>
      <c r="C454" s="27"/>
      <c r="D454" s="27"/>
    </row>
    <row r="455" spans="1:4" x14ac:dyDescent="0.25">
      <c r="A455" s="27"/>
      <c r="B455" s="27"/>
      <c r="C455" s="27"/>
      <c r="D455" s="27"/>
    </row>
    <row r="456" spans="1:4" x14ac:dyDescent="0.25">
      <c r="A456" s="27" t="s">
        <v>1069</v>
      </c>
      <c r="B456" s="27"/>
      <c r="C456" s="27"/>
      <c r="D456" s="27"/>
    </row>
    <row r="457" spans="1:4" x14ac:dyDescent="0.25">
      <c r="A457" s="27"/>
      <c r="B457" s="27" t="s">
        <v>8</v>
      </c>
      <c r="C457" s="27" t="s">
        <v>8</v>
      </c>
      <c r="D457" s="27" t="s">
        <v>8</v>
      </c>
    </row>
    <row r="458" spans="1:4" x14ac:dyDescent="0.25">
      <c r="A458" s="27" t="s">
        <v>1081</v>
      </c>
      <c r="B458" s="28">
        <v>83201984.890000001</v>
      </c>
      <c r="C458" s="28">
        <v>108867387.78</v>
      </c>
      <c r="D458" s="28">
        <v>-25665402.890000001</v>
      </c>
    </row>
    <row r="459" spans="1:4" x14ac:dyDescent="0.25">
      <c r="A459" s="27"/>
      <c r="B459" s="27"/>
      <c r="C459" s="27"/>
      <c r="D459" s="27"/>
    </row>
    <row r="460" spans="1:4" x14ac:dyDescent="0.25">
      <c r="A460" s="27" t="s">
        <v>1082</v>
      </c>
      <c r="B460" s="27"/>
      <c r="C460" s="27"/>
      <c r="D460" s="27"/>
    </row>
    <row r="461" spans="1:4" x14ac:dyDescent="0.25">
      <c r="A461" s="27"/>
      <c r="B461" s="27" t="s">
        <v>8</v>
      </c>
      <c r="C461" s="27" t="s">
        <v>8</v>
      </c>
      <c r="D461" s="27" t="s">
        <v>8</v>
      </c>
    </row>
    <row r="462" spans="1:4" x14ac:dyDescent="0.25">
      <c r="A462" s="27" t="s">
        <v>1083</v>
      </c>
      <c r="B462" s="27"/>
      <c r="C462" s="27"/>
      <c r="D462" s="27"/>
    </row>
    <row r="463" spans="1:4" x14ac:dyDescent="0.25">
      <c r="A463" s="27"/>
      <c r="B463" s="27"/>
      <c r="C463" s="27"/>
      <c r="D463" s="27"/>
    </row>
    <row r="464" spans="1:4" x14ac:dyDescent="0.25">
      <c r="A464" s="27" t="s">
        <v>1084</v>
      </c>
      <c r="B464" s="27"/>
      <c r="C464" s="27"/>
      <c r="D464" s="27"/>
    </row>
    <row r="465" spans="1:4" x14ac:dyDescent="0.25">
      <c r="A465" s="27"/>
      <c r="B465" s="27" t="s">
        <v>8</v>
      </c>
      <c r="C465" s="27" t="s">
        <v>8</v>
      </c>
      <c r="D465" s="27" t="s">
        <v>8</v>
      </c>
    </row>
    <row r="466" spans="1:4" x14ac:dyDescent="0.25">
      <c r="A466" s="27" t="s">
        <v>1085</v>
      </c>
      <c r="B466" s="27"/>
      <c r="C466" s="27"/>
      <c r="D466" s="27"/>
    </row>
    <row r="467" spans="1:4" x14ac:dyDescent="0.25">
      <c r="A467" s="27"/>
      <c r="B467" s="27"/>
      <c r="C467" s="27"/>
      <c r="D467" s="27"/>
    </row>
    <row r="468" spans="1:4" x14ac:dyDescent="0.25">
      <c r="A468" s="27" t="s">
        <v>1086</v>
      </c>
      <c r="B468" s="27"/>
      <c r="C468" s="27"/>
      <c r="D468" s="27"/>
    </row>
    <row r="469" spans="1:4" x14ac:dyDescent="0.25">
      <c r="A469" s="27"/>
      <c r="B469" s="27" t="s">
        <v>8</v>
      </c>
      <c r="C469" s="27" t="s">
        <v>8</v>
      </c>
      <c r="D469" s="27" t="s">
        <v>8</v>
      </c>
    </row>
    <row r="470" spans="1:4" x14ac:dyDescent="0.25">
      <c r="A470" s="27" t="s">
        <v>1098</v>
      </c>
      <c r="B470" s="28">
        <v>54340185.450000003</v>
      </c>
      <c r="C470" s="28">
        <v>55000811.729999997</v>
      </c>
      <c r="D470" s="28">
        <v>-660626.28</v>
      </c>
    </row>
    <row r="471" spans="1:4" x14ac:dyDescent="0.25">
      <c r="A471" s="27"/>
      <c r="B471" s="27"/>
      <c r="C471" s="27"/>
      <c r="D471" s="27"/>
    </row>
    <row r="472" spans="1:4" x14ac:dyDescent="0.25">
      <c r="A472" s="27" t="s">
        <v>1099</v>
      </c>
      <c r="B472" s="27"/>
      <c r="C472" s="27"/>
      <c r="D472" s="27"/>
    </row>
    <row r="473" spans="1:4" x14ac:dyDescent="0.25">
      <c r="A473" s="27"/>
      <c r="B473" s="27" t="s">
        <v>8</v>
      </c>
      <c r="C473" s="27" t="s">
        <v>8</v>
      </c>
      <c r="D473" s="27" t="s">
        <v>8</v>
      </c>
    </row>
    <row r="474" spans="1:4" x14ac:dyDescent="0.25">
      <c r="A474" s="27" t="s">
        <v>1109</v>
      </c>
      <c r="B474" s="28">
        <v>11794264.439999999</v>
      </c>
      <c r="C474" s="28">
        <v>13003225.779999999</v>
      </c>
      <c r="D474" s="28">
        <v>-1208961.3400000001</v>
      </c>
    </row>
    <row r="475" spans="1:4" x14ac:dyDescent="0.25">
      <c r="A475" s="27"/>
      <c r="B475" s="27"/>
      <c r="C475" s="27"/>
      <c r="D475" s="27"/>
    </row>
    <row r="476" spans="1:4" x14ac:dyDescent="0.25">
      <c r="A476" s="27" t="s">
        <v>1110</v>
      </c>
      <c r="B476" s="27"/>
      <c r="C476" s="27"/>
      <c r="D476" s="27"/>
    </row>
    <row r="477" spans="1:4" x14ac:dyDescent="0.25">
      <c r="A477" s="27"/>
      <c r="B477" s="27" t="s">
        <v>8</v>
      </c>
      <c r="C477" s="27" t="s">
        <v>8</v>
      </c>
      <c r="D477" s="27" t="s">
        <v>8</v>
      </c>
    </row>
    <row r="478" spans="1:4" x14ac:dyDescent="0.25">
      <c r="A478" s="27" t="s">
        <v>1111</v>
      </c>
      <c r="B478" s="27"/>
      <c r="C478" s="27"/>
      <c r="D478" s="27"/>
    </row>
    <row r="479" spans="1:4" x14ac:dyDescent="0.25">
      <c r="A479" s="27"/>
      <c r="B479" s="27"/>
      <c r="C479" s="27"/>
      <c r="D479" s="27"/>
    </row>
    <row r="480" spans="1:4" x14ac:dyDescent="0.25">
      <c r="A480" s="27" t="s">
        <v>1112</v>
      </c>
      <c r="B480" s="27"/>
      <c r="C480" s="27"/>
      <c r="D480" s="27"/>
    </row>
    <row r="481" spans="1:4" x14ac:dyDescent="0.25">
      <c r="A481" s="27"/>
      <c r="B481" s="27" t="s">
        <v>8</v>
      </c>
      <c r="C481" s="27" t="s">
        <v>8</v>
      </c>
      <c r="D481" s="27" t="s">
        <v>8</v>
      </c>
    </row>
    <row r="482" spans="1:4" x14ac:dyDescent="0.25">
      <c r="A482" s="27" t="s">
        <v>1113</v>
      </c>
      <c r="B482" s="27"/>
      <c r="C482" s="27"/>
      <c r="D482" s="27"/>
    </row>
    <row r="483" spans="1:4" x14ac:dyDescent="0.25">
      <c r="A483" s="27"/>
      <c r="B483" s="27"/>
      <c r="C483" s="27"/>
      <c r="D483" s="27"/>
    </row>
    <row r="484" spans="1:4" x14ac:dyDescent="0.25">
      <c r="A484" s="27" t="s">
        <v>1114</v>
      </c>
      <c r="B484" s="27"/>
      <c r="C484" s="27"/>
      <c r="D484" s="27"/>
    </row>
    <row r="485" spans="1:4" x14ac:dyDescent="0.25">
      <c r="A485" s="27"/>
      <c r="B485" s="27" t="s">
        <v>8</v>
      </c>
      <c r="C485" s="27" t="s">
        <v>8</v>
      </c>
      <c r="D485" s="27" t="s">
        <v>8</v>
      </c>
    </row>
    <row r="486" spans="1:4" x14ac:dyDescent="0.25">
      <c r="A486" s="27" t="s">
        <v>1118</v>
      </c>
      <c r="B486" s="28">
        <v>17835333.32</v>
      </c>
      <c r="C486" s="28">
        <v>17835333.32</v>
      </c>
      <c r="D486" s="27"/>
    </row>
    <row r="487" spans="1:4" x14ac:dyDescent="0.25">
      <c r="A487" s="27"/>
      <c r="B487" s="27"/>
      <c r="C487" s="27"/>
      <c r="D487" s="27"/>
    </row>
    <row r="488" spans="1:4" x14ac:dyDescent="0.25">
      <c r="A488" s="27" t="s">
        <v>1119</v>
      </c>
      <c r="B488" s="27"/>
      <c r="C488" s="27"/>
      <c r="D488" s="27"/>
    </row>
    <row r="489" spans="1:4" x14ac:dyDescent="0.25">
      <c r="A489" s="27"/>
      <c r="B489" s="27" t="s">
        <v>8</v>
      </c>
      <c r="C489" s="27" t="s">
        <v>8</v>
      </c>
      <c r="D489" s="27" t="s">
        <v>8</v>
      </c>
    </row>
    <row r="490" spans="1:4" x14ac:dyDescent="0.25">
      <c r="A490" s="27" t="s">
        <v>1123</v>
      </c>
      <c r="B490" s="28">
        <v>13759546.73</v>
      </c>
      <c r="C490" s="28">
        <v>13759546.73</v>
      </c>
      <c r="D490" s="27"/>
    </row>
    <row r="491" spans="1:4" x14ac:dyDescent="0.25">
      <c r="A491" s="27"/>
      <c r="B491" s="27"/>
      <c r="C491" s="27"/>
      <c r="D491" s="27"/>
    </row>
    <row r="492" spans="1:4" x14ac:dyDescent="0.25">
      <c r="A492" s="27" t="s">
        <v>1124</v>
      </c>
      <c r="B492" s="27"/>
      <c r="C492" s="27"/>
      <c r="D492" s="27"/>
    </row>
    <row r="493" spans="1:4" x14ac:dyDescent="0.25">
      <c r="A493" s="27"/>
      <c r="B493" s="27" t="s">
        <v>8</v>
      </c>
      <c r="C493" s="27" t="s">
        <v>8</v>
      </c>
      <c r="D493" s="27" t="s">
        <v>8</v>
      </c>
    </row>
    <row r="494" spans="1:4" x14ac:dyDescent="0.25">
      <c r="A494" s="27" t="s">
        <v>1125</v>
      </c>
      <c r="B494" s="27"/>
      <c r="C494" s="27"/>
      <c r="D494" s="27"/>
    </row>
    <row r="495" spans="1:4" x14ac:dyDescent="0.25">
      <c r="A495" s="27"/>
      <c r="B495" s="27"/>
      <c r="C495" s="27"/>
      <c r="D495" s="27"/>
    </row>
    <row r="496" spans="1:4" x14ac:dyDescent="0.25">
      <c r="A496" s="27" t="s">
        <v>1126</v>
      </c>
      <c r="B496" s="27"/>
      <c r="C496" s="27"/>
      <c r="D496" s="27"/>
    </row>
    <row r="497" spans="1:4" x14ac:dyDescent="0.25">
      <c r="A497" s="27"/>
      <c r="B497" s="27" t="s">
        <v>8</v>
      </c>
      <c r="C497" s="27" t="s">
        <v>8</v>
      </c>
      <c r="D497" s="27" t="s">
        <v>8</v>
      </c>
    </row>
    <row r="498" spans="1:4" x14ac:dyDescent="0.25">
      <c r="A498" s="27" t="s">
        <v>1131</v>
      </c>
      <c r="B498" s="28">
        <v>176043.35</v>
      </c>
      <c r="C498" s="28">
        <v>16525891.84</v>
      </c>
      <c r="D498" s="28">
        <v>-16349848.49</v>
      </c>
    </row>
    <row r="499" spans="1:4" x14ac:dyDescent="0.25">
      <c r="A499" s="27"/>
      <c r="B499" s="27"/>
      <c r="C499" s="27"/>
      <c r="D499" s="27"/>
    </row>
    <row r="500" spans="1:4" x14ac:dyDescent="0.25">
      <c r="A500" s="27" t="s">
        <v>1132</v>
      </c>
      <c r="B500" s="27"/>
      <c r="C500" s="27"/>
      <c r="D500" s="27"/>
    </row>
    <row r="501" spans="1:4" x14ac:dyDescent="0.25">
      <c r="A501" s="27"/>
      <c r="B501" s="27" t="s">
        <v>8</v>
      </c>
      <c r="C501" s="27" t="s">
        <v>8</v>
      </c>
      <c r="D501" s="27" t="s">
        <v>8</v>
      </c>
    </row>
    <row r="502" spans="1:4" x14ac:dyDescent="0.25">
      <c r="A502" s="27" t="s">
        <v>1133</v>
      </c>
      <c r="B502" s="27"/>
      <c r="C502" s="27"/>
      <c r="D502" s="27"/>
    </row>
    <row r="503" spans="1:4" x14ac:dyDescent="0.25">
      <c r="A503" s="27"/>
      <c r="B503" s="27"/>
      <c r="C503" s="27"/>
      <c r="D503" s="27"/>
    </row>
    <row r="504" spans="1:4" x14ac:dyDescent="0.25">
      <c r="A504" s="27" t="s">
        <v>1134</v>
      </c>
      <c r="B504" s="27"/>
      <c r="C504" s="27"/>
      <c r="D504" s="27"/>
    </row>
    <row r="505" spans="1:4" x14ac:dyDescent="0.25">
      <c r="A505" s="27"/>
      <c r="B505" s="27" t="s">
        <v>8</v>
      </c>
      <c r="C505" s="27" t="s">
        <v>8</v>
      </c>
      <c r="D505" s="27" t="s">
        <v>8</v>
      </c>
    </row>
    <row r="506" spans="1:4" x14ac:dyDescent="0.25">
      <c r="A506" s="27" t="s">
        <v>1147</v>
      </c>
      <c r="B506" s="27"/>
      <c r="C506" s="27"/>
      <c r="D506" s="27"/>
    </row>
    <row r="507" spans="1:4" x14ac:dyDescent="0.25">
      <c r="A507" s="27"/>
      <c r="B507" s="27"/>
      <c r="C507" s="27"/>
      <c r="D507" s="27"/>
    </row>
    <row r="508" spans="1:4" x14ac:dyDescent="0.25">
      <c r="A508" s="27" t="s">
        <v>1148</v>
      </c>
      <c r="B508" s="27"/>
      <c r="C508" s="27"/>
      <c r="D508" s="27"/>
    </row>
    <row r="509" spans="1:4" x14ac:dyDescent="0.25">
      <c r="A509" s="27"/>
      <c r="B509" s="27" t="s">
        <v>8</v>
      </c>
      <c r="C509" s="27" t="s">
        <v>8</v>
      </c>
      <c r="D509" s="27" t="s">
        <v>8</v>
      </c>
    </row>
    <row r="510" spans="1:4" x14ac:dyDescent="0.25">
      <c r="A510" s="27" t="s">
        <v>1165</v>
      </c>
      <c r="B510" s="27"/>
      <c r="C510" s="27"/>
      <c r="D510" s="27"/>
    </row>
    <row r="511" spans="1:4" x14ac:dyDescent="0.25">
      <c r="A511" s="27"/>
      <c r="B511" s="27"/>
      <c r="C511" s="27"/>
      <c r="D511" s="27"/>
    </row>
    <row r="512" spans="1:4" x14ac:dyDescent="0.25">
      <c r="A512" s="27" t="s">
        <v>1166</v>
      </c>
      <c r="B512" s="27"/>
      <c r="C512" s="27"/>
      <c r="D512" s="27"/>
    </row>
    <row r="513" spans="1:4" x14ac:dyDescent="0.25">
      <c r="A513" s="27"/>
      <c r="B513" s="27" t="s">
        <v>8</v>
      </c>
      <c r="C513" s="27" t="s">
        <v>8</v>
      </c>
      <c r="D513" s="27" t="s">
        <v>8</v>
      </c>
    </row>
    <row r="514" spans="1:4" x14ac:dyDescent="0.25">
      <c r="A514" s="27" t="s">
        <v>1191</v>
      </c>
      <c r="B514" s="28">
        <v>189966847</v>
      </c>
      <c r="C514" s="28">
        <v>189966847</v>
      </c>
      <c r="D514" s="27"/>
    </row>
    <row r="515" spans="1:4" x14ac:dyDescent="0.25">
      <c r="A515" s="27"/>
      <c r="B515" s="27"/>
      <c r="C515" s="27"/>
      <c r="D515" s="27"/>
    </row>
    <row r="516" spans="1:4" x14ac:dyDescent="0.25">
      <c r="A516" s="27" t="s">
        <v>1192</v>
      </c>
      <c r="B516" s="27"/>
      <c r="C516" s="27"/>
      <c r="D516" s="27"/>
    </row>
    <row r="517" spans="1:4" x14ac:dyDescent="0.25">
      <c r="A517" s="27"/>
      <c r="B517" s="27" t="s">
        <v>8</v>
      </c>
      <c r="C517" s="27" t="s">
        <v>8</v>
      </c>
      <c r="D517" s="27" t="s">
        <v>8</v>
      </c>
    </row>
    <row r="518" spans="1:4" x14ac:dyDescent="0.25">
      <c r="A518" s="27" t="s">
        <v>1199</v>
      </c>
      <c r="B518" s="27"/>
      <c r="C518" s="27"/>
      <c r="D518" s="27"/>
    </row>
    <row r="519" spans="1:4" x14ac:dyDescent="0.25">
      <c r="A519" s="27"/>
      <c r="B519" s="27"/>
      <c r="C519" s="27"/>
      <c r="D519" s="27"/>
    </row>
    <row r="520" spans="1:4" x14ac:dyDescent="0.25">
      <c r="A520" s="27" t="s">
        <v>1200</v>
      </c>
      <c r="B520" s="27"/>
      <c r="C520" s="27"/>
      <c r="D520" s="27"/>
    </row>
    <row r="521" spans="1:4" x14ac:dyDescent="0.25">
      <c r="A521" s="27"/>
      <c r="B521" s="27" t="s">
        <v>8</v>
      </c>
      <c r="C521" s="27" t="s">
        <v>8</v>
      </c>
      <c r="D521" s="27" t="s">
        <v>8</v>
      </c>
    </row>
    <row r="522" spans="1:4" x14ac:dyDescent="0.25">
      <c r="A522" s="27" t="s">
        <v>1205</v>
      </c>
      <c r="B522" s="27"/>
      <c r="C522" s="27"/>
      <c r="D522" s="27"/>
    </row>
    <row r="523" spans="1:4" x14ac:dyDescent="0.25">
      <c r="A523" s="27"/>
      <c r="B523" s="27"/>
      <c r="C523" s="27"/>
      <c r="D523" s="27"/>
    </row>
    <row r="524" spans="1:4" x14ac:dyDescent="0.25">
      <c r="A524" s="27" t="s">
        <v>1206</v>
      </c>
      <c r="B524" s="27"/>
      <c r="C524" s="27"/>
      <c r="D524" s="27"/>
    </row>
    <row r="525" spans="1:4" x14ac:dyDescent="0.25">
      <c r="A525" s="27"/>
      <c r="B525" s="27" t="s">
        <v>8</v>
      </c>
      <c r="C525" s="27" t="s">
        <v>8</v>
      </c>
      <c r="D525" s="27" t="s">
        <v>8</v>
      </c>
    </row>
    <row r="526" spans="1:4" x14ac:dyDescent="0.25">
      <c r="A526" s="27" t="s">
        <v>1211</v>
      </c>
      <c r="B526" s="27"/>
      <c r="C526" s="27"/>
      <c r="D526" s="27"/>
    </row>
    <row r="527" spans="1:4" x14ac:dyDescent="0.25">
      <c r="A527" s="27"/>
      <c r="B527" s="27"/>
      <c r="C527" s="27"/>
      <c r="D527" s="27"/>
    </row>
    <row r="528" spans="1:4" x14ac:dyDescent="0.25">
      <c r="A528" s="27" t="s">
        <v>1212</v>
      </c>
      <c r="B528" s="27"/>
      <c r="C528" s="27"/>
      <c r="D528" s="27"/>
    </row>
    <row r="529" spans="1:4" x14ac:dyDescent="0.25">
      <c r="A529" s="27"/>
      <c r="B529" s="27" t="s">
        <v>8</v>
      </c>
      <c r="C529" s="27" t="s">
        <v>8</v>
      </c>
      <c r="D529" s="27" t="s">
        <v>8</v>
      </c>
    </row>
    <row r="530" spans="1:4" x14ac:dyDescent="0.25">
      <c r="A530" s="27" t="s">
        <v>1213</v>
      </c>
      <c r="B530" s="27"/>
      <c r="C530" s="27"/>
      <c r="D530" s="27"/>
    </row>
    <row r="531" spans="1:4" x14ac:dyDescent="0.25">
      <c r="A531" s="27"/>
      <c r="B531" s="27"/>
      <c r="C531" s="27"/>
      <c r="D531" s="27"/>
    </row>
    <row r="532" spans="1:4" x14ac:dyDescent="0.25">
      <c r="A532" s="27" t="s">
        <v>1214</v>
      </c>
      <c r="B532" s="27"/>
      <c r="C532" s="27"/>
      <c r="D532" s="27"/>
    </row>
    <row r="533" spans="1:4" x14ac:dyDescent="0.25">
      <c r="A533" s="27"/>
      <c r="B533" s="27" t="s">
        <v>8</v>
      </c>
      <c r="C533" s="27" t="s">
        <v>8</v>
      </c>
      <c r="D533" s="27" t="s">
        <v>8</v>
      </c>
    </row>
    <row r="534" spans="1:4" x14ac:dyDescent="0.25">
      <c r="A534" s="27" t="s">
        <v>1226</v>
      </c>
      <c r="B534" s="28">
        <v>24000940.829999998</v>
      </c>
      <c r="C534" s="28">
        <v>24000940.829999998</v>
      </c>
      <c r="D534" s="28"/>
    </row>
    <row r="535" spans="1:4" x14ac:dyDescent="0.25">
      <c r="A535" s="27"/>
      <c r="B535" s="27"/>
      <c r="C535" s="27"/>
      <c r="D535" s="27"/>
    </row>
    <row r="536" spans="1:4" x14ac:dyDescent="0.25">
      <c r="A536" s="27" t="s">
        <v>1227</v>
      </c>
      <c r="B536" s="27"/>
      <c r="C536" s="27"/>
      <c r="D536" s="27"/>
    </row>
    <row r="537" spans="1:4" x14ac:dyDescent="0.25">
      <c r="A537" s="27"/>
      <c r="B537" s="27" t="s">
        <v>8</v>
      </c>
      <c r="C537" s="27" t="s">
        <v>8</v>
      </c>
      <c r="D537" s="27" t="s">
        <v>8</v>
      </c>
    </row>
    <row r="538" spans="1:4" x14ac:dyDescent="0.25">
      <c r="A538" s="27" t="s">
        <v>1233</v>
      </c>
      <c r="B538" s="28">
        <v>4763879.0199999996</v>
      </c>
      <c r="C538" s="28">
        <v>5440861.5</v>
      </c>
      <c r="D538" s="28">
        <v>-676982.48</v>
      </c>
    </row>
    <row r="539" spans="1:4" x14ac:dyDescent="0.25">
      <c r="A539" s="27"/>
      <c r="B539" s="27"/>
      <c r="C539" s="27"/>
      <c r="D539" s="27"/>
    </row>
    <row r="540" spans="1:4" x14ac:dyDescent="0.25">
      <c r="A540" s="27" t="s">
        <v>1234</v>
      </c>
      <c r="B540" s="27"/>
      <c r="C540" s="27"/>
      <c r="D540" s="27"/>
    </row>
    <row r="541" spans="1:4" x14ac:dyDescent="0.25">
      <c r="A541" s="27"/>
      <c r="B541" s="27" t="s">
        <v>8</v>
      </c>
      <c r="C541" s="27" t="s">
        <v>8</v>
      </c>
      <c r="D541" s="27" t="s">
        <v>8</v>
      </c>
    </row>
    <row r="542" spans="1:4" x14ac:dyDescent="0.25">
      <c r="A542" s="27" t="s">
        <v>1240</v>
      </c>
      <c r="B542" s="28">
        <v>859676.35</v>
      </c>
      <c r="C542" s="28">
        <v>736493.76</v>
      </c>
      <c r="D542" s="28">
        <v>123182.59</v>
      </c>
    </row>
    <row r="543" spans="1:4" x14ac:dyDescent="0.25">
      <c r="A543" s="27"/>
      <c r="B543" s="27"/>
      <c r="C543" s="27"/>
      <c r="D543" s="27"/>
    </row>
    <row r="544" spans="1:4" x14ac:dyDescent="0.25">
      <c r="A544" s="27" t="s">
        <v>1241</v>
      </c>
      <c r="B544" s="27"/>
      <c r="C544" s="27"/>
      <c r="D544" s="27"/>
    </row>
    <row r="545" spans="1:4" x14ac:dyDescent="0.25">
      <c r="A545" s="27"/>
      <c r="B545" s="27" t="s">
        <v>8</v>
      </c>
      <c r="C545" s="27" t="s">
        <v>8</v>
      </c>
      <c r="D545" s="27" t="s">
        <v>8</v>
      </c>
    </row>
    <row r="546" spans="1:4" x14ac:dyDescent="0.25">
      <c r="A546" s="27" t="s">
        <v>1242</v>
      </c>
      <c r="B546" s="27"/>
      <c r="C546" s="27"/>
      <c r="D546" s="27"/>
    </row>
    <row r="547" spans="1:4" x14ac:dyDescent="0.25">
      <c r="A547" s="27"/>
      <c r="B547" s="27"/>
      <c r="C547" s="27"/>
      <c r="D547" s="27"/>
    </row>
    <row r="548" spans="1:4" x14ac:dyDescent="0.25">
      <c r="A548" s="27" t="s">
        <v>1243</v>
      </c>
      <c r="B548" s="27"/>
      <c r="C548" s="27"/>
      <c r="D548" s="27"/>
    </row>
    <row r="549" spans="1:4" x14ac:dyDescent="0.25">
      <c r="A549" s="27"/>
      <c r="B549" s="27" t="s">
        <v>8</v>
      </c>
      <c r="C549" s="27" t="s">
        <v>8</v>
      </c>
      <c r="D549" s="27" t="s">
        <v>8</v>
      </c>
    </row>
    <row r="550" spans="1:4" x14ac:dyDescent="0.25">
      <c r="A550" s="27" t="s">
        <v>1244</v>
      </c>
      <c r="B550" s="27"/>
      <c r="C550" s="27"/>
      <c r="D550" s="27"/>
    </row>
    <row r="551" spans="1:4" x14ac:dyDescent="0.25">
      <c r="A551" s="27"/>
      <c r="B551" s="27"/>
      <c r="C551" s="27"/>
      <c r="D551" s="27"/>
    </row>
    <row r="552" spans="1:4" x14ac:dyDescent="0.25">
      <c r="A552" s="27" t="s">
        <v>1245</v>
      </c>
      <c r="B552" s="27"/>
      <c r="C552" s="27"/>
      <c r="D552" s="27"/>
    </row>
    <row r="553" spans="1:4" x14ac:dyDescent="0.25">
      <c r="A553" s="27"/>
      <c r="B553" s="27" t="s">
        <v>8</v>
      </c>
      <c r="C553" s="27" t="s">
        <v>8</v>
      </c>
      <c r="D553" s="27" t="s">
        <v>8</v>
      </c>
    </row>
    <row r="554" spans="1:4" x14ac:dyDescent="0.25">
      <c r="A554" s="27" t="s">
        <v>1246</v>
      </c>
      <c r="B554" s="27"/>
      <c r="C554" s="27"/>
      <c r="D554" s="27"/>
    </row>
    <row r="555" spans="1:4" x14ac:dyDescent="0.25">
      <c r="A555" s="27"/>
      <c r="B555" s="27"/>
      <c r="C555" s="27"/>
      <c r="D555" s="27"/>
    </row>
    <row r="556" spans="1:4" x14ac:dyDescent="0.25">
      <c r="A556" s="27" t="s">
        <v>1247</v>
      </c>
      <c r="B556" s="27"/>
      <c r="C556" s="27"/>
      <c r="D556" s="27"/>
    </row>
    <row r="557" spans="1:4" x14ac:dyDescent="0.25">
      <c r="A557" s="27"/>
      <c r="B557" s="27" t="s">
        <v>8</v>
      </c>
      <c r="C557" s="27" t="s">
        <v>8</v>
      </c>
      <c r="D557" s="27" t="s">
        <v>8</v>
      </c>
    </row>
    <row r="558" spans="1:4" x14ac:dyDescent="0.25">
      <c r="A558" s="27" t="s">
        <v>1248</v>
      </c>
      <c r="B558" s="27"/>
      <c r="C558" s="27"/>
      <c r="D558" s="27"/>
    </row>
    <row r="559" spans="1:4" x14ac:dyDescent="0.25">
      <c r="A559" s="27"/>
      <c r="B559" s="27"/>
      <c r="C559" s="27"/>
      <c r="D559" s="27"/>
    </row>
    <row r="560" spans="1:4" x14ac:dyDescent="0.25">
      <c r="A560" s="27" t="s">
        <v>1249</v>
      </c>
      <c r="B560" s="27"/>
      <c r="C560" s="27"/>
      <c r="D560" s="27"/>
    </row>
    <row r="561" spans="1:4" x14ac:dyDescent="0.25">
      <c r="A561" s="27"/>
      <c r="B561" s="27" t="s">
        <v>8</v>
      </c>
      <c r="C561" s="27" t="s">
        <v>8</v>
      </c>
      <c r="D561" s="27" t="s">
        <v>8</v>
      </c>
    </row>
    <row r="562" spans="1:4" x14ac:dyDescent="0.25">
      <c r="A562" s="27" t="s">
        <v>1250</v>
      </c>
      <c r="B562" s="27"/>
      <c r="C562" s="27"/>
      <c r="D562" s="27"/>
    </row>
    <row r="563" spans="1:4" x14ac:dyDescent="0.25">
      <c r="A563" s="27"/>
      <c r="B563" s="27"/>
      <c r="C563" s="27"/>
      <c r="D563" s="27"/>
    </row>
    <row r="564" spans="1:4" x14ac:dyDescent="0.25">
      <c r="A564" s="27" t="s">
        <v>1251</v>
      </c>
      <c r="B564" s="27"/>
      <c r="C564" s="27"/>
      <c r="D564" s="27"/>
    </row>
    <row r="565" spans="1:4" x14ac:dyDescent="0.25">
      <c r="A565" s="27"/>
      <c r="B565" s="27" t="s">
        <v>8</v>
      </c>
      <c r="C565" s="27" t="s">
        <v>8</v>
      </c>
      <c r="D565" s="27" t="s">
        <v>8</v>
      </c>
    </row>
    <row r="566" spans="1:4" x14ac:dyDescent="0.25">
      <c r="A566" s="27" t="s">
        <v>1252</v>
      </c>
      <c r="B566" s="27"/>
      <c r="C566" s="27"/>
      <c r="D566" s="27"/>
    </row>
    <row r="567" spans="1:4" x14ac:dyDescent="0.25">
      <c r="A567" s="27"/>
      <c r="B567" s="27"/>
      <c r="C567" s="27"/>
      <c r="D567" s="27"/>
    </row>
    <row r="568" spans="1:4" x14ac:dyDescent="0.25">
      <c r="A568" s="27" t="s">
        <v>1253</v>
      </c>
      <c r="B568" s="27"/>
      <c r="C568" s="27"/>
      <c r="D568" s="27"/>
    </row>
    <row r="569" spans="1:4" x14ac:dyDescent="0.25">
      <c r="A569" s="27"/>
      <c r="B569" s="27" t="s">
        <v>8</v>
      </c>
      <c r="C569" s="27" t="s">
        <v>8</v>
      </c>
      <c r="D569" s="27" t="s">
        <v>8</v>
      </c>
    </row>
    <row r="570" spans="1:4" x14ac:dyDescent="0.25">
      <c r="A570" s="27" t="s">
        <v>1254</v>
      </c>
      <c r="B570" s="27"/>
      <c r="C570" s="27"/>
      <c r="D570" s="27"/>
    </row>
    <row r="571" spans="1:4" x14ac:dyDescent="0.25">
      <c r="A571" s="27"/>
      <c r="B571" s="27"/>
      <c r="C571" s="27"/>
      <c r="D571" s="27"/>
    </row>
    <row r="572" spans="1:4" x14ac:dyDescent="0.25">
      <c r="A572" s="27" t="s">
        <v>1255</v>
      </c>
      <c r="B572" s="27"/>
      <c r="C572" s="27"/>
      <c r="D572" s="27"/>
    </row>
    <row r="573" spans="1:4" x14ac:dyDescent="0.25">
      <c r="A573" s="27"/>
      <c r="B573" s="27" t="s">
        <v>8</v>
      </c>
      <c r="C573" s="27" t="s">
        <v>8</v>
      </c>
      <c r="D573" s="27" t="s">
        <v>8</v>
      </c>
    </row>
    <row r="574" spans="1:4" x14ac:dyDescent="0.25">
      <c r="A574" s="27" t="s">
        <v>1256</v>
      </c>
      <c r="B574" s="27"/>
      <c r="C574" s="27"/>
      <c r="D574" s="27"/>
    </row>
    <row r="575" spans="1:4" x14ac:dyDescent="0.25">
      <c r="A575" s="27"/>
      <c r="B575" s="27"/>
      <c r="C575" s="27"/>
      <c r="D575" s="27"/>
    </row>
    <row r="576" spans="1:4" x14ac:dyDescent="0.25">
      <c r="A576" s="27" t="s">
        <v>1257</v>
      </c>
      <c r="B576" s="27"/>
      <c r="C576" s="27"/>
      <c r="D576" s="27"/>
    </row>
    <row r="577" spans="1:4" x14ac:dyDescent="0.25">
      <c r="A577" s="27"/>
      <c r="B577" s="27" t="s">
        <v>8</v>
      </c>
      <c r="C577" s="27" t="s">
        <v>8</v>
      </c>
      <c r="D577" s="27" t="s">
        <v>8</v>
      </c>
    </row>
    <row r="578" spans="1:4" x14ac:dyDescent="0.25">
      <c r="A578" s="27" t="s">
        <v>1258</v>
      </c>
      <c r="B578" s="27"/>
      <c r="C578" s="27"/>
      <c r="D578" s="27"/>
    </row>
    <row r="579" spans="1:4" x14ac:dyDescent="0.25">
      <c r="A579" s="27"/>
      <c r="B579" s="27"/>
      <c r="C579" s="27"/>
      <c r="D579" s="27"/>
    </row>
    <row r="580" spans="1:4" x14ac:dyDescent="0.25">
      <c r="A580" s="27" t="s">
        <v>1259</v>
      </c>
      <c r="B580" s="27"/>
      <c r="C580" s="27"/>
      <c r="D580" s="27"/>
    </row>
    <row r="581" spans="1:4" x14ac:dyDescent="0.25">
      <c r="A581" s="27"/>
      <c r="B581" s="27" t="s">
        <v>8</v>
      </c>
      <c r="C581" s="27" t="s">
        <v>8</v>
      </c>
      <c r="D581" s="27" t="s">
        <v>8</v>
      </c>
    </row>
    <row r="582" spans="1:4" x14ac:dyDescent="0.25">
      <c r="A582" s="27" t="s">
        <v>1260</v>
      </c>
      <c r="B582" s="27"/>
      <c r="C582" s="27"/>
      <c r="D582" s="27"/>
    </row>
    <row r="583" spans="1:4" x14ac:dyDescent="0.25">
      <c r="A583" s="27"/>
      <c r="B583" s="27"/>
      <c r="C583" s="27"/>
      <c r="D583" s="27"/>
    </row>
    <row r="584" spans="1:4" x14ac:dyDescent="0.25">
      <c r="A584" s="27" t="s">
        <v>1261</v>
      </c>
      <c r="B584" s="27"/>
      <c r="C584" s="27"/>
      <c r="D584" s="27"/>
    </row>
    <row r="585" spans="1:4" x14ac:dyDescent="0.25">
      <c r="A585" s="27"/>
      <c r="B585" s="27" t="s">
        <v>8</v>
      </c>
      <c r="C585" s="27" t="s">
        <v>8</v>
      </c>
      <c r="D585" s="27" t="s">
        <v>8</v>
      </c>
    </row>
    <row r="586" spans="1:4" x14ac:dyDescent="0.25">
      <c r="A586" s="27" t="s">
        <v>1262</v>
      </c>
      <c r="B586" s="27"/>
      <c r="C586" s="27"/>
      <c r="D586" s="27"/>
    </row>
    <row r="587" spans="1:4" x14ac:dyDescent="0.25">
      <c r="A587" s="27"/>
      <c r="B587" s="27"/>
      <c r="C587" s="27"/>
      <c r="D587" s="27"/>
    </row>
    <row r="588" spans="1:4" x14ac:dyDescent="0.25">
      <c r="A588" s="27" t="s">
        <v>1263</v>
      </c>
      <c r="B588" s="27"/>
      <c r="C588" s="27"/>
      <c r="D588" s="27"/>
    </row>
    <row r="589" spans="1:4" x14ac:dyDescent="0.25">
      <c r="A589" s="27"/>
      <c r="B589" s="27" t="s">
        <v>8</v>
      </c>
      <c r="C589" s="27" t="s">
        <v>8</v>
      </c>
      <c r="D589" s="27" t="s">
        <v>8</v>
      </c>
    </row>
    <row r="590" spans="1:4" x14ac:dyDescent="0.25">
      <c r="A590" s="27" t="s">
        <v>1264</v>
      </c>
      <c r="B590" s="27"/>
      <c r="C590" s="27"/>
      <c r="D590" s="27"/>
    </row>
    <row r="591" spans="1:4" x14ac:dyDescent="0.25">
      <c r="A591" s="27"/>
      <c r="B591" s="27"/>
      <c r="C591" s="27"/>
      <c r="D591" s="27"/>
    </row>
    <row r="592" spans="1:4" x14ac:dyDescent="0.25">
      <c r="A592" s="27" t="s">
        <v>1265</v>
      </c>
      <c r="B592" s="27"/>
      <c r="C592" s="27"/>
      <c r="D592" s="27"/>
    </row>
    <row r="593" spans="1:4" x14ac:dyDescent="0.25">
      <c r="A593" s="27"/>
      <c r="B593" s="27" t="s">
        <v>8</v>
      </c>
      <c r="C593" s="27" t="s">
        <v>8</v>
      </c>
      <c r="D593" s="27" t="s">
        <v>8</v>
      </c>
    </row>
    <row r="594" spans="1:4" x14ac:dyDescent="0.25">
      <c r="A594" s="27" t="s">
        <v>1266</v>
      </c>
      <c r="B594" s="27"/>
      <c r="C594" s="27"/>
      <c r="D594" s="27"/>
    </row>
    <row r="595" spans="1:4" x14ac:dyDescent="0.25">
      <c r="A595" s="27"/>
      <c r="B595" s="27"/>
      <c r="C595" s="27"/>
      <c r="D595" s="27"/>
    </row>
    <row r="596" spans="1:4" x14ac:dyDescent="0.25">
      <c r="A596" s="27" t="s">
        <v>1267</v>
      </c>
      <c r="B596" s="27"/>
      <c r="C596" s="27"/>
      <c r="D596" s="27"/>
    </row>
    <row r="597" spans="1:4" x14ac:dyDescent="0.25">
      <c r="A597" s="27"/>
      <c r="B597" s="27" t="s">
        <v>8</v>
      </c>
      <c r="C597" s="27" t="s">
        <v>8</v>
      </c>
      <c r="D597" s="27" t="s">
        <v>8</v>
      </c>
    </row>
    <row r="598" spans="1:4" x14ac:dyDescent="0.25">
      <c r="A598" s="27" t="s">
        <v>1268</v>
      </c>
      <c r="B598" s="27"/>
      <c r="C598" s="27"/>
      <c r="D598" s="27"/>
    </row>
    <row r="599" spans="1:4" x14ac:dyDescent="0.25">
      <c r="A599" s="27"/>
      <c r="B599" s="27"/>
      <c r="C599" s="27"/>
      <c r="D599" s="27"/>
    </row>
    <row r="600" spans="1:4" x14ac:dyDescent="0.25">
      <c r="A600" s="27" t="s">
        <v>1269</v>
      </c>
      <c r="B600" s="27"/>
      <c r="C600" s="27"/>
      <c r="D600" s="27"/>
    </row>
    <row r="601" spans="1:4" x14ac:dyDescent="0.25">
      <c r="A601" s="27"/>
      <c r="B601" s="27" t="s">
        <v>8</v>
      </c>
      <c r="C601" s="27" t="s">
        <v>8</v>
      </c>
      <c r="D601" s="27" t="s">
        <v>8</v>
      </c>
    </row>
    <row r="602" spans="1:4" x14ac:dyDescent="0.25">
      <c r="A602" s="27" t="s">
        <v>1272</v>
      </c>
      <c r="B602" s="27"/>
      <c r="C602" s="27"/>
      <c r="D602" s="27"/>
    </row>
    <row r="603" spans="1:4" x14ac:dyDescent="0.25">
      <c r="A603" s="27"/>
      <c r="B603" s="27"/>
      <c r="C603" s="27"/>
      <c r="D603" s="27"/>
    </row>
    <row r="604" spans="1:4" x14ac:dyDescent="0.25">
      <c r="A604" s="27" t="s">
        <v>1273</v>
      </c>
      <c r="B604" s="27"/>
      <c r="C604" s="27"/>
      <c r="D604" s="27"/>
    </row>
    <row r="605" spans="1:4" x14ac:dyDescent="0.25">
      <c r="A605" s="27"/>
      <c r="B605" s="27" t="s">
        <v>8</v>
      </c>
      <c r="C605" s="27" t="s">
        <v>8</v>
      </c>
      <c r="D605" s="27" t="s">
        <v>8</v>
      </c>
    </row>
    <row r="606" spans="1:4" x14ac:dyDescent="0.25">
      <c r="A606" s="27" t="s">
        <v>1274</v>
      </c>
      <c r="B606" s="27"/>
      <c r="C606" s="27"/>
      <c r="D606" s="27"/>
    </row>
    <row r="607" spans="1:4" x14ac:dyDescent="0.25">
      <c r="A607" s="27"/>
      <c r="B607" s="27"/>
      <c r="C607" s="27"/>
      <c r="D607" s="27"/>
    </row>
    <row r="608" spans="1:4" x14ac:dyDescent="0.25">
      <c r="A608" s="27" t="s">
        <v>1275</v>
      </c>
      <c r="B608" s="27"/>
      <c r="C608" s="27"/>
      <c r="D608" s="27"/>
    </row>
    <row r="609" spans="1:4" x14ac:dyDescent="0.25">
      <c r="A609" s="27"/>
      <c r="B609" s="27" t="s">
        <v>8</v>
      </c>
      <c r="C609" s="27" t="s">
        <v>8</v>
      </c>
      <c r="D609" s="27" t="s">
        <v>8</v>
      </c>
    </row>
    <row r="610" spans="1:4" x14ac:dyDescent="0.25">
      <c r="A610" s="27" t="s">
        <v>1282</v>
      </c>
      <c r="B610" s="27"/>
      <c r="C610" s="27"/>
      <c r="D610" s="27"/>
    </row>
    <row r="611" spans="1:4" x14ac:dyDescent="0.25">
      <c r="A611" s="27"/>
      <c r="B611" s="27"/>
      <c r="C611" s="27"/>
      <c r="D611" s="27"/>
    </row>
    <row r="612" spans="1:4" x14ac:dyDescent="0.25">
      <c r="A612" s="27" t="s">
        <v>1283</v>
      </c>
      <c r="B612" s="27"/>
      <c r="C612" s="27"/>
      <c r="D612" s="27"/>
    </row>
    <row r="613" spans="1:4" x14ac:dyDescent="0.25">
      <c r="A613" s="27"/>
      <c r="B613" s="27" t="s">
        <v>8</v>
      </c>
      <c r="C613" s="27" t="s">
        <v>8</v>
      </c>
      <c r="D613" s="27" t="s">
        <v>8</v>
      </c>
    </row>
    <row r="614" spans="1:4" x14ac:dyDescent="0.25">
      <c r="A614" s="27" t="s">
        <v>1284</v>
      </c>
      <c r="B614" s="27"/>
      <c r="C614" s="27"/>
      <c r="D614" s="27"/>
    </row>
    <row r="615" spans="1:4" x14ac:dyDescent="0.25">
      <c r="A615" s="27"/>
      <c r="B615" s="27"/>
      <c r="C615" s="27"/>
      <c r="D615" s="27"/>
    </row>
    <row r="616" spans="1:4" x14ac:dyDescent="0.25">
      <c r="A616" s="27" t="s">
        <v>1285</v>
      </c>
      <c r="B616" s="27"/>
      <c r="C616" s="27"/>
      <c r="D616" s="27"/>
    </row>
    <row r="617" spans="1:4" x14ac:dyDescent="0.25">
      <c r="A617" s="27"/>
      <c r="B617" s="27" t="s">
        <v>8</v>
      </c>
      <c r="C617" s="27" t="s">
        <v>8</v>
      </c>
      <c r="D617" s="27" t="s">
        <v>8</v>
      </c>
    </row>
    <row r="618" spans="1:4" x14ac:dyDescent="0.25">
      <c r="A618" s="27" t="s">
        <v>1286</v>
      </c>
      <c r="B618" s="27"/>
      <c r="C618" s="27"/>
      <c r="D618" s="27"/>
    </row>
    <row r="619" spans="1:4" x14ac:dyDescent="0.25">
      <c r="A619" s="27"/>
      <c r="B619" s="27"/>
      <c r="C619" s="27"/>
      <c r="D619" s="27"/>
    </row>
    <row r="620" spans="1:4" x14ac:dyDescent="0.25">
      <c r="A620" s="27" t="s">
        <v>1287</v>
      </c>
      <c r="B620" s="27"/>
      <c r="C620" s="27"/>
      <c r="D620" s="27"/>
    </row>
    <row r="621" spans="1:4" x14ac:dyDescent="0.25">
      <c r="A621" s="27"/>
      <c r="B621" s="27" t="s">
        <v>8</v>
      </c>
      <c r="C621" s="27" t="s">
        <v>8</v>
      </c>
      <c r="D621" s="27" t="s">
        <v>8</v>
      </c>
    </row>
    <row r="622" spans="1:4" x14ac:dyDescent="0.25">
      <c r="A622" s="27" t="s">
        <v>1288</v>
      </c>
      <c r="B622" s="27"/>
      <c r="C622" s="27"/>
      <c r="D622" s="27"/>
    </row>
    <row r="623" spans="1:4" x14ac:dyDescent="0.25">
      <c r="A623" s="27"/>
      <c r="B623" s="27" t="s">
        <v>8</v>
      </c>
      <c r="C623" s="27" t="s">
        <v>8</v>
      </c>
      <c r="D623" s="27" t="s">
        <v>8</v>
      </c>
    </row>
    <row r="624" spans="1:4" x14ac:dyDescent="0.25">
      <c r="A624" s="27" t="s">
        <v>1289</v>
      </c>
      <c r="B624" s="28">
        <v>1841555084.1800001</v>
      </c>
      <c r="C624" s="28">
        <v>2206829042.3400002</v>
      </c>
      <c r="D624" s="28">
        <v>-365273958.16000003</v>
      </c>
    </row>
    <row r="625" spans="1:4" x14ac:dyDescent="0.25">
      <c r="A625" s="27"/>
      <c r="B625" s="27"/>
      <c r="C625" s="27"/>
      <c r="D625" s="27"/>
    </row>
    <row r="626" spans="1:4" x14ac:dyDescent="0.25">
      <c r="A626" s="27" t="s">
        <v>1290</v>
      </c>
      <c r="B626" s="27"/>
      <c r="C626" s="27"/>
      <c r="D626" s="27"/>
    </row>
    <row r="627" spans="1:4" x14ac:dyDescent="0.25">
      <c r="A627" s="27"/>
      <c r="B627" s="27"/>
      <c r="C627" s="27"/>
      <c r="D627" s="27"/>
    </row>
    <row r="628" spans="1:4" x14ac:dyDescent="0.25">
      <c r="A628" s="27" t="s">
        <v>1291</v>
      </c>
      <c r="B628" s="27"/>
      <c r="C628" s="27"/>
      <c r="D628" s="27"/>
    </row>
    <row r="629" spans="1:4" x14ac:dyDescent="0.25">
      <c r="A629" s="27"/>
      <c r="B629" s="27" t="s">
        <v>8</v>
      </c>
      <c r="C629" s="27" t="s">
        <v>8</v>
      </c>
      <c r="D629" s="27" t="s">
        <v>8</v>
      </c>
    </row>
    <row r="630" spans="1:4" x14ac:dyDescent="0.25">
      <c r="A630" s="27" t="s">
        <v>1297</v>
      </c>
      <c r="B630" s="27"/>
      <c r="C630" s="28">
        <v>9175000</v>
      </c>
      <c r="D630" s="28">
        <v>-9175000</v>
      </c>
    </row>
    <row r="631" spans="1:4" x14ac:dyDescent="0.25">
      <c r="A631" s="27"/>
      <c r="B631" s="27"/>
      <c r="C631" s="27"/>
      <c r="D631" s="27"/>
    </row>
    <row r="632" spans="1:4" x14ac:dyDescent="0.25">
      <c r="A632" s="27" t="s">
        <v>1298</v>
      </c>
      <c r="B632" s="27"/>
      <c r="C632" s="27"/>
      <c r="D632" s="27"/>
    </row>
    <row r="633" spans="1:4" x14ac:dyDescent="0.25">
      <c r="A633" s="27"/>
      <c r="B633" s="27" t="s">
        <v>8</v>
      </c>
      <c r="C633" s="27" t="s">
        <v>8</v>
      </c>
      <c r="D633" s="27" t="s">
        <v>8</v>
      </c>
    </row>
    <row r="634" spans="1:4" x14ac:dyDescent="0.25">
      <c r="A634" s="27" t="s">
        <v>1301</v>
      </c>
      <c r="B634" s="27"/>
      <c r="C634" s="27"/>
      <c r="D634" s="27"/>
    </row>
    <row r="635" spans="1:4" x14ac:dyDescent="0.25">
      <c r="A635" s="27"/>
      <c r="B635" s="27"/>
      <c r="C635" s="27"/>
      <c r="D635" s="27"/>
    </row>
    <row r="636" spans="1:4" x14ac:dyDescent="0.25">
      <c r="A636" s="27" t="s">
        <v>1302</v>
      </c>
      <c r="B636" s="27"/>
      <c r="C636" s="27"/>
      <c r="D636" s="27"/>
    </row>
    <row r="637" spans="1:4" x14ac:dyDescent="0.25">
      <c r="A637" s="27"/>
      <c r="B637" s="27" t="s">
        <v>8</v>
      </c>
      <c r="C637" s="27" t="s">
        <v>8</v>
      </c>
      <c r="D637" s="27" t="s">
        <v>8</v>
      </c>
    </row>
    <row r="638" spans="1:4" x14ac:dyDescent="0.25">
      <c r="A638" s="27" t="s">
        <v>1306</v>
      </c>
      <c r="B638" s="27"/>
      <c r="C638" s="28">
        <v>109706817.76000001</v>
      </c>
      <c r="D638" s="28">
        <v>-109706817.76000001</v>
      </c>
    </row>
    <row r="639" spans="1:4" x14ac:dyDescent="0.25">
      <c r="A639" s="27"/>
      <c r="B639" s="27"/>
      <c r="C639" s="27"/>
      <c r="D639" s="27"/>
    </row>
    <row r="640" spans="1:4" x14ac:dyDescent="0.25">
      <c r="A640" s="27" t="s">
        <v>1307</v>
      </c>
      <c r="B640" s="27"/>
      <c r="C640" s="27"/>
      <c r="D640" s="27"/>
    </row>
    <row r="641" spans="1:4" x14ac:dyDescent="0.25">
      <c r="A641" s="27"/>
      <c r="B641" s="27" t="s">
        <v>8</v>
      </c>
      <c r="C641" s="27" t="s">
        <v>8</v>
      </c>
      <c r="D641" s="27" t="s">
        <v>8</v>
      </c>
    </row>
    <row r="642" spans="1:4" x14ac:dyDescent="0.25">
      <c r="A642" s="27" t="s">
        <v>1310</v>
      </c>
      <c r="B642" s="27"/>
      <c r="C642" s="27"/>
      <c r="D642" s="27"/>
    </row>
    <row r="643" spans="1:4" x14ac:dyDescent="0.25">
      <c r="A643" s="27"/>
      <c r="B643" s="27"/>
      <c r="C643" s="27"/>
      <c r="D643" s="27"/>
    </row>
    <row r="644" spans="1:4" x14ac:dyDescent="0.25">
      <c r="A644" s="27" t="s">
        <v>1311</v>
      </c>
      <c r="B644" s="27"/>
      <c r="C644" s="27"/>
      <c r="D644" s="27"/>
    </row>
    <row r="645" spans="1:4" x14ac:dyDescent="0.25">
      <c r="A645" s="27"/>
      <c r="B645" s="27" t="s">
        <v>8</v>
      </c>
      <c r="C645" s="27" t="s">
        <v>8</v>
      </c>
      <c r="D645" s="27" t="s">
        <v>8</v>
      </c>
    </row>
    <row r="646" spans="1:4" x14ac:dyDescent="0.25">
      <c r="A646" s="27" t="s">
        <v>1312</v>
      </c>
      <c r="B646" s="27"/>
      <c r="C646" s="27"/>
      <c r="D646" s="27"/>
    </row>
    <row r="647" spans="1:4" x14ac:dyDescent="0.25">
      <c r="A647" s="27"/>
      <c r="B647" s="27"/>
      <c r="C647" s="27"/>
      <c r="D647" s="27"/>
    </row>
    <row r="648" spans="1:4" x14ac:dyDescent="0.25">
      <c r="A648" s="27" t="s">
        <v>1313</v>
      </c>
      <c r="B648" s="27"/>
      <c r="C648" s="27"/>
      <c r="D648" s="27"/>
    </row>
    <row r="649" spans="1:4" x14ac:dyDescent="0.25">
      <c r="A649" s="27"/>
      <c r="B649" s="27" t="s">
        <v>8</v>
      </c>
      <c r="C649" s="27" t="s">
        <v>8</v>
      </c>
      <c r="D649" s="27" t="s">
        <v>8</v>
      </c>
    </row>
    <row r="650" spans="1:4" x14ac:dyDescent="0.25">
      <c r="A650" s="27" t="s">
        <v>1314</v>
      </c>
      <c r="B650" s="27"/>
      <c r="C650" s="27"/>
      <c r="D650" s="27"/>
    </row>
    <row r="651" spans="1:4" x14ac:dyDescent="0.25">
      <c r="A651" s="27"/>
      <c r="B651" s="27"/>
      <c r="C651" s="27"/>
      <c r="D651" s="27"/>
    </row>
    <row r="652" spans="1:4" x14ac:dyDescent="0.25">
      <c r="A652" s="27" t="s">
        <v>1315</v>
      </c>
      <c r="B652" s="27"/>
      <c r="C652" s="27"/>
      <c r="D652" s="27"/>
    </row>
    <row r="653" spans="1:4" x14ac:dyDescent="0.25">
      <c r="A653" s="27"/>
      <c r="B653" s="27" t="s">
        <v>8</v>
      </c>
      <c r="C653" s="27" t="s">
        <v>8</v>
      </c>
      <c r="D653" s="27" t="s">
        <v>8</v>
      </c>
    </row>
    <row r="654" spans="1:4" x14ac:dyDescent="0.25">
      <c r="A654" s="27" t="s">
        <v>1318</v>
      </c>
      <c r="B654" s="27"/>
      <c r="C654" s="27"/>
      <c r="D654" s="27"/>
    </row>
    <row r="655" spans="1:4" x14ac:dyDescent="0.25">
      <c r="A655" s="27"/>
      <c r="B655" s="27"/>
      <c r="C655" s="27"/>
      <c r="D655" s="27"/>
    </row>
    <row r="656" spans="1:4" x14ac:dyDescent="0.25">
      <c r="A656" s="27" t="s">
        <v>1319</v>
      </c>
      <c r="B656" s="27"/>
      <c r="C656" s="27"/>
      <c r="D656" s="27"/>
    </row>
    <row r="657" spans="1:4" x14ac:dyDescent="0.25">
      <c r="A657" s="27"/>
      <c r="B657" s="27" t="s">
        <v>8</v>
      </c>
      <c r="C657" s="27" t="s">
        <v>8</v>
      </c>
      <c r="D657" s="27" t="s">
        <v>8</v>
      </c>
    </row>
    <row r="658" spans="1:4" x14ac:dyDescent="0.25">
      <c r="A658" s="27" t="s">
        <v>1320</v>
      </c>
      <c r="B658" s="27"/>
      <c r="C658" s="27"/>
      <c r="D658" s="27"/>
    </row>
    <row r="659" spans="1:4" x14ac:dyDescent="0.25">
      <c r="A659" s="27"/>
      <c r="B659" s="27"/>
      <c r="C659" s="27"/>
      <c r="D659" s="27"/>
    </row>
    <row r="660" spans="1:4" x14ac:dyDescent="0.25">
      <c r="A660" s="27" t="s">
        <v>1321</v>
      </c>
      <c r="B660" s="27"/>
      <c r="C660" s="27"/>
      <c r="D660" s="27"/>
    </row>
    <row r="661" spans="1:4" x14ac:dyDescent="0.25">
      <c r="A661" s="27"/>
      <c r="B661" s="27" t="s">
        <v>8</v>
      </c>
      <c r="C661" s="27" t="s">
        <v>8</v>
      </c>
      <c r="D661" s="27" t="s">
        <v>8</v>
      </c>
    </row>
    <row r="662" spans="1:4" x14ac:dyDescent="0.25">
      <c r="A662" s="27" t="s">
        <v>1322</v>
      </c>
      <c r="B662" s="27"/>
      <c r="C662" s="27"/>
      <c r="D662" s="27"/>
    </row>
    <row r="663" spans="1:4" x14ac:dyDescent="0.25">
      <c r="A663" s="27"/>
      <c r="B663" s="27"/>
      <c r="C663" s="27"/>
      <c r="D663" s="27"/>
    </row>
    <row r="664" spans="1:4" x14ac:dyDescent="0.25">
      <c r="A664" s="27" t="s">
        <v>1323</v>
      </c>
      <c r="B664" s="27"/>
      <c r="C664" s="27"/>
      <c r="D664" s="27"/>
    </row>
    <row r="665" spans="1:4" x14ac:dyDescent="0.25">
      <c r="A665" s="27"/>
      <c r="B665" s="27" t="s">
        <v>8</v>
      </c>
      <c r="C665" s="27" t="s">
        <v>8</v>
      </c>
      <c r="D665" s="27" t="s">
        <v>8</v>
      </c>
    </row>
    <row r="666" spans="1:4" x14ac:dyDescent="0.25">
      <c r="A666" s="27" t="s">
        <v>1334</v>
      </c>
      <c r="B666" s="27"/>
      <c r="C666" s="28">
        <v>13787700.77</v>
      </c>
      <c r="D666" s="28">
        <v>-13787700.77</v>
      </c>
    </row>
    <row r="667" spans="1:4" x14ac:dyDescent="0.25">
      <c r="A667" s="27"/>
      <c r="B667" s="27"/>
      <c r="C667" s="27"/>
      <c r="D667" s="27"/>
    </row>
    <row r="668" spans="1:4" x14ac:dyDescent="0.25">
      <c r="A668" s="27" t="s">
        <v>1335</v>
      </c>
      <c r="B668" s="27"/>
      <c r="C668" s="27"/>
      <c r="D668" s="27"/>
    </row>
    <row r="669" spans="1:4" x14ac:dyDescent="0.25">
      <c r="A669" s="27"/>
      <c r="B669" s="27" t="s">
        <v>8</v>
      </c>
      <c r="C669" s="27" t="s">
        <v>8</v>
      </c>
      <c r="D669" s="27" t="s">
        <v>8</v>
      </c>
    </row>
    <row r="670" spans="1:4" x14ac:dyDescent="0.25">
      <c r="A670" s="27" t="s">
        <v>1336</v>
      </c>
      <c r="B670" s="27"/>
      <c r="C670" s="27"/>
      <c r="D670" s="27"/>
    </row>
    <row r="671" spans="1:4" x14ac:dyDescent="0.25">
      <c r="A671" s="27"/>
      <c r="B671" s="27"/>
      <c r="C671" s="27"/>
      <c r="D671" s="27"/>
    </row>
    <row r="672" spans="1:4" x14ac:dyDescent="0.25">
      <c r="A672" s="27" t="s">
        <v>1337</v>
      </c>
      <c r="B672" s="27"/>
      <c r="C672" s="27"/>
      <c r="D672" s="27"/>
    </row>
    <row r="673" spans="1:4" x14ac:dyDescent="0.25">
      <c r="A673" s="27"/>
      <c r="B673" s="27" t="s">
        <v>8</v>
      </c>
      <c r="C673" s="27" t="s">
        <v>8</v>
      </c>
      <c r="D673" s="27" t="s">
        <v>8</v>
      </c>
    </row>
    <row r="674" spans="1:4" x14ac:dyDescent="0.25">
      <c r="A674" s="27" t="s">
        <v>1346</v>
      </c>
      <c r="B674" s="27"/>
      <c r="C674" s="28">
        <v>79937079.670000002</v>
      </c>
      <c r="D674" s="28">
        <v>-79937079.670000002</v>
      </c>
    </row>
    <row r="675" spans="1:4" x14ac:dyDescent="0.25">
      <c r="A675" s="27"/>
      <c r="B675" s="27"/>
      <c r="C675" s="27"/>
      <c r="D675" s="27"/>
    </row>
    <row r="676" spans="1:4" x14ac:dyDescent="0.25">
      <c r="A676" s="27" t="s">
        <v>1347</v>
      </c>
      <c r="B676" s="27"/>
      <c r="C676" s="27"/>
      <c r="D676" s="27"/>
    </row>
    <row r="677" spans="1:4" x14ac:dyDescent="0.25">
      <c r="A677" s="27"/>
      <c r="B677" s="27" t="s">
        <v>8</v>
      </c>
      <c r="C677" s="27" t="s">
        <v>8</v>
      </c>
      <c r="D677" s="27" t="s">
        <v>8</v>
      </c>
    </row>
    <row r="678" spans="1:4" x14ac:dyDescent="0.25">
      <c r="A678" s="27" t="s">
        <v>1348</v>
      </c>
      <c r="B678" s="27"/>
      <c r="C678" s="27"/>
      <c r="D678" s="27"/>
    </row>
    <row r="679" spans="1:4" x14ac:dyDescent="0.25">
      <c r="A679" s="27"/>
      <c r="B679" s="27"/>
      <c r="C679" s="27"/>
      <c r="D679" s="27"/>
    </row>
    <row r="680" spans="1:4" x14ac:dyDescent="0.25">
      <c r="A680" s="27" t="s">
        <v>1349</v>
      </c>
      <c r="B680" s="27"/>
      <c r="C680" s="27"/>
      <c r="D680" s="27"/>
    </row>
    <row r="681" spans="1:4" x14ac:dyDescent="0.25">
      <c r="A681" s="27"/>
      <c r="B681" s="27" t="s">
        <v>8</v>
      </c>
      <c r="C681" s="27" t="s">
        <v>8</v>
      </c>
      <c r="D681" s="27" t="s">
        <v>8</v>
      </c>
    </row>
    <row r="682" spans="1:4" x14ac:dyDescent="0.25">
      <c r="A682" s="27" t="s">
        <v>1350</v>
      </c>
      <c r="B682" s="27"/>
      <c r="C682" s="27"/>
      <c r="D682" s="27"/>
    </row>
    <row r="683" spans="1:4" x14ac:dyDescent="0.25">
      <c r="A683" s="27"/>
      <c r="B683" s="27"/>
      <c r="C683" s="27"/>
      <c r="D683" s="27"/>
    </row>
    <row r="684" spans="1:4" x14ac:dyDescent="0.25">
      <c r="A684" s="27" t="s">
        <v>1351</v>
      </c>
      <c r="B684" s="27"/>
      <c r="C684" s="27"/>
      <c r="D684" s="27"/>
    </row>
    <row r="685" spans="1:4" x14ac:dyDescent="0.25">
      <c r="A685" s="27"/>
      <c r="B685" s="27" t="s">
        <v>8</v>
      </c>
      <c r="C685" s="27" t="s">
        <v>8</v>
      </c>
      <c r="D685" s="27" t="s">
        <v>8</v>
      </c>
    </row>
    <row r="686" spans="1:4" x14ac:dyDescent="0.25">
      <c r="A686" s="27" t="s">
        <v>1354</v>
      </c>
      <c r="B686" s="27"/>
      <c r="C686" s="28">
        <v>695252.84</v>
      </c>
      <c r="D686" s="28">
        <v>-695252.84</v>
      </c>
    </row>
    <row r="687" spans="1:4" x14ac:dyDescent="0.25">
      <c r="A687" s="27"/>
      <c r="B687" s="27"/>
      <c r="C687" s="27"/>
      <c r="D687" s="27"/>
    </row>
    <row r="688" spans="1:4" x14ac:dyDescent="0.25">
      <c r="A688" s="27" t="s">
        <v>2381</v>
      </c>
      <c r="B688" s="27"/>
      <c r="C688" s="27"/>
      <c r="D688" s="27"/>
    </row>
    <row r="689" spans="1:4" x14ac:dyDescent="0.25">
      <c r="A689" s="27"/>
      <c r="B689" s="27" t="s">
        <v>8</v>
      </c>
      <c r="C689" s="27" t="s">
        <v>8</v>
      </c>
      <c r="D689" s="27" t="s">
        <v>8</v>
      </c>
    </row>
    <row r="690" spans="1:4" x14ac:dyDescent="0.25">
      <c r="A690" s="27" t="s">
        <v>2383</v>
      </c>
      <c r="B690" s="28"/>
      <c r="C690" s="28">
        <v>21176.99</v>
      </c>
      <c r="D690" s="28">
        <v>-21176.99</v>
      </c>
    </row>
    <row r="691" spans="1:4" x14ac:dyDescent="0.25">
      <c r="A691" s="27"/>
      <c r="B691" s="27"/>
      <c r="C691" s="27"/>
      <c r="D691" s="27"/>
    </row>
    <row r="692" spans="1:4" x14ac:dyDescent="0.25">
      <c r="A692" s="27" t="s">
        <v>1355</v>
      </c>
      <c r="B692" s="27"/>
      <c r="C692" s="27"/>
      <c r="D692" s="27"/>
    </row>
    <row r="693" spans="1:4" x14ac:dyDescent="0.25">
      <c r="A693" s="27"/>
      <c r="B693" s="27" t="s">
        <v>8</v>
      </c>
      <c r="C693" s="27" t="s">
        <v>8</v>
      </c>
      <c r="D693" s="27" t="s">
        <v>8</v>
      </c>
    </row>
    <row r="694" spans="1:4" x14ac:dyDescent="0.25">
      <c r="A694" s="27" t="s">
        <v>1361</v>
      </c>
      <c r="B694" s="28">
        <v>6679099.29</v>
      </c>
      <c r="C694" s="28">
        <v>129489603.98999999</v>
      </c>
      <c r="D694" s="28">
        <v>-122810504.7</v>
      </c>
    </row>
    <row r="695" spans="1:4" x14ac:dyDescent="0.25">
      <c r="A695" s="27"/>
      <c r="B695" s="27"/>
      <c r="C695" s="27"/>
      <c r="D695" s="27"/>
    </row>
    <row r="696" spans="1:4" x14ac:dyDescent="0.25">
      <c r="A696" s="27" t="s">
        <v>1362</v>
      </c>
      <c r="B696" s="27"/>
      <c r="C696" s="27"/>
      <c r="D696" s="27"/>
    </row>
    <row r="697" spans="1:4" x14ac:dyDescent="0.25">
      <c r="A697" s="27"/>
      <c r="B697" s="27" t="s">
        <v>8</v>
      </c>
      <c r="C697" s="27" t="s">
        <v>8</v>
      </c>
      <c r="D697" s="27" t="s">
        <v>8</v>
      </c>
    </row>
    <row r="698" spans="1:4" x14ac:dyDescent="0.25">
      <c r="A698" s="27" t="s">
        <v>1365</v>
      </c>
      <c r="B698" s="27"/>
      <c r="C698" s="27"/>
      <c r="D698" s="27"/>
    </row>
    <row r="699" spans="1:4" x14ac:dyDescent="0.25">
      <c r="A699" s="27"/>
      <c r="B699" s="27"/>
      <c r="C699" s="27"/>
      <c r="D699" s="27"/>
    </row>
    <row r="700" spans="1:4" x14ac:dyDescent="0.25">
      <c r="A700" s="27" t="s">
        <v>1366</v>
      </c>
      <c r="B700" s="27"/>
      <c r="C700" s="27"/>
      <c r="D700" s="27"/>
    </row>
    <row r="701" spans="1:4" x14ac:dyDescent="0.25">
      <c r="A701" s="27"/>
      <c r="B701" s="27" t="s">
        <v>8</v>
      </c>
      <c r="C701" s="27" t="s">
        <v>8</v>
      </c>
      <c r="D701" s="27" t="s">
        <v>8</v>
      </c>
    </row>
    <row r="702" spans="1:4" x14ac:dyDescent="0.25">
      <c r="A702" s="27" t="s">
        <v>1369</v>
      </c>
      <c r="B702" s="27"/>
      <c r="C702" s="27"/>
      <c r="D702" s="27"/>
    </row>
    <row r="703" spans="1:4" x14ac:dyDescent="0.25">
      <c r="A703" s="27"/>
      <c r="B703" s="27"/>
      <c r="C703" s="27"/>
      <c r="D703" s="27"/>
    </row>
    <row r="704" spans="1:4" x14ac:dyDescent="0.25">
      <c r="A704" s="27" t="s">
        <v>1370</v>
      </c>
      <c r="B704" s="28"/>
      <c r="C704" s="28"/>
      <c r="D704" s="28"/>
    </row>
    <row r="705" spans="1:4" x14ac:dyDescent="0.25">
      <c r="A705" s="27"/>
      <c r="B705" s="27" t="s">
        <v>8</v>
      </c>
      <c r="C705" s="27" t="s">
        <v>8</v>
      </c>
      <c r="D705" s="27" t="s">
        <v>8</v>
      </c>
    </row>
    <row r="706" spans="1:4" x14ac:dyDescent="0.25">
      <c r="A706" s="27" t="s">
        <v>1373</v>
      </c>
      <c r="B706" s="27"/>
      <c r="C706" s="27"/>
      <c r="D706" s="27"/>
    </row>
    <row r="707" spans="1:4" x14ac:dyDescent="0.25">
      <c r="A707" s="27"/>
      <c r="B707" s="27" t="s">
        <v>8</v>
      </c>
      <c r="C707" s="27" t="s">
        <v>8</v>
      </c>
      <c r="D707" s="27" t="s">
        <v>8</v>
      </c>
    </row>
    <row r="708" spans="1:4" x14ac:dyDescent="0.25">
      <c r="A708" s="27" t="s">
        <v>1374</v>
      </c>
      <c r="B708" s="28">
        <v>6679099.29</v>
      </c>
      <c r="C708" s="28">
        <v>342812632.01999998</v>
      </c>
      <c r="D708" s="28">
        <v>-336133532.73000002</v>
      </c>
    </row>
    <row r="709" spans="1:4" x14ac:dyDescent="0.25">
      <c r="A709" s="27"/>
      <c r="B709" s="27"/>
      <c r="C709" s="27"/>
      <c r="D709" s="27"/>
    </row>
    <row r="710" spans="1:4" x14ac:dyDescent="0.25">
      <c r="A710" s="27" t="s">
        <v>1375</v>
      </c>
      <c r="B710" s="28"/>
      <c r="C710" s="28"/>
      <c r="D710" s="28"/>
    </row>
    <row r="711" spans="1:4" x14ac:dyDescent="0.25">
      <c r="A711" s="27"/>
      <c r="B711" s="27"/>
      <c r="C711" s="27"/>
      <c r="D711" s="27"/>
    </row>
    <row r="712" spans="1:4" x14ac:dyDescent="0.25">
      <c r="A712" s="27" t="s">
        <v>1376</v>
      </c>
      <c r="B712" s="27"/>
      <c r="C712" s="27"/>
      <c r="D712" s="27"/>
    </row>
    <row r="713" spans="1:4" x14ac:dyDescent="0.25">
      <c r="A713" s="27"/>
      <c r="B713" s="27" t="s">
        <v>8</v>
      </c>
      <c r="C713" s="27" t="s">
        <v>8</v>
      </c>
      <c r="D713" s="27" t="s">
        <v>8</v>
      </c>
    </row>
    <row r="714" spans="1:4" x14ac:dyDescent="0.25">
      <c r="A714" s="27" t="s">
        <v>1413</v>
      </c>
      <c r="B714" s="28">
        <v>16889803.309999999</v>
      </c>
      <c r="C714" s="28">
        <v>1006424403.45</v>
      </c>
      <c r="D714" s="28">
        <v>-989534600.13999999</v>
      </c>
    </row>
    <row r="715" spans="1:4" x14ac:dyDescent="0.25">
      <c r="A715" s="27"/>
      <c r="B715" s="27"/>
      <c r="C715" s="27"/>
      <c r="D715" s="27"/>
    </row>
    <row r="716" spans="1:4" x14ac:dyDescent="0.25">
      <c r="A716" s="27" t="s">
        <v>1414</v>
      </c>
      <c r="B716" s="27"/>
      <c r="C716" s="27"/>
      <c r="D716" s="27"/>
    </row>
    <row r="717" spans="1:4" x14ac:dyDescent="0.25">
      <c r="A717" s="27"/>
      <c r="B717" s="27" t="s">
        <v>8</v>
      </c>
      <c r="C717" s="27" t="s">
        <v>8</v>
      </c>
      <c r="D717" s="27" t="s">
        <v>8</v>
      </c>
    </row>
    <row r="718" spans="1:4" x14ac:dyDescent="0.25">
      <c r="A718" s="27" t="s">
        <v>1419</v>
      </c>
      <c r="B718" s="28"/>
      <c r="C718" s="28"/>
      <c r="D718" s="28"/>
    </row>
    <row r="719" spans="1:4" x14ac:dyDescent="0.25">
      <c r="A719" s="27"/>
      <c r="B719" s="27"/>
      <c r="C719" s="27"/>
      <c r="D719" s="27"/>
    </row>
    <row r="720" spans="1:4" x14ac:dyDescent="0.25">
      <c r="A720" s="27" t="s">
        <v>1420</v>
      </c>
      <c r="B720" s="27"/>
      <c r="C720" s="27"/>
      <c r="D720" s="27"/>
    </row>
    <row r="721" spans="1:4" x14ac:dyDescent="0.25">
      <c r="A721" s="27"/>
      <c r="B721" s="27" t="s">
        <v>8</v>
      </c>
      <c r="C721" s="27" t="s">
        <v>8</v>
      </c>
      <c r="D721" s="27" t="s">
        <v>8</v>
      </c>
    </row>
    <row r="722" spans="1:4" x14ac:dyDescent="0.25">
      <c r="A722" s="27" t="s">
        <v>1435</v>
      </c>
      <c r="B722" s="28">
        <v>7931331.6299999999</v>
      </c>
      <c r="C722" s="28">
        <v>35266013.270000003</v>
      </c>
      <c r="D722" s="28">
        <v>-27334681.640000001</v>
      </c>
    </row>
    <row r="723" spans="1:4" x14ac:dyDescent="0.25">
      <c r="A723" s="27"/>
      <c r="B723" s="27"/>
      <c r="C723" s="27"/>
      <c r="D723" s="27"/>
    </row>
    <row r="724" spans="1:4" x14ac:dyDescent="0.25">
      <c r="A724" s="27" t="s">
        <v>1436</v>
      </c>
      <c r="B724" s="27"/>
      <c r="C724" s="27"/>
      <c r="D724" s="27"/>
    </row>
    <row r="725" spans="1:4" x14ac:dyDescent="0.25">
      <c r="A725" s="27"/>
      <c r="B725" s="27" t="s">
        <v>8</v>
      </c>
      <c r="C725" s="27" t="s">
        <v>8</v>
      </c>
      <c r="D725" s="27" t="s">
        <v>8</v>
      </c>
    </row>
    <row r="726" spans="1:4" x14ac:dyDescent="0.25">
      <c r="A726" s="27" t="s">
        <v>1456</v>
      </c>
      <c r="B726" s="28">
        <v>10008696.5</v>
      </c>
      <c r="C726" s="28">
        <v>836401.4</v>
      </c>
      <c r="D726" s="28">
        <v>9172295.0999999996</v>
      </c>
    </row>
    <row r="727" spans="1:4" x14ac:dyDescent="0.25">
      <c r="A727" s="27"/>
      <c r="B727" s="27"/>
      <c r="C727" s="27"/>
      <c r="D727" s="27"/>
    </row>
    <row r="728" spans="1:4" x14ac:dyDescent="0.25">
      <c r="A728" s="27" t="s">
        <v>1457</v>
      </c>
      <c r="B728" s="27"/>
      <c r="C728" s="27"/>
      <c r="D728" s="27"/>
    </row>
    <row r="729" spans="1:4" x14ac:dyDescent="0.25">
      <c r="A729" s="27"/>
      <c r="B729" s="27" t="s">
        <v>8</v>
      </c>
      <c r="C729" s="27" t="s">
        <v>8</v>
      </c>
      <c r="D729" s="27" t="s">
        <v>8</v>
      </c>
    </row>
    <row r="730" spans="1:4" x14ac:dyDescent="0.25">
      <c r="A730" s="27" t="s">
        <v>1463</v>
      </c>
      <c r="B730" s="28">
        <v>1344051.23</v>
      </c>
      <c r="C730" s="28">
        <v>155930.68</v>
      </c>
      <c r="D730" s="28">
        <v>1188120.55</v>
      </c>
    </row>
    <row r="731" spans="1:4" x14ac:dyDescent="0.25">
      <c r="A731" s="27"/>
      <c r="B731" s="27"/>
      <c r="C731" s="27"/>
      <c r="D731" s="27"/>
    </row>
    <row r="732" spans="1:4" x14ac:dyDescent="0.25">
      <c r="A732" s="27" t="s">
        <v>1464</v>
      </c>
      <c r="B732" s="28"/>
      <c r="C732" s="28"/>
      <c r="D732" s="28"/>
    </row>
    <row r="733" spans="1:4" x14ac:dyDescent="0.25">
      <c r="A733" s="27"/>
      <c r="B733" s="27" t="s">
        <v>8</v>
      </c>
      <c r="C733" s="27" t="s">
        <v>8</v>
      </c>
      <c r="D733" s="27" t="s">
        <v>8</v>
      </c>
    </row>
    <row r="734" spans="1:4" x14ac:dyDescent="0.25">
      <c r="A734" s="27" t="s">
        <v>1465</v>
      </c>
      <c r="B734" s="27"/>
      <c r="C734" s="27"/>
      <c r="D734" s="27"/>
    </row>
    <row r="735" spans="1:4" x14ac:dyDescent="0.25">
      <c r="A735" s="27"/>
      <c r="B735" s="27" t="s">
        <v>8</v>
      </c>
      <c r="C735" s="27" t="s">
        <v>8</v>
      </c>
      <c r="D735" s="27" t="s">
        <v>8</v>
      </c>
    </row>
    <row r="736" spans="1:4" x14ac:dyDescent="0.25">
      <c r="A736" s="27" t="s">
        <v>1466</v>
      </c>
      <c r="B736" s="28">
        <v>36173882.670000002</v>
      </c>
      <c r="C736" s="28">
        <v>1042682748.8</v>
      </c>
      <c r="D736" s="28">
        <v>-1006508866.13</v>
      </c>
    </row>
    <row r="737" spans="1:4" x14ac:dyDescent="0.25">
      <c r="A737" s="27"/>
      <c r="B737" s="27"/>
      <c r="C737" s="27"/>
      <c r="D737" s="27"/>
    </row>
    <row r="738" spans="1:4" x14ac:dyDescent="0.25">
      <c r="A738" s="27" t="s">
        <v>1467</v>
      </c>
      <c r="B738" s="27"/>
      <c r="C738" s="27"/>
      <c r="D738" s="27"/>
    </row>
    <row r="739" spans="1:4" x14ac:dyDescent="0.25">
      <c r="A739" s="27"/>
      <c r="B739" s="27"/>
      <c r="C739" s="27"/>
      <c r="D739" s="27"/>
    </row>
    <row r="740" spans="1:4" x14ac:dyDescent="0.25">
      <c r="A740" s="27" t="s">
        <v>1468</v>
      </c>
      <c r="B740" s="27"/>
      <c r="C740" s="27"/>
      <c r="D740" s="27"/>
    </row>
    <row r="741" spans="1:4" x14ac:dyDescent="0.25">
      <c r="A741" s="27"/>
      <c r="B741" s="27" t="s">
        <v>8</v>
      </c>
      <c r="C741" s="27" t="s">
        <v>8</v>
      </c>
      <c r="D741" s="27" t="s">
        <v>8</v>
      </c>
    </row>
    <row r="742" spans="1:4" x14ac:dyDescent="0.25">
      <c r="A742" s="27" t="s">
        <v>1469</v>
      </c>
      <c r="B742" s="28"/>
      <c r="C742" s="28"/>
      <c r="D742" s="28"/>
    </row>
    <row r="743" spans="1:4" x14ac:dyDescent="0.25">
      <c r="A743" s="27"/>
      <c r="B743" s="27"/>
      <c r="C743" s="27"/>
      <c r="D743" s="27"/>
    </row>
    <row r="744" spans="1:4" x14ac:dyDescent="0.25">
      <c r="A744" s="27" t="s">
        <v>1470</v>
      </c>
      <c r="B744" s="27"/>
      <c r="C744" s="27"/>
      <c r="D744" s="27"/>
    </row>
    <row r="745" spans="1:4" x14ac:dyDescent="0.25">
      <c r="A745" s="27"/>
      <c r="B745" s="27" t="s">
        <v>8</v>
      </c>
      <c r="C745" s="27" t="s">
        <v>8</v>
      </c>
      <c r="D745" s="27" t="s">
        <v>8</v>
      </c>
    </row>
    <row r="746" spans="1:4" x14ac:dyDescent="0.25">
      <c r="A746" s="27" t="s">
        <v>1504</v>
      </c>
      <c r="B746" s="28">
        <v>268254676582.51999</v>
      </c>
      <c r="C746" s="28">
        <v>267312544182.67999</v>
      </c>
      <c r="D746" s="28">
        <v>942132399.84000003</v>
      </c>
    </row>
    <row r="747" spans="1:4" x14ac:dyDescent="0.25">
      <c r="A747" s="27"/>
      <c r="B747" s="27"/>
      <c r="C747" s="27"/>
      <c r="D747" s="27"/>
    </row>
    <row r="748" spans="1:4" x14ac:dyDescent="0.25">
      <c r="A748" s="27" t="s">
        <v>1505</v>
      </c>
      <c r="B748" s="27"/>
      <c r="C748" s="27"/>
      <c r="D748" s="27"/>
    </row>
    <row r="749" spans="1:4" x14ac:dyDescent="0.25">
      <c r="A749" s="27"/>
      <c r="B749" s="27" t="s">
        <v>8</v>
      </c>
      <c r="C749" s="27" t="s">
        <v>8</v>
      </c>
      <c r="D749" s="27" t="s">
        <v>8</v>
      </c>
    </row>
    <row r="750" spans="1:4" x14ac:dyDescent="0.25">
      <c r="A750" s="27" t="s">
        <v>1508</v>
      </c>
      <c r="B750" s="27"/>
      <c r="C750" s="27"/>
      <c r="D750" s="27"/>
    </row>
    <row r="751" spans="1:4" x14ac:dyDescent="0.25">
      <c r="A751" s="27"/>
      <c r="B751" s="27"/>
      <c r="C751" s="27"/>
      <c r="D751" s="27"/>
    </row>
    <row r="752" spans="1:4" x14ac:dyDescent="0.25">
      <c r="A752" s="27" t="s">
        <v>1509</v>
      </c>
      <c r="B752" s="27"/>
      <c r="C752" s="27"/>
      <c r="D752" s="27"/>
    </row>
    <row r="753" spans="1:4" x14ac:dyDescent="0.25">
      <c r="A753" s="27"/>
      <c r="B753" s="27" t="s">
        <v>8</v>
      </c>
      <c r="C753" s="27" t="s">
        <v>8</v>
      </c>
      <c r="D753" s="27" t="s">
        <v>8</v>
      </c>
    </row>
    <row r="754" spans="1:4" x14ac:dyDescent="0.25">
      <c r="A754" s="27" t="s">
        <v>1510</v>
      </c>
      <c r="B754" s="27"/>
      <c r="C754" s="27"/>
      <c r="D754" s="27"/>
    </row>
    <row r="755" spans="1:4" x14ac:dyDescent="0.25">
      <c r="A755" s="27"/>
      <c r="B755" s="27"/>
      <c r="C755" s="27"/>
      <c r="D755" s="27"/>
    </row>
    <row r="756" spans="1:4" x14ac:dyDescent="0.25">
      <c r="A756" s="27" t="s">
        <v>1511</v>
      </c>
      <c r="B756" s="27"/>
      <c r="C756" s="27"/>
      <c r="D756" s="27"/>
    </row>
    <row r="757" spans="1:4" x14ac:dyDescent="0.25">
      <c r="A757" s="27"/>
      <c r="B757" s="27" t="s">
        <v>8</v>
      </c>
      <c r="C757" s="27" t="s">
        <v>8</v>
      </c>
      <c r="D757" s="27" t="s">
        <v>8</v>
      </c>
    </row>
    <row r="758" spans="1:4" x14ac:dyDescent="0.25">
      <c r="A758" s="27" t="s">
        <v>1512</v>
      </c>
      <c r="B758" s="27"/>
      <c r="C758" s="27"/>
      <c r="D758" s="27"/>
    </row>
    <row r="759" spans="1:4" x14ac:dyDescent="0.25">
      <c r="A759" s="27"/>
      <c r="B759" s="27"/>
      <c r="C759" s="27"/>
      <c r="D759" s="27"/>
    </row>
    <row r="760" spans="1:4" x14ac:dyDescent="0.25">
      <c r="A760" s="27" t="s">
        <v>1513</v>
      </c>
      <c r="B760" s="27"/>
      <c r="C760" s="27"/>
      <c r="D760" s="27"/>
    </row>
    <row r="761" spans="1:4" x14ac:dyDescent="0.25">
      <c r="A761" s="27"/>
      <c r="B761" s="27" t="s">
        <v>8</v>
      </c>
      <c r="C761" s="27" t="s">
        <v>8</v>
      </c>
      <c r="D761" s="27" t="s">
        <v>8</v>
      </c>
    </row>
    <row r="762" spans="1:4" x14ac:dyDescent="0.25">
      <c r="A762" s="27" t="s">
        <v>1516</v>
      </c>
      <c r="B762" s="27"/>
      <c r="C762" s="27"/>
      <c r="D762" s="27"/>
    </row>
    <row r="763" spans="1:4" x14ac:dyDescent="0.25">
      <c r="A763" s="27"/>
      <c r="B763" s="27"/>
      <c r="C763" s="27"/>
      <c r="D763" s="27"/>
    </row>
    <row r="764" spans="1:4" x14ac:dyDescent="0.25">
      <c r="A764" s="27" t="s">
        <v>1517</v>
      </c>
      <c r="B764" s="28"/>
      <c r="C764" s="28"/>
      <c r="D764" s="28"/>
    </row>
    <row r="765" spans="1:4" x14ac:dyDescent="0.25">
      <c r="A765" s="27"/>
      <c r="B765" s="27" t="s">
        <v>8</v>
      </c>
      <c r="C765" s="27" t="s">
        <v>8</v>
      </c>
      <c r="D765" s="27" t="s">
        <v>8</v>
      </c>
    </row>
    <row r="766" spans="1:4" x14ac:dyDescent="0.25">
      <c r="A766" s="27" t="s">
        <v>1520</v>
      </c>
      <c r="B766" s="27"/>
      <c r="C766" s="27"/>
      <c r="D766" s="27"/>
    </row>
    <row r="767" spans="1:4" x14ac:dyDescent="0.25">
      <c r="A767" s="27"/>
      <c r="B767" s="27" t="s">
        <v>8</v>
      </c>
      <c r="C767" s="27" t="s">
        <v>8</v>
      </c>
      <c r="D767" s="27" t="s">
        <v>8</v>
      </c>
    </row>
    <row r="768" spans="1:4" x14ac:dyDescent="0.25">
      <c r="A768" s="27" t="s">
        <v>1521</v>
      </c>
      <c r="B768" s="28">
        <v>268254676582.51999</v>
      </c>
      <c r="C768" s="28">
        <v>267312544182.67999</v>
      </c>
      <c r="D768" s="28">
        <v>942132399.84000003</v>
      </c>
    </row>
    <row r="769" spans="1:4" x14ac:dyDescent="0.25">
      <c r="A769" s="27"/>
      <c r="B769" s="27"/>
      <c r="C769" s="27"/>
      <c r="D769" s="27"/>
    </row>
    <row r="770" spans="1:4" x14ac:dyDescent="0.25">
      <c r="A770" s="27" t="s">
        <v>1522</v>
      </c>
      <c r="B770" s="27"/>
      <c r="C770" s="27"/>
      <c r="D770" s="27"/>
    </row>
    <row r="771" spans="1:4" x14ac:dyDescent="0.25">
      <c r="A771" s="27"/>
      <c r="B771" s="27"/>
      <c r="C771" s="27"/>
      <c r="D771" s="27"/>
    </row>
    <row r="772" spans="1:4" x14ac:dyDescent="0.25">
      <c r="A772" s="27" t="s">
        <v>1523</v>
      </c>
      <c r="B772" s="27"/>
      <c r="C772" s="27"/>
      <c r="D772" s="27"/>
    </row>
    <row r="773" spans="1:4" x14ac:dyDescent="0.25">
      <c r="A773" s="27"/>
      <c r="B773" s="27" t="s">
        <v>8</v>
      </c>
      <c r="C773" s="27" t="s">
        <v>8</v>
      </c>
      <c r="D773" s="27" t="s">
        <v>8</v>
      </c>
    </row>
    <row r="774" spans="1:4" x14ac:dyDescent="0.25">
      <c r="A774" s="27" t="s">
        <v>1524</v>
      </c>
      <c r="B774" s="27"/>
      <c r="C774" s="27"/>
      <c r="D774" s="27"/>
    </row>
    <row r="775" spans="1:4" x14ac:dyDescent="0.25">
      <c r="A775" s="27"/>
      <c r="B775" s="27"/>
      <c r="C775" s="27"/>
      <c r="D775" s="27"/>
    </row>
    <row r="776" spans="1:4" x14ac:dyDescent="0.25">
      <c r="A776" s="27" t="s">
        <v>1525</v>
      </c>
      <c r="B776" s="27"/>
      <c r="C776" s="27"/>
      <c r="D776" s="27"/>
    </row>
    <row r="777" spans="1:4" x14ac:dyDescent="0.25">
      <c r="A777" s="27"/>
      <c r="B777" s="27" t="s">
        <v>8</v>
      </c>
      <c r="C777" s="27" t="s">
        <v>8</v>
      </c>
      <c r="D777" s="27" t="s">
        <v>8</v>
      </c>
    </row>
    <row r="778" spans="1:4" x14ac:dyDescent="0.25">
      <c r="A778" s="27" t="s">
        <v>1526</v>
      </c>
      <c r="B778" s="27"/>
      <c r="C778" s="27"/>
      <c r="D778" s="27"/>
    </row>
    <row r="779" spans="1:4" x14ac:dyDescent="0.25">
      <c r="A779" s="27"/>
      <c r="B779" s="27"/>
      <c r="C779" s="27"/>
      <c r="D779" s="27"/>
    </row>
    <row r="780" spans="1:4" x14ac:dyDescent="0.25">
      <c r="A780" s="27" t="s">
        <v>1527</v>
      </c>
      <c r="B780" s="27"/>
      <c r="C780" s="27"/>
      <c r="D780" s="27"/>
    </row>
    <row r="781" spans="1:4" x14ac:dyDescent="0.25">
      <c r="A781" s="27"/>
      <c r="B781" s="27" t="s">
        <v>8</v>
      </c>
      <c r="C781" s="27" t="s">
        <v>8</v>
      </c>
      <c r="D781" s="27" t="s">
        <v>8</v>
      </c>
    </row>
    <row r="782" spans="1:4" x14ac:dyDescent="0.25">
      <c r="A782" s="27" t="s">
        <v>1528</v>
      </c>
      <c r="B782" s="27"/>
      <c r="C782" s="27"/>
      <c r="D782" s="27"/>
    </row>
    <row r="783" spans="1:4" x14ac:dyDescent="0.25">
      <c r="A783" s="27"/>
      <c r="B783" s="27"/>
      <c r="C783" s="27"/>
      <c r="D783" s="27"/>
    </row>
    <row r="784" spans="1:4" x14ac:dyDescent="0.25">
      <c r="A784" s="27" t="s">
        <v>1529</v>
      </c>
      <c r="B784" s="27"/>
      <c r="C784" s="27"/>
      <c r="D784" s="27"/>
    </row>
    <row r="785" spans="1:4" x14ac:dyDescent="0.25">
      <c r="A785" s="27"/>
      <c r="B785" s="27" t="s">
        <v>8</v>
      </c>
      <c r="C785" s="27" t="s">
        <v>8</v>
      </c>
      <c r="D785" s="27" t="s">
        <v>8</v>
      </c>
    </row>
    <row r="786" spans="1:4" x14ac:dyDescent="0.25">
      <c r="A786" s="27" t="s">
        <v>1530</v>
      </c>
      <c r="B786" s="27"/>
      <c r="C786" s="27"/>
      <c r="D786" s="27"/>
    </row>
    <row r="787" spans="1:4" x14ac:dyDescent="0.25">
      <c r="A787" s="27"/>
      <c r="B787" s="27"/>
      <c r="C787" s="27"/>
      <c r="D787" s="27"/>
    </row>
    <row r="788" spans="1:4" x14ac:dyDescent="0.25">
      <c r="A788" s="27" t="s">
        <v>1531</v>
      </c>
      <c r="B788" s="27"/>
      <c r="C788" s="27"/>
      <c r="D788" s="27"/>
    </row>
    <row r="789" spans="1:4" x14ac:dyDescent="0.25">
      <c r="A789" s="27"/>
      <c r="B789" s="27" t="s">
        <v>8</v>
      </c>
      <c r="C789" s="27" t="s">
        <v>8</v>
      </c>
      <c r="D789" s="27" t="s">
        <v>8</v>
      </c>
    </row>
    <row r="790" spans="1:4" x14ac:dyDescent="0.25">
      <c r="A790" s="27" t="s">
        <v>1532</v>
      </c>
      <c r="B790" s="27"/>
      <c r="C790" s="27"/>
      <c r="D790" s="27"/>
    </row>
    <row r="791" spans="1:4" x14ac:dyDescent="0.25">
      <c r="A791" s="27"/>
      <c r="B791" s="27"/>
      <c r="C791" s="27"/>
      <c r="D791" s="27"/>
    </row>
    <row r="792" spans="1:4" x14ac:dyDescent="0.25">
      <c r="A792" s="27" t="s">
        <v>1533</v>
      </c>
      <c r="B792" s="27"/>
      <c r="C792" s="27"/>
      <c r="D792" s="27"/>
    </row>
    <row r="793" spans="1:4" x14ac:dyDescent="0.25">
      <c r="A793" s="27"/>
      <c r="B793" s="27" t="s">
        <v>8</v>
      </c>
      <c r="C793" s="27" t="s">
        <v>8</v>
      </c>
      <c r="D793" s="27" t="s">
        <v>8</v>
      </c>
    </row>
    <row r="794" spans="1:4" x14ac:dyDescent="0.25">
      <c r="A794" s="27" t="s">
        <v>1534</v>
      </c>
      <c r="B794" s="27"/>
      <c r="C794" s="27"/>
      <c r="D794" s="27"/>
    </row>
    <row r="795" spans="1:4" x14ac:dyDescent="0.25">
      <c r="A795" s="27"/>
      <c r="B795" s="27"/>
      <c r="C795" s="27"/>
      <c r="D795" s="27"/>
    </row>
    <row r="796" spans="1:4" x14ac:dyDescent="0.25">
      <c r="A796" s="27" t="s">
        <v>1535</v>
      </c>
      <c r="B796" s="27"/>
      <c r="C796" s="27"/>
      <c r="D796" s="27"/>
    </row>
    <row r="797" spans="1:4" x14ac:dyDescent="0.25">
      <c r="A797" s="27"/>
      <c r="B797" s="27" t="s">
        <v>8</v>
      </c>
      <c r="C797" s="27" t="s">
        <v>8</v>
      </c>
      <c r="D797" s="27" t="s">
        <v>8</v>
      </c>
    </row>
    <row r="798" spans="1:4" x14ac:dyDescent="0.25">
      <c r="A798" s="27" t="s">
        <v>1536</v>
      </c>
      <c r="B798" s="27"/>
      <c r="C798" s="27"/>
      <c r="D798" s="27"/>
    </row>
    <row r="799" spans="1:4" x14ac:dyDescent="0.25">
      <c r="A799" s="27"/>
      <c r="B799" s="27"/>
      <c r="C799" s="27"/>
      <c r="D799" s="27"/>
    </row>
    <row r="800" spans="1:4" x14ac:dyDescent="0.25">
      <c r="A800" s="27" t="s">
        <v>1537</v>
      </c>
      <c r="B800" s="27"/>
      <c r="C800" s="27"/>
      <c r="D800" s="27"/>
    </row>
    <row r="801" spans="1:4" x14ac:dyDescent="0.25">
      <c r="A801" s="27"/>
      <c r="B801" s="27" t="s">
        <v>8</v>
      </c>
      <c r="C801" s="27" t="s">
        <v>8</v>
      </c>
      <c r="D801" s="27" t="s">
        <v>8</v>
      </c>
    </row>
    <row r="802" spans="1:4" x14ac:dyDescent="0.25">
      <c r="A802" s="27" t="s">
        <v>1538</v>
      </c>
      <c r="B802" s="27"/>
      <c r="C802" s="27"/>
      <c r="D802" s="27"/>
    </row>
    <row r="803" spans="1:4" x14ac:dyDescent="0.25">
      <c r="A803" s="27"/>
      <c r="B803" s="27"/>
      <c r="C803" s="27"/>
      <c r="D803" s="27"/>
    </row>
    <row r="804" spans="1:4" x14ac:dyDescent="0.25">
      <c r="A804" s="27" t="s">
        <v>1539</v>
      </c>
      <c r="B804" s="27"/>
      <c r="C804" s="27"/>
      <c r="D804" s="27"/>
    </row>
    <row r="805" spans="1:4" x14ac:dyDescent="0.25">
      <c r="A805" s="27"/>
      <c r="B805" s="27" t="s">
        <v>8</v>
      </c>
      <c r="C805" s="27" t="s">
        <v>8</v>
      </c>
      <c r="D805" s="27" t="s">
        <v>8</v>
      </c>
    </row>
    <row r="806" spans="1:4" x14ac:dyDescent="0.25">
      <c r="A806" s="27" t="s">
        <v>1540</v>
      </c>
      <c r="B806" s="27"/>
      <c r="C806" s="27"/>
      <c r="D806" s="27"/>
    </row>
    <row r="807" spans="1:4" x14ac:dyDescent="0.25">
      <c r="A807" s="27"/>
      <c r="B807" s="27"/>
      <c r="C807" s="27"/>
      <c r="D807" s="27"/>
    </row>
    <row r="808" spans="1:4" x14ac:dyDescent="0.25">
      <c r="A808" s="27" t="s">
        <v>1541</v>
      </c>
      <c r="B808" s="27"/>
      <c r="C808" s="27"/>
      <c r="D808" s="27"/>
    </row>
    <row r="809" spans="1:4" x14ac:dyDescent="0.25">
      <c r="A809" s="27"/>
      <c r="B809" s="27" t="s">
        <v>8</v>
      </c>
      <c r="C809" s="27" t="s">
        <v>8</v>
      </c>
      <c r="D809" s="27" t="s">
        <v>8</v>
      </c>
    </row>
    <row r="810" spans="1:4" x14ac:dyDescent="0.25">
      <c r="A810" s="27" t="s">
        <v>1542</v>
      </c>
      <c r="B810" s="27"/>
      <c r="C810" s="27"/>
      <c r="D810" s="27"/>
    </row>
    <row r="811" spans="1:4" x14ac:dyDescent="0.25">
      <c r="A811" s="27"/>
      <c r="B811" s="27"/>
      <c r="C811" s="27"/>
      <c r="D811" s="27"/>
    </row>
    <row r="812" spans="1:4" x14ac:dyDescent="0.25">
      <c r="A812" s="27" t="s">
        <v>1543</v>
      </c>
      <c r="B812" s="27"/>
      <c r="C812" s="27"/>
      <c r="D812" s="27"/>
    </row>
    <row r="813" spans="1:4" x14ac:dyDescent="0.25">
      <c r="A813" s="27"/>
      <c r="B813" s="27" t="s">
        <v>8</v>
      </c>
      <c r="C813" s="27" t="s">
        <v>8</v>
      </c>
      <c r="D813" s="27" t="s">
        <v>8</v>
      </c>
    </row>
    <row r="814" spans="1:4" x14ac:dyDescent="0.25">
      <c r="A814" s="27" t="s">
        <v>1544</v>
      </c>
      <c r="B814" s="27"/>
      <c r="C814" s="27"/>
      <c r="D814" s="27"/>
    </row>
    <row r="815" spans="1:4" x14ac:dyDescent="0.25">
      <c r="A815" s="27"/>
      <c r="B815" s="27"/>
      <c r="C815" s="27"/>
      <c r="D815" s="27"/>
    </row>
    <row r="816" spans="1:4" x14ac:dyDescent="0.25">
      <c r="A816" s="27" t="s">
        <v>1545</v>
      </c>
      <c r="B816" s="27"/>
      <c r="C816" s="27"/>
      <c r="D816" s="27"/>
    </row>
    <row r="817" spans="1:4" x14ac:dyDescent="0.25">
      <c r="A817" s="27"/>
      <c r="B817" s="27" t="s">
        <v>8</v>
      </c>
      <c r="C817" s="27" t="s">
        <v>8</v>
      </c>
      <c r="D817" s="27" t="s">
        <v>8</v>
      </c>
    </row>
    <row r="818" spans="1:4" x14ac:dyDescent="0.25">
      <c r="A818" s="27" t="s">
        <v>1546</v>
      </c>
      <c r="B818" s="27"/>
      <c r="C818" s="27"/>
      <c r="D818" s="27"/>
    </row>
    <row r="819" spans="1:4" x14ac:dyDescent="0.25">
      <c r="A819" s="27"/>
      <c r="B819" s="27"/>
      <c r="C819" s="27"/>
      <c r="D819" s="27"/>
    </row>
    <row r="820" spans="1:4" x14ac:dyDescent="0.25">
      <c r="A820" s="27" t="s">
        <v>1547</v>
      </c>
      <c r="B820" s="27"/>
      <c r="C820" s="27"/>
      <c r="D820" s="27"/>
    </row>
    <row r="821" spans="1:4" x14ac:dyDescent="0.25">
      <c r="A821" s="27"/>
      <c r="B821" s="27" t="s">
        <v>8</v>
      </c>
      <c r="C821" s="27" t="s">
        <v>8</v>
      </c>
      <c r="D821" s="27" t="s">
        <v>8</v>
      </c>
    </row>
    <row r="822" spans="1:4" x14ac:dyDescent="0.25">
      <c r="A822" s="27" t="s">
        <v>1548</v>
      </c>
      <c r="B822" s="27"/>
      <c r="C822" s="27"/>
      <c r="D822" s="27"/>
    </row>
    <row r="823" spans="1:4" x14ac:dyDescent="0.25">
      <c r="A823" s="27"/>
      <c r="B823" s="27"/>
      <c r="C823" s="27"/>
      <c r="D823" s="27"/>
    </row>
    <row r="824" spans="1:4" x14ac:dyDescent="0.25">
      <c r="A824" s="27" t="s">
        <v>1549</v>
      </c>
      <c r="B824" s="27"/>
      <c r="C824" s="27"/>
      <c r="D824" s="27"/>
    </row>
    <row r="825" spans="1:4" x14ac:dyDescent="0.25">
      <c r="A825" s="27"/>
      <c r="B825" s="27" t="s">
        <v>8</v>
      </c>
      <c r="C825" s="27" t="s">
        <v>8</v>
      </c>
      <c r="D825" s="27" t="s">
        <v>8</v>
      </c>
    </row>
    <row r="826" spans="1:4" x14ac:dyDescent="0.25">
      <c r="A826" s="27" t="s">
        <v>1550</v>
      </c>
      <c r="B826" s="27"/>
      <c r="C826" s="27"/>
      <c r="D826" s="27"/>
    </row>
    <row r="827" spans="1:4" x14ac:dyDescent="0.25">
      <c r="A827" s="27"/>
      <c r="B827" s="27"/>
      <c r="C827" s="27"/>
      <c r="D827" s="27"/>
    </row>
    <row r="828" spans="1:4" x14ac:dyDescent="0.25">
      <c r="A828" s="27" t="s">
        <v>1551</v>
      </c>
      <c r="B828" s="27"/>
      <c r="C828" s="27"/>
      <c r="D828" s="27"/>
    </row>
    <row r="829" spans="1:4" x14ac:dyDescent="0.25">
      <c r="A829" s="27"/>
      <c r="B829" s="27" t="s">
        <v>8</v>
      </c>
      <c r="C829" s="27" t="s">
        <v>8</v>
      </c>
      <c r="D829" s="27" t="s">
        <v>8</v>
      </c>
    </row>
    <row r="830" spans="1:4" x14ac:dyDescent="0.25">
      <c r="A830" s="27" t="s">
        <v>1552</v>
      </c>
      <c r="B830" s="28"/>
      <c r="C830" s="28"/>
      <c r="D830" s="28"/>
    </row>
    <row r="831" spans="1:4" x14ac:dyDescent="0.25">
      <c r="A831" s="27"/>
      <c r="B831" s="27"/>
      <c r="C831" s="27"/>
      <c r="D831" s="27"/>
    </row>
    <row r="832" spans="1:4" x14ac:dyDescent="0.25">
      <c r="A832" s="27" t="s">
        <v>1553</v>
      </c>
      <c r="B832" s="27"/>
      <c r="C832" s="27"/>
      <c r="D832" s="27"/>
    </row>
    <row r="833" spans="1:4" x14ac:dyDescent="0.25">
      <c r="A833" s="27"/>
      <c r="B833" s="27" t="s">
        <v>8</v>
      </c>
      <c r="C833" s="27" t="s">
        <v>8</v>
      </c>
      <c r="D833" s="27" t="s">
        <v>8</v>
      </c>
    </row>
    <row r="834" spans="1:4" x14ac:dyDescent="0.25">
      <c r="A834" s="27" t="s">
        <v>1641</v>
      </c>
      <c r="B834" s="28">
        <v>7795624.0599999996</v>
      </c>
      <c r="C834" s="28">
        <v>139442.07</v>
      </c>
      <c r="D834" s="28">
        <v>7656181.9900000002</v>
      </c>
    </row>
    <row r="835" spans="1:4" x14ac:dyDescent="0.25">
      <c r="A835" s="27"/>
      <c r="B835" s="27"/>
      <c r="C835" s="27"/>
      <c r="D835" s="27"/>
    </row>
    <row r="836" spans="1:4" x14ac:dyDescent="0.25">
      <c r="A836" s="27" t="s">
        <v>1642</v>
      </c>
      <c r="B836" s="27"/>
      <c r="C836" s="27"/>
      <c r="D836" s="27"/>
    </row>
    <row r="837" spans="1:4" x14ac:dyDescent="0.25">
      <c r="A837" s="27"/>
      <c r="B837" s="27" t="s">
        <v>8</v>
      </c>
      <c r="C837" s="27" t="s">
        <v>8</v>
      </c>
      <c r="D837" s="27" t="s">
        <v>8</v>
      </c>
    </row>
    <row r="838" spans="1:4" x14ac:dyDescent="0.25">
      <c r="A838" s="27" t="s">
        <v>1645</v>
      </c>
      <c r="B838" s="27"/>
      <c r="C838" s="27"/>
      <c r="D838" s="27"/>
    </row>
    <row r="839" spans="1:4" x14ac:dyDescent="0.25">
      <c r="A839" s="27"/>
      <c r="B839" s="27"/>
      <c r="C839" s="27"/>
      <c r="D839" s="27"/>
    </row>
    <row r="840" spans="1:4" x14ac:dyDescent="0.25">
      <c r="A840" s="27" t="s">
        <v>1646</v>
      </c>
      <c r="B840" s="27"/>
      <c r="C840" s="27"/>
      <c r="D840" s="27"/>
    </row>
    <row r="841" spans="1:4" x14ac:dyDescent="0.25">
      <c r="A841" s="27"/>
      <c r="B841" s="27" t="s">
        <v>8</v>
      </c>
      <c r="C841" s="27" t="s">
        <v>8</v>
      </c>
      <c r="D841" s="27" t="s">
        <v>8</v>
      </c>
    </row>
    <row r="842" spans="1:4" x14ac:dyDescent="0.25">
      <c r="A842" s="27" t="s">
        <v>1647</v>
      </c>
      <c r="B842" s="27"/>
      <c r="C842" s="27"/>
      <c r="D842" s="27"/>
    </row>
    <row r="843" spans="1:4" x14ac:dyDescent="0.25">
      <c r="A843" s="27"/>
      <c r="B843" s="27"/>
      <c r="C843" s="27"/>
      <c r="D843" s="27"/>
    </row>
    <row r="844" spans="1:4" x14ac:dyDescent="0.25">
      <c r="A844" s="27" t="s">
        <v>1648</v>
      </c>
      <c r="B844" s="27"/>
      <c r="C844" s="27"/>
      <c r="D844" s="27"/>
    </row>
    <row r="845" spans="1:4" x14ac:dyDescent="0.25">
      <c r="A845" s="27"/>
      <c r="B845" s="27" t="s">
        <v>8</v>
      </c>
      <c r="C845" s="27" t="s">
        <v>8</v>
      </c>
      <c r="D845" s="27" t="s">
        <v>8</v>
      </c>
    </row>
    <row r="846" spans="1:4" x14ac:dyDescent="0.25">
      <c r="A846" s="27" t="s">
        <v>1649</v>
      </c>
      <c r="B846" s="27"/>
      <c r="C846" s="27"/>
      <c r="D846" s="27"/>
    </row>
    <row r="847" spans="1:4" x14ac:dyDescent="0.25">
      <c r="A847" s="27"/>
      <c r="B847" s="27"/>
      <c r="C847" s="27"/>
      <c r="D847" s="27"/>
    </row>
    <row r="848" spans="1:4" x14ac:dyDescent="0.25">
      <c r="A848" s="27" t="s">
        <v>1650</v>
      </c>
      <c r="B848" s="27"/>
      <c r="C848" s="27"/>
      <c r="D848" s="27"/>
    </row>
    <row r="849" spans="1:4" x14ac:dyDescent="0.25">
      <c r="A849" s="27"/>
      <c r="B849" s="27" t="s">
        <v>8</v>
      </c>
      <c r="C849" s="27" t="s">
        <v>8</v>
      </c>
      <c r="D849" s="27" t="s">
        <v>8</v>
      </c>
    </row>
    <row r="850" spans="1:4" x14ac:dyDescent="0.25">
      <c r="A850" s="27" t="s">
        <v>1651</v>
      </c>
      <c r="B850" s="27"/>
      <c r="C850" s="27"/>
      <c r="D850" s="27"/>
    </row>
    <row r="851" spans="1:4" x14ac:dyDescent="0.25">
      <c r="A851" s="27"/>
      <c r="B851" s="27"/>
      <c r="C851" s="27"/>
      <c r="D851" s="27"/>
    </row>
    <row r="852" spans="1:4" x14ac:dyDescent="0.25">
      <c r="A852" s="27" t="s">
        <v>1652</v>
      </c>
      <c r="B852" s="27"/>
      <c r="C852" s="27"/>
      <c r="D852" s="27"/>
    </row>
    <row r="853" spans="1:4" x14ac:dyDescent="0.25">
      <c r="A853" s="27"/>
      <c r="B853" s="27" t="s">
        <v>8</v>
      </c>
      <c r="C853" s="27" t="s">
        <v>8</v>
      </c>
      <c r="D853" s="27" t="s">
        <v>8</v>
      </c>
    </row>
    <row r="854" spans="1:4" x14ac:dyDescent="0.25">
      <c r="A854" s="27" t="s">
        <v>1653</v>
      </c>
      <c r="B854" s="28"/>
      <c r="C854" s="28"/>
      <c r="D854" s="28"/>
    </row>
    <row r="855" spans="1:4" x14ac:dyDescent="0.25">
      <c r="A855" s="27"/>
      <c r="B855" s="27"/>
      <c r="C855" s="27"/>
      <c r="D855" s="27"/>
    </row>
    <row r="856" spans="1:4" x14ac:dyDescent="0.25">
      <c r="A856" s="27" t="s">
        <v>1654</v>
      </c>
      <c r="B856" s="27"/>
      <c r="C856" s="27"/>
      <c r="D856" s="27"/>
    </row>
    <row r="857" spans="1:4" x14ac:dyDescent="0.25">
      <c r="A857" s="27"/>
      <c r="B857" s="27" t="s">
        <v>8</v>
      </c>
      <c r="C857" s="27" t="s">
        <v>8</v>
      </c>
      <c r="D857" s="27" t="s">
        <v>8</v>
      </c>
    </row>
    <row r="858" spans="1:4" x14ac:dyDescent="0.25">
      <c r="A858" s="27" t="s">
        <v>1762</v>
      </c>
      <c r="B858" s="28">
        <v>64692783.170000002</v>
      </c>
      <c r="C858" s="28">
        <v>4947073.1399999997</v>
      </c>
      <c r="D858" s="28">
        <v>59745710.030000001</v>
      </c>
    </row>
    <row r="859" spans="1:4" x14ac:dyDescent="0.25">
      <c r="A859" s="27"/>
      <c r="B859" s="27"/>
      <c r="C859" s="27"/>
      <c r="D859" s="27"/>
    </row>
    <row r="860" spans="1:4" x14ac:dyDescent="0.25">
      <c r="A860" s="27" t="s">
        <v>1763</v>
      </c>
      <c r="B860" s="27"/>
      <c r="C860" s="27"/>
      <c r="D860" s="27"/>
    </row>
    <row r="861" spans="1:4" x14ac:dyDescent="0.25">
      <c r="A861" s="27"/>
      <c r="B861" s="27" t="s">
        <v>8</v>
      </c>
      <c r="C861" s="27" t="s">
        <v>8</v>
      </c>
      <c r="D861" s="27" t="s">
        <v>8</v>
      </c>
    </row>
    <row r="862" spans="1:4" x14ac:dyDescent="0.25">
      <c r="A862" s="27" t="s">
        <v>1766</v>
      </c>
      <c r="B862" s="28"/>
      <c r="C862" s="28"/>
      <c r="D862" s="28"/>
    </row>
    <row r="863" spans="1:4" x14ac:dyDescent="0.25">
      <c r="A863" s="27"/>
      <c r="B863" s="27"/>
      <c r="C863" s="27"/>
      <c r="D863" s="27"/>
    </row>
    <row r="864" spans="1:4" x14ac:dyDescent="0.25">
      <c r="A864" s="27" t="s">
        <v>1767</v>
      </c>
      <c r="B864" s="27"/>
      <c r="C864" s="27"/>
      <c r="D864" s="27"/>
    </row>
    <row r="865" spans="1:4" x14ac:dyDescent="0.25">
      <c r="A865" s="27"/>
      <c r="B865" s="27" t="s">
        <v>8</v>
      </c>
      <c r="C865" s="27" t="s">
        <v>8</v>
      </c>
      <c r="D865" s="27" t="s">
        <v>8</v>
      </c>
    </row>
    <row r="866" spans="1:4" x14ac:dyDescent="0.25">
      <c r="A866" s="27" t="s">
        <v>1867</v>
      </c>
      <c r="B866" s="28">
        <v>9757714.4600000009</v>
      </c>
      <c r="C866" s="28">
        <v>842313.02</v>
      </c>
      <c r="D866" s="28">
        <v>8915401.4399999995</v>
      </c>
    </row>
    <row r="867" spans="1:4" x14ac:dyDescent="0.25">
      <c r="A867" s="27"/>
      <c r="B867" s="27"/>
      <c r="C867" s="27"/>
      <c r="D867" s="27"/>
    </row>
    <row r="868" spans="1:4" x14ac:dyDescent="0.25">
      <c r="A868" s="27" t="s">
        <v>1868</v>
      </c>
      <c r="B868" s="28"/>
      <c r="C868" s="28"/>
      <c r="D868" s="28"/>
    </row>
    <row r="869" spans="1:4" x14ac:dyDescent="0.25">
      <c r="A869" s="27"/>
      <c r="B869" s="27" t="s">
        <v>8</v>
      </c>
      <c r="C869" s="27" t="s">
        <v>8</v>
      </c>
      <c r="D869" s="27" t="s">
        <v>8</v>
      </c>
    </row>
    <row r="870" spans="1:4" x14ac:dyDescent="0.25">
      <c r="A870" s="27" t="s">
        <v>1871</v>
      </c>
      <c r="B870" s="27"/>
      <c r="C870" s="27"/>
      <c r="D870" s="27"/>
    </row>
    <row r="871" spans="1:4" x14ac:dyDescent="0.25">
      <c r="A871" s="27"/>
      <c r="B871" s="27" t="s">
        <v>8</v>
      </c>
      <c r="C871" s="27" t="s">
        <v>8</v>
      </c>
      <c r="D871" s="27" t="s">
        <v>8</v>
      </c>
    </row>
    <row r="872" spans="1:4" x14ac:dyDescent="0.25">
      <c r="A872" s="27" t="s">
        <v>1872</v>
      </c>
      <c r="B872" s="28">
        <v>82246121.689999998</v>
      </c>
      <c r="C872" s="28">
        <v>5928828.2300000004</v>
      </c>
      <c r="D872" s="28">
        <v>76317293.459999993</v>
      </c>
    </row>
    <row r="873" spans="1:4" x14ac:dyDescent="0.25">
      <c r="A873" s="27"/>
      <c r="B873" s="27"/>
      <c r="C873" s="27"/>
      <c r="D873" s="27"/>
    </row>
    <row r="874" spans="1:4" x14ac:dyDescent="0.25">
      <c r="A874" s="27" t="s">
        <v>1873</v>
      </c>
      <c r="B874" s="27"/>
      <c r="C874" s="27"/>
      <c r="D874" s="27"/>
    </row>
    <row r="875" spans="1:4" x14ac:dyDescent="0.25">
      <c r="A875" s="27"/>
      <c r="B875" s="27"/>
      <c r="C875" s="27"/>
      <c r="D875" s="27"/>
    </row>
    <row r="876" spans="1:4" x14ac:dyDescent="0.25">
      <c r="A876" s="27" t="s">
        <v>1874</v>
      </c>
      <c r="B876" s="27"/>
      <c r="C876" s="27"/>
      <c r="D876" s="27"/>
    </row>
    <row r="877" spans="1:4" x14ac:dyDescent="0.25">
      <c r="A877" s="27"/>
      <c r="B877" s="27" t="s">
        <v>8</v>
      </c>
      <c r="C877" s="27" t="s">
        <v>8</v>
      </c>
      <c r="D877" s="27" t="s">
        <v>8</v>
      </c>
    </row>
    <row r="878" spans="1:4" x14ac:dyDescent="0.25">
      <c r="A878" s="27" t="s">
        <v>1879</v>
      </c>
      <c r="B878" s="27"/>
      <c r="C878" s="27"/>
      <c r="D878" s="27"/>
    </row>
    <row r="879" spans="1:4" x14ac:dyDescent="0.25">
      <c r="A879" s="27"/>
      <c r="B879" s="27"/>
      <c r="C879" s="27"/>
      <c r="D879" s="27"/>
    </row>
    <row r="880" spans="1:4" x14ac:dyDescent="0.25">
      <c r="A880" s="27" t="s">
        <v>1880</v>
      </c>
      <c r="B880" s="27"/>
      <c r="C880" s="27"/>
      <c r="D880" s="27"/>
    </row>
    <row r="881" spans="1:4" x14ac:dyDescent="0.25">
      <c r="A881" s="27"/>
      <c r="B881" s="27" t="s">
        <v>8</v>
      </c>
      <c r="C881" s="27" t="s">
        <v>8</v>
      </c>
      <c r="D881" s="27" t="s">
        <v>8</v>
      </c>
    </row>
    <row r="882" spans="1:4" x14ac:dyDescent="0.25">
      <c r="A882" s="27" t="s">
        <v>1881</v>
      </c>
      <c r="B882" s="28"/>
      <c r="C882" s="28"/>
      <c r="D882" s="28"/>
    </row>
    <row r="883" spans="1:4" x14ac:dyDescent="0.25">
      <c r="A883" s="27"/>
      <c r="B883" s="27"/>
      <c r="C883" s="27"/>
      <c r="D883" s="27"/>
    </row>
    <row r="884" spans="1:4" x14ac:dyDescent="0.25">
      <c r="A884" s="27" t="s">
        <v>1882</v>
      </c>
      <c r="B884" s="27"/>
      <c r="C884" s="27"/>
      <c r="D884" s="27"/>
    </row>
    <row r="885" spans="1:4" x14ac:dyDescent="0.25">
      <c r="A885" s="27"/>
      <c r="B885" s="27" t="s">
        <v>8</v>
      </c>
      <c r="C885" s="27" t="s">
        <v>8</v>
      </c>
      <c r="D885" s="27" t="s">
        <v>8</v>
      </c>
    </row>
    <row r="886" spans="1:4" x14ac:dyDescent="0.25">
      <c r="A886" s="27" t="s">
        <v>1896</v>
      </c>
      <c r="B886" s="28">
        <v>23229.5</v>
      </c>
      <c r="C886" s="28">
        <v>723873.89</v>
      </c>
      <c r="D886" s="28">
        <v>-700644.39</v>
      </c>
    </row>
    <row r="887" spans="1:4" x14ac:dyDescent="0.25">
      <c r="A887" s="27"/>
      <c r="B887" s="27"/>
      <c r="C887" s="27"/>
      <c r="D887" s="27"/>
    </row>
    <row r="888" spans="1:4" x14ac:dyDescent="0.25">
      <c r="A888" s="27" t="s">
        <v>1897</v>
      </c>
      <c r="B888" s="27"/>
      <c r="C888" s="27"/>
      <c r="D888" s="27"/>
    </row>
    <row r="889" spans="1:4" x14ac:dyDescent="0.25">
      <c r="A889" s="27"/>
      <c r="B889" s="27" t="s">
        <v>8</v>
      </c>
      <c r="C889" s="27" t="s">
        <v>8</v>
      </c>
      <c r="D889" s="27" t="s">
        <v>8</v>
      </c>
    </row>
    <row r="890" spans="1:4" x14ac:dyDescent="0.25">
      <c r="A890" s="27" t="s">
        <v>1898</v>
      </c>
      <c r="B890" s="27"/>
      <c r="C890" s="27"/>
      <c r="D890" s="27"/>
    </row>
    <row r="891" spans="1:4" x14ac:dyDescent="0.25">
      <c r="A891" s="27"/>
      <c r="B891" s="27"/>
      <c r="C891" s="27"/>
      <c r="D891" s="27"/>
    </row>
    <row r="892" spans="1:4" x14ac:dyDescent="0.25">
      <c r="A892" s="27" t="s">
        <v>1899</v>
      </c>
      <c r="B892" s="27"/>
      <c r="C892" s="27"/>
      <c r="D892" s="27"/>
    </row>
    <row r="893" spans="1:4" x14ac:dyDescent="0.25">
      <c r="A893" s="27"/>
      <c r="B893" s="27" t="s">
        <v>8</v>
      </c>
      <c r="C893" s="27" t="s">
        <v>8</v>
      </c>
      <c r="D893" s="27" t="s">
        <v>8</v>
      </c>
    </row>
    <row r="894" spans="1:4" x14ac:dyDescent="0.25">
      <c r="A894" s="27" t="s">
        <v>1902</v>
      </c>
      <c r="B894" s="28"/>
      <c r="C894" s="28"/>
      <c r="D894" s="28"/>
    </row>
    <row r="895" spans="1:4" x14ac:dyDescent="0.25">
      <c r="A895" s="27"/>
      <c r="B895" s="27"/>
      <c r="C895" s="27"/>
      <c r="D895" s="27"/>
    </row>
    <row r="896" spans="1:4" x14ac:dyDescent="0.25">
      <c r="A896" s="27" t="s">
        <v>1903</v>
      </c>
      <c r="B896" s="27"/>
      <c r="C896" s="27"/>
      <c r="D896" s="27"/>
    </row>
    <row r="897" spans="1:4" x14ac:dyDescent="0.25">
      <c r="A897" s="27"/>
      <c r="B897" s="27" t="s">
        <v>8</v>
      </c>
      <c r="C897" s="27" t="s">
        <v>8</v>
      </c>
      <c r="D897" s="27" t="s">
        <v>8</v>
      </c>
    </row>
    <row r="898" spans="1:4" x14ac:dyDescent="0.25">
      <c r="A898" s="27" t="s">
        <v>1914</v>
      </c>
      <c r="B898" s="28">
        <v>472996.97</v>
      </c>
      <c r="C898" s="28">
        <v>4322873.07</v>
      </c>
      <c r="D898" s="28">
        <v>-3849876.1</v>
      </c>
    </row>
    <row r="899" spans="1:4" x14ac:dyDescent="0.25">
      <c r="A899" s="27"/>
      <c r="B899" s="27"/>
      <c r="C899" s="27"/>
      <c r="D899" s="27"/>
    </row>
    <row r="900" spans="1:4" x14ac:dyDescent="0.25">
      <c r="A900" s="27" t="s">
        <v>1915</v>
      </c>
      <c r="B900" s="27"/>
      <c r="C900" s="27"/>
      <c r="D900" s="27"/>
    </row>
    <row r="901" spans="1:4" x14ac:dyDescent="0.25">
      <c r="A901" s="27"/>
      <c r="B901" s="27" t="s">
        <v>8</v>
      </c>
      <c r="C901" s="27" t="s">
        <v>8</v>
      </c>
      <c r="D901" s="27" t="s">
        <v>8</v>
      </c>
    </row>
    <row r="902" spans="1:4" x14ac:dyDescent="0.25">
      <c r="A902" s="27" t="s">
        <v>1919</v>
      </c>
      <c r="B902" s="27"/>
      <c r="C902" s="28">
        <v>65020.87</v>
      </c>
      <c r="D902" s="28">
        <v>-65020.87</v>
      </c>
    </row>
    <row r="903" spans="1:4" x14ac:dyDescent="0.25">
      <c r="A903" s="27"/>
      <c r="B903" s="27"/>
      <c r="C903" s="27"/>
      <c r="D903" s="27"/>
    </row>
    <row r="904" spans="1:4" x14ac:dyDescent="0.25">
      <c r="A904" s="27" t="s">
        <v>1920</v>
      </c>
      <c r="B904" s="27"/>
      <c r="C904" s="27"/>
      <c r="D904" s="27"/>
    </row>
    <row r="905" spans="1:4" x14ac:dyDescent="0.25">
      <c r="A905" s="27"/>
      <c r="B905" s="27" t="s">
        <v>8</v>
      </c>
      <c r="C905" s="27" t="s">
        <v>8</v>
      </c>
      <c r="D905" s="27" t="s">
        <v>8</v>
      </c>
    </row>
    <row r="906" spans="1:4" x14ac:dyDescent="0.25">
      <c r="A906" s="27" t="s">
        <v>1927</v>
      </c>
      <c r="B906" s="28">
        <v>232371.05</v>
      </c>
      <c r="C906" s="28">
        <v>36961983.5</v>
      </c>
      <c r="D906" s="28">
        <v>-36729612.450000003</v>
      </c>
    </row>
    <row r="907" spans="1:4" x14ac:dyDescent="0.25">
      <c r="A907" s="27"/>
      <c r="B907" s="27"/>
      <c r="C907" s="27"/>
      <c r="D907" s="27"/>
    </row>
    <row r="908" spans="1:4" x14ac:dyDescent="0.25">
      <c r="A908" s="27" t="s">
        <v>1928</v>
      </c>
      <c r="B908" s="27"/>
      <c r="C908" s="27"/>
      <c r="D908" s="27"/>
    </row>
    <row r="909" spans="1:4" x14ac:dyDescent="0.25">
      <c r="A909" s="27"/>
      <c r="B909" s="27" t="s">
        <v>8</v>
      </c>
      <c r="C909" s="27" t="s">
        <v>8</v>
      </c>
      <c r="D909" s="27" t="s">
        <v>8</v>
      </c>
    </row>
    <row r="910" spans="1:4" x14ac:dyDescent="0.25">
      <c r="A910" s="27" t="s">
        <v>1931</v>
      </c>
      <c r="B910" s="27"/>
      <c r="C910" s="28"/>
      <c r="D910" s="28"/>
    </row>
    <row r="911" spans="1:4" x14ac:dyDescent="0.25">
      <c r="A911" s="27"/>
      <c r="B911" s="27"/>
      <c r="C911" s="27"/>
      <c r="D911" s="27"/>
    </row>
    <row r="912" spans="1:4" x14ac:dyDescent="0.25">
      <c r="A912" s="27" t="s">
        <v>1932</v>
      </c>
      <c r="B912" s="27"/>
      <c r="C912" s="27"/>
      <c r="D912" s="27"/>
    </row>
    <row r="913" spans="1:4" x14ac:dyDescent="0.25">
      <c r="A913" s="27"/>
      <c r="B913" s="27" t="s">
        <v>8</v>
      </c>
      <c r="C913" s="27" t="s">
        <v>8</v>
      </c>
      <c r="D913" s="27" t="s">
        <v>8</v>
      </c>
    </row>
    <row r="914" spans="1:4" x14ac:dyDescent="0.25">
      <c r="A914" s="27" t="s">
        <v>1942</v>
      </c>
      <c r="B914" s="27"/>
      <c r="C914" s="28">
        <v>149817.29</v>
      </c>
      <c r="D914" s="28">
        <v>-149817.29</v>
      </c>
    </row>
    <row r="915" spans="1:4" x14ac:dyDescent="0.25">
      <c r="A915" s="27"/>
      <c r="B915" s="27"/>
      <c r="C915" s="27"/>
      <c r="D915" s="27"/>
    </row>
    <row r="916" spans="1:4" x14ac:dyDescent="0.25">
      <c r="A916" s="27" t="s">
        <v>1943</v>
      </c>
      <c r="B916" s="27"/>
      <c r="C916" s="27"/>
      <c r="D916" s="27"/>
    </row>
    <row r="917" spans="1:4" x14ac:dyDescent="0.25">
      <c r="A917" s="27"/>
      <c r="B917" s="27" t="s">
        <v>8</v>
      </c>
      <c r="C917" s="27" t="s">
        <v>8</v>
      </c>
      <c r="D917" s="27" t="s">
        <v>8</v>
      </c>
    </row>
    <row r="918" spans="1:4" x14ac:dyDescent="0.25">
      <c r="A918" s="27" t="s">
        <v>1946</v>
      </c>
      <c r="B918" s="27"/>
      <c r="C918" s="27"/>
      <c r="D918" s="27"/>
    </row>
    <row r="919" spans="1:4" x14ac:dyDescent="0.25">
      <c r="A919" s="27"/>
      <c r="B919" s="27"/>
      <c r="C919" s="27"/>
      <c r="D919" s="27"/>
    </row>
    <row r="920" spans="1:4" x14ac:dyDescent="0.25">
      <c r="A920" s="27" t="s">
        <v>1947</v>
      </c>
      <c r="B920" s="27"/>
      <c r="C920" s="27"/>
      <c r="D920" s="27"/>
    </row>
    <row r="921" spans="1:4" x14ac:dyDescent="0.25">
      <c r="A921" s="27"/>
      <c r="B921" s="27" t="s">
        <v>8</v>
      </c>
      <c r="C921" s="27" t="s">
        <v>8</v>
      </c>
      <c r="D921" s="27" t="s">
        <v>8</v>
      </c>
    </row>
    <row r="922" spans="1:4" x14ac:dyDescent="0.25">
      <c r="A922" s="27" t="s">
        <v>1950</v>
      </c>
      <c r="B922" s="27"/>
      <c r="C922" s="27"/>
      <c r="D922" s="27"/>
    </row>
    <row r="923" spans="1:4" x14ac:dyDescent="0.25">
      <c r="A923" s="27"/>
      <c r="B923" s="27"/>
      <c r="C923" s="27"/>
      <c r="D923" s="27"/>
    </row>
    <row r="924" spans="1:4" x14ac:dyDescent="0.25">
      <c r="A924" s="27" t="s">
        <v>1951</v>
      </c>
      <c r="B924" s="27"/>
      <c r="C924" s="27"/>
      <c r="D924" s="27"/>
    </row>
    <row r="925" spans="1:4" x14ac:dyDescent="0.25">
      <c r="A925" s="27"/>
      <c r="B925" s="27" t="s">
        <v>8</v>
      </c>
      <c r="C925" s="27" t="s">
        <v>8</v>
      </c>
      <c r="D925" s="27" t="s">
        <v>8</v>
      </c>
    </row>
    <row r="926" spans="1:4" x14ac:dyDescent="0.25">
      <c r="A926" s="27" t="s">
        <v>1954</v>
      </c>
      <c r="B926" s="28"/>
      <c r="C926" s="27"/>
      <c r="D926" s="28"/>
    </row>
    <row r="927" spans="1:4" x14ac:dyDescent="0.25">
      <c r="A927" s="27"/>
      <c r="B927" s="27"/>
      <c r="C927" s="27"/>
      <c r="D927" s="27"/>
    </row>
    <row r="928" spans="1:4" x14ac:dyDescent="0.25">
      <c r="A928" s="27" t="s">
        <v>1955</v>
      </c>
      <c r="B928" s="27"/>
      <c r="C928" s="27"/>
      <c r="D928" s="27"/>
    </row>
    <row r="929" spans="1:4" x14ac:dyDescent="0.25">
      <c r="A929" s="27"/>
      <c r="B929" s="27" t="s">
        <v>8</v>
      </c>
      <c r="C929" s="27" t="s">
        <v>8</v>
      </c>
      <c r="D929" s="27" t="s">
        <v>8</v>
      </c>
    </row>
    <row r="930" spans="1:4" x14ac:dyDescent="0.25">
      <c r="A930" s="27" t="s">
        <v>1959</v>
      </c>
      <c r="B930" s="28">
        <v>32646.99</v>
      </c>
      <c r="C930" s="28"/>
      <c r="D930" s="28">
        <v>32646.99</v>
      </c>
    </row>
    <row r="931" spans="1:4" x14ac:dyDescent="0.25">
      <c r="A931" s="27"/>
      <c r="B931" s="27"/>
      <c r="C931" s="27"/>
      <c r="D931" s="27"/>
    </row>
    <row r="932" spans="1:4" x14ac:dyDescent="0.25">
      <c r="A932" s="27" t="s">
        <v>1960</v>
      </c>
      <c r="B932" s="27"/>
      <c r="C932" s="27"/>
      <c r="D932" s="27"/>
    </row>
    <row r="933" spans="1:4" x14ac:dyDescent="0.25">
      <c r="A933" s="27"/>
      <c r="B933" s="27" t="s">
        <v>8</v>
      </c>
      <c r="C933" s="27" t="s">
        <v>8</v>
      </c>
      <c r="D933" s="27" t="s">
        <v>8</v>
      </c>
    </row>
    <row r="934" spans="1:4" x14ac:dyDescent="0.25">
      <c r="A934" s="27" t="s">
        <v>1967</v>
      </c>
      <c r="B934" s="28">
        <v>31248571.370000001</v>
      </c>
      <c r="C934" s="28">
        <v>232371.05</v>
      </c>
      <c r="D934" s="28">
        <v>31016200.32</v>
      </c>
    </row>
    <row r="935" spans="1:4" x14ac:dyDescent="0.25">
      <c r="A935" s="27"/>
      <c r="B935" s="27"/>
      <c r="C935" s="27"/>
      <c r="D935" s="27"/>
    </row>
    <row r="936" spans="1:4" x14ac:dyDescent="0.25">
      <c r="A936" s="27" t="s">
        <v>1968</v>
      </c>
      <c r="B936" s="27"/>
      <c r="C936" s="27"/>
      <c r="D936" s="27"/>
    </row>
    <row r="937" spans="1:4" x14ac:dyDescent="0.25">
      <c r="A937" s="27"/>
      <c r="B937" s="27" t="s">
        <v>8</v>
      </c>
      <c r="C937" s="27" t="s">
        <v>8</v>
      </c>
      <c r="D937" s="27" t="s">
        <v>8</v>
      </c>
    </row>
    <row r="938" spans="1:4" x14ac:dyDescent="0.25">
      <c r="A938" s="27" t="s">
        <v>1972</v>
      </c>
      <c r="B938" s="28">
        <v>31525256.920000002</v>
      </c>
      <c r="C938" s="27"/>
      <c r="D938" s="28">
        <v>31525256.920000002</v>
      </c>
    </row>
    <row r="939" spans="1:4" x14ac:dyDescent="0.25">
      <c r="A939" s="27"/>
      <c r="B939" s="27"/>
      <c r="C939" s="27"/>
      <c r="D939" s="27"/>
    </row>
    <row r="940" spans="1:4" x14ac:dyDescent="0.25">
      <c r="A940" s="27" t="s">
        <v>1973</v>
      </c>
      <c r="B940" s="27"/>
      <c r="C940" s="27"/>
      <c r="D940" s="27"/>
    </row>
    <row r="941" spans="1:4" x14ac:dyDescent="0.25">
      <c r="A941" s="27"/>
      <c r="B941" s="27" t="s">
        <v>8</v>
      </c>
      <c r="C941" s="27" t="s">
        <v>8</v>
      </c>
      <c r="D941" s="27" t="s">
        <v>8</v>
      </c>
    </row>
    <row r="942" spans="1:4" x14ac:dyDescent="0.25">
      <c r="A942" s="27" t="s">
        <v>1976</v>
      </c>
      <c r="B942" s="27"/>
      <c r="C942" s="27"/>
      <c r="D942" s="27"/>
    </row>
    <row r="943" spans="1:4" x14ac:dyDescent="0.25">
      <c r="A943" s="27"/>
      <c r="B943" s="27"/>
      <c r="C943" s="27"/>
      <c r="D943" s="27"/>
    </row>
    <row r="944" spans="1:4" x14ac:dyDescent="0.25">
      <c r="A944" s="27" t="s">
        <v>1977</v>
      </c>
      <c r="B944" s="27"/>
      <c r="C944" s="27"/>
      <c r="D944" s="27"/>
    </row>
    <row r="945" spans="1:4" x14ac:dyDescent="0.25">
      <c r="A945" s="27"/>
      <c r="B945" s="27" t="s">
        <v>8</v>
      </c>
      <c r="C945" s="27" t="s">
        <v>8</v>
      </c>
      <c r="D945" s="27" t="s">
        <v>8</v>
      </c>
    </row>
    <row r="946" spans="1:4" x14ac:dyDescent="0.25">
      <c r="A946" s="27" t="s">
        <v>1980</v>
      </c>
      <c r="B946" s="27"/>
      <c r="C946" s="27"/>
      <c r="D946" s="27"/>
    </row>
    <row r="947" spans="1:4" x14ac:dyDescent="0.25">
      <c r="A947" s="27"/>
      <c r="B947" s="27"/>
      <c r="C947" s="27"/>
      <c r="D947" s="27"/>
    </row>
    <row r="948" spans="1:4" x14ac:dyDescent="0.25">
      <c r="A948" s="27" t="s">
        <v>1981</v>
      </c>
      <c r="B948" s="27"/>
      <c r="C948" s="27"/>
      <c r="D948" s="27"/>
    </row>
    <row r="949" spans="1:4" x14ac:dyDescent="0.25">
      <c r="A949" s="27"/>
      <c r="B949" s="27" t="s">
        <v>8</v>
      </c>
      <c r="C949" s="27" t="s">
        <v>8</v>
      </c>
      <c r="D949" s="27" t="s">
        <v>8</v>
      </c>
    </row>
    <row r="950" spans="1:4" x14ac:dyDescent="0.25">
      <c r="A950" s="27" t="s">
        <v>1984</v>
      </c>
      <c r="B950" s="28"/>
      <c r="C950" s="28"/>
      <c r="D950" s="28"/>
    </row>
    <row r="951" spans="1:4" x14ac:dyDescent="0.25">
      <c r="A951" s="27"/>
      <c r="B951" s="27"/>
      <c r="C951" s="27"/>
      <c r="D951" s="27"/>
    </row>
    <row r="952" spans="1:4" x14ac:dyDescent="0.25">
      <c r="A952" s="27" t="s">
        <v>1985</v>
      </c>
      <c r="B952" s="27"/>
      <c r="C952" s="27"/>
      <c r="D952" s="27"/>
    </row>
    <row r="953" spans="1:4" x14ac:dyDescent="0.25">
      <c r="A953" s="27"/>
      <c r="B953" s="27" t="s">
        <v>8</v>
      </c>
      <c r="C953" s="27" t="s">
        <v>8</v>
      </c>
      <c r="D953" s="27" t="s">
        <v>8</v>
      </c>
    </row>
    <row r="954" spans="1:4" x14ac:dyDescent="0.25">
      <c r="A954" s="27" t="s">
        <v>1999</v>
      </c>
      <c r="B954" s="28">
        <v>18127592.34</v>
      </c>
      <c r="C954" s="28">
        <v>1941999.94</v>
      </c>
      <c r="D954" s="28">
        <v>16185592.4</v>
      </c>
    </row>
    <row r="955" spans="1:4" x14ac:dyDescent="0.25">
      <c r="A955" s="27"/>
      <c r="B955" s="27"/>
      <c r="C955" s="27"/>
      <c r="D955" s="27"/>
    </row>
    <row r="956" spans="1:4" x14ac:dyDescent="0.25">
      <c r="A956" s="27" t="s">
        <v>2000</v>
      </c>
      <c r="B956" s="28"/>
      <c r="C956" s="28"/>
      <c r="D956" s="28"/>
    </row>
    <row r="957" spans="1:4" x14ac:dyDescent="0.25">
      <c r="A957" s="27"/>
      <c r="B957" s="27" t="s">
        <v>8</v>
      </c>
      <c r="C957" s="27" t="s">
        <v>8</v>
      </c>
      <c r="D957" s="27" t="s">
        <v>8</v>
      </c>
    </row>
    <row r="958" spans="1:4" x14ac:dyDescent="0.25">
      <c r="A958" s="27" t="s">
        <v>2003</v>
      </c>
      <c r="B958" s="27"/>
      <c r="C958" s="27"/>
      <c r="D958" s="27"/>
    </row>
    <row r="959" spans="1:4" x14ac:dyDescent="0.25">
      <c r="A959" s="27"/>
      <c r="B959" s="27" t="s">
        <v>8</v>
      </c>
      <c r="C959" s="27" t="s">
        <v>8</v>
      </c>
      <c r="D959" s="27" t="s">
        <v>8</v>
      </c>
    </row>
    <row r="960" spans="1:4" x14ac:dyDescent="0.25">
      <c r="A960" s="27" t="s">
        <v>2004</v>
      </c>
      <c r="B960" s="28">
        <v>81662665.140000001</v>
      </c>
      <c r="C960" s="28">
        <v>44397939.609999999</v>
      </c>
      <c r="D960" s="28">
        <v>37264725.530000001</v>
      </c>
    </row>
    <row r="961" spans="1:4" x14ac:dyDescent="0.25">
      <c r="A961" s="27"/>
      <c r="B961" s="27"/>
      <c r="C961" s="27"/>
      <c r="D961" s="27"/>
    </row>
    <row r="962" spans="1:4" x14ac:dyDescent="0.25">
      <c r="A962" s="27" t="s">
        <v>2005</v>
      </c>
      <c r="B962" s="27"/>
      <c r="C962" s="27"/>
      <c r="D962" s="27"/>
    </row>
    <row r="963" spans="1:4" x14ac:dyDescent="0.25">
      <c r="A963" s="27"/>
      <c r="B963" s="27"/>
      <c r="C963" s="27"/>
      <c r="D963" s="27"/>
    </row>
    <row r="964" spans="1:4" x14ac:dyDescent="0.25">
      <c r="A964" s="27" t="s">
        <v>2006</v>
      </c>
      <c r="B964" s="27"/>
      <c r="C964" s="27"/>
      <c r="D964" s="27"/>
    </row>
    <row r="965" spans="1:4" x14ac:dyDescent="0.25">
      <c r="A965" s="27"/>
      <c r="B965" s="27" t="s">
        <v>8</v>
      </c>
      <c r="C965" s="27" t="s">
        <v>8</v>
      </c>
      <c r="D965" s="27" t="s">
        <v>8</v>
      </c>
    </row>
    <row r="966" spans="1:4" x14ac:dyDescent="0.25">
      <c r="A966" s="27" t="s">
        <v>2007</v>
      </c>
      <c r="B966" s="28"/>
      <c r="C966" s="28"/>
      <c r="D966" s="28"/>
    </row>
    <row r="967" spans="1:4" x14ac:dyDescent="0.25">
      <c r="A967" s="27"/>
      <c r="B967" s="27"/>
      <c r="C967" s="27"/>
      <c r="D967" s="27"/>
    </row>
    <row r="968" spans="1:4" x14ac:dyDescent="0.25">
      <c r="A968" s="27" t="s">
        <v>2008</v>
      </c>
      <c r="B968" s="27"/>
      <c r="C968" s="27"/>
      <c r="D968" s="27"/>
    </row>
    <row r="969" spans="1:4" x14ac:dyDescent="0.25">
      <c r="A969" s="27"/>
      <c r="B969" s="27" t="s">
        <v>8</v>
      </c>
      <c r="C969" s="27" t="s">
        <v>8</v>
      </c>
      <c r="D969" s="27" t="s">
        <v>8</v>
      </c>
    </row>
    <row r="970" spans="1:4" x14ac:dyDescent="0.25">
      <c r="A970" s="27" t="s">
        <v>2021</v>
      </c>
      <c r="B970" s="28">
        <v>3665540.76</v>
      </c>
      <c r="C970" s="28">
        <v>4683946.9800000004</v>
      </c>
      <c r="D970" s="28">
        <v>-1018406.22</v>
      </c>
    </row>
    <row r="971" spans="1:4" x14ac:dyDescent="0.25">
      <c r="A971" s="27"/>
      <c r="B971" s="27"/>
      <c r="C971" s="27"/>
      <c r="D971" s="27"/>
    </row>
    <row r="972" spans="1:4" x14ac:dyDescent="0.25">
      <c r="A972" s="27" t="s">
        <v>2022</v>
      </c>
      <c r="B972" s="27"/>
      <c r="C972" s="27"/>
      <c r="D972" s="27"/>
    </row>
    <row r="973" spans="1:4" x14ac:dyDescent="0.25">
      <c r="A973" s="27"/>
      <c r="B973" s="27" t="s">
        <v>8</v>
      </c>
      <c r="C973" s="27" t="s">
        <v>8</v>
      </c>
      <c r="D973" s="27" t="s">
        <v>8</v>
      </c>
    </row>
    <row r="974" spans="1:4" x14ac:dyDescent="0.25">
      <c r="A974" s="27" t="s">
        <v>2023</v>
      </c>
      <c r="B974" s="27"/>
      <c r="C974" s="27"/>
      <c r="D974" s="27"/>
    </row>
    <row r="975" spans="1:4" x14ac:dyDescent="0.25">
      <c r="A975" s="27"/>
      <c r="B975" s="27"/>
      <c r="C975" s="27"/>
      <c r="D975" s="27"/>
    </row>
    <row r="976" spans="1:4" x14ac:dyDescent="0.25">
      <c r="A976" s="27" t="s">
        <v>2024</v>
      </c>
      <c r="B976" s="27"/>
      <c r="C976" s="27"/>
      <c r="D976" s="27"/>
    </row>
    <row r="977" spans="1:4" x14ac:dyDescent="0.25">
      <c r="A977" s="27"/>
      <c r="B977" s="27" t="s">
        <v>8</v>
      </c>
      <c r="C977" s="27" t="s">
        <v>8</v>
      </c>
      <c r="D977" s="27" t="s">
        <v>8</v>
      </c>
    </row>
    <row r="978" spans="1:4" x14ac:dyDescent="0.25">
      <c r="A978" s="27" t="s">
        <v>2027</v>
      </c>
      <c r="B978" s="28"/>
      <c r="C978" s="28"/>
      <c r="D978" s="27"/>
    </row>
    <row r="979" spans="1:4" x14ac:dyDescent="0.25">
      <c r="A979" s="27"/>
      <c r="B979" s="27"/>
      <c r="C979" s="27"/>
      <c r="D979" s="27"/>
    </row>
    <row r="980" spans="1:4" x14ac:dyDescent="0.25">
      <c r="A980" s="27" t="s">
        <v>2028</v>
      </c>
      <c r="B980" s="27"/>
      <c r="C980" s="27"/>
      <c r="D980" s="27"/>
    </row>
    <row r="981" spans="1:4" x14ac:dyDescent="0.25">
      <c r="A981" s="27"/>
      <c r="B981" s="27" t="s">
        <v>8</v>
      </c>
      <c r="C981" s="27" t="s">
        <v>8</v>
      </c>
      <c r="D981" s="27" t="s">
        <v>8</v>
      </c>
    </row>
    <row r="982" spans="1:4" x14ac:dyDescent="0.25">
      <c r="A982" s="27" t="s">
        <v>2034</v>
      </c>
      <c r="B982" s="28">
        <v>6509.7</v>
      </c>
      <c r="C982" s="28">
        <v>6509.7</v>
      </c>
      <c r="D982" s="27"/>
    </row>
    <row r="983" spans="1:4" x14ac:dyDescent="0.25">
      <c r="A983" s="27"/>
      <c r="B983" s="27"/>
      <c r="C983" s="27"/>
      <c r="D983" s="27"/>
    </row>
    <row r="984" spans="1:4" x14ac:dyDescent="0.25">
      <c r="A984" s="27" t="s">
        <v>2035</v>
      </c>
      <c r="B984" s="27"/>
      <c r="C984" s="27"/>
      <c r="D984" s="27"/>
    </row>
    <row r="985" spans="1:4" x14ac:dyDescent="0.25">
      <c r="A985" s="27"/>
      <c r="B985" s="27" t="s">
        <v>8</v>
      </c>
      <c r="C985" s="27" t="s">
        <v>8</v>
      </c>
      <c r="D985" s="27" t="s">
        <v>8</v>
      </c>
    </row>
    <row r="986" spans="1:4" x14ac:dyDescent="0.25">
      <c r="A986" s="27" t="s">
        <v>2038</v>
      </c>
      <c r="B986" s="27"/>
      <c r="C986" s="27"/>
      <c r="D986" s="27"/>
    </row>
    <row r="987" spans="1:4" x14ac:dyDescent="0.25">
      <c r="A987" s="27"/>
      <c r="B987" s="27"/>
      <c r="C987" s="27"/>
      <c r="D987" s="27"/>
    </row>
    <row r="988" spans="1:4" x14ac:dyDescent="0.25">
      <c r="A988" s="27" t="s">
        <v>2039</v>
      </c>
      <c r="B988" s="27"/>
      <c r="C988" s="27"/>
      <c r="D988" s="27"/>
    </row>
    <row r="989" spans="1:4" x14ac:dyDescent="0.25">
      <c r="A989" s="27"/>
      <c r="B989" s="27" t="s">
        <v>8</v>
      </c>
      <c r="C989" s="27" t="s">
        <v>8</v>
      </c>
      <c r="D989" s="27" t="s">
        <v>8</v>
      </c>
    </row>
    <row r="990" spans="1:4" x14ac:dyDescent="0.25">
      <c r="A990" s="27" t="s">
        <v>2042</v>
      </c>
      <c r="B990" s="27"/>
      <c r="C990" s="27"/>
      <c r="D990" s="27"/>
    </row>
    <row r="991" spans="1:4" x14ac:dyDescent="0.25">
      <c r="A991" s="27"/>
      <c r="B991" s="27"/>
      <c r="C991" s="27"/>
      <c r="D991" s="27"/>
    </row>
    <row r="992" spans="1:4" x14ac:dyDescent="0.25">
      <c r="A992" s="27" t="s">
        <v>2043</v>
      </c>
      <c r="B992" s="27"/>
      <c r="C992" s="27"/>
      <c r="D992" s="27"/>
    </row>
    <row r="993" spans="1:4" x14ac:dyDescent="0.25">
      <c r="A993" s="27"/>
      <c r="B993" s="27" t="s">
        <v>8</v>
      </c>
      <c r="C993" s="27" t="s">
        <v>8</v>
      </c>
      <c r="D993" s="27" t="s">
        <v>8</v>
      </c>
    </row>
    <row r="994" spans="1:4" x14ac:dyDescent="0.25">
      <c r="A994" s="27" t="s">
        <v>2046</v>
      </c>
      <c r="B994" s="28"/>
      <c r="C994" s="28"/>
      <c r="D994" s="27"/>
    </row>
    <row r="995" spans="1:4" x14ac:dyDescent="0.25">
      <c r="A995" s="27"/>
      <c r="B995" s="27"/>
      <c r="C995" s="27"/>
      <c r="D995" s="27"/>
    </row>
    <row r="996" spans="1:4" x14ac:dyDescent="0.25">
      <c r="A996" s="27" t="s">
        <v>2047</v>
      </c>
      <c r="B996" s="27"/>
      <c r="C996" s="27"/>
      <c r="D996" s="27"/>
    </row>
    <row r="997" spans="1:4" x14ac:dyDescent="0.25">
      <c r="A997" s="27"/>
      <c r="B997" s="27" t="s">
        <v>8</v>
      </c>
      <c r="C997" s="27" t="s">
        <v>8</v>
      </c>
      <c r="D997" s="27" t="s">
        <v>8</v>
      </c>
    </row>
    <row r="998" spans="1:4" x14ac:dyDescent="0.25">
      <c r="A998" s="27" t="s">
        <v>2070</v>
      </c>
      <c r="B998" s="28">
        <v>152765703.09</v>
      </c>
      <c r="C998" s="28">
        <v>152765703.09</v>
      </c>
      <c r="D998" s="27"/>
    </row>
    <row r="999" spans="1:4" x14ac:dyDescent="0.25">
      <c r="A999" s="27"/>
      <c r="B999" s="27"/>
      <c r="C999" s="27"/>
      <c r="D999" s="27"/>
    </row>
    <row r="1000" spans="1:4" x14ac:dyDescent="0.25">
      <c r="A1000" s="27" t="s">
        <v>2071</v>
      </c>
      <c r="B1000" s="27"/>
      <c r="C1000" s="27"/>
      <c r="D1000" s="27"/>
    </row>
    <row r="1001" spans="1:4" x14ac:dyDescent="0.25">
      <c r="A1001" s="27"/>
      <c r="B1001" s="27" t="s">
        <v>8</v>
      </c>
      <c r="C1001" s="27" t="s">
        <v>8</v>
      </c>
      <c r="D1001" s="27" t="s">
        <v>8</v>
      </c>
    </row>
    <row r="1002" spans="1:4" x14ac:dyDescent="0.25">
      <c r="A1002" s="27" t="s">
        <v>2121</v>
      </c>
      <c r="B1002" s="28">
        <v>268983876432.37</v>
      </c>
      <c r="C1002" s="28">
        <v>268983876432.37</v>
      </c>
      <c r="D1002" s="28"/>
    </row>
    <row r="1003" spans="1:4" x14ac:dyDescent="0.25">
      <c r="A1003" s="27"/>
      <c r="B1003" s="27"/>
      <c r="C1003" s="27"/>
      <c r="D1003" s="27"/>
    </row>
    <row r="1004" spans="1:4" x14ac:dyDescent="0.25">
      <c r="A1004" s="27" t="s">
        <v>2122</v>
      </c>
      <c r="B1004" s="27"/>
      <c r="C1004" s="27"/>
      <c r="D1004" s="27"/>
    </row>
    <row r="1005" spans="1:4" x14ac:dyDescent="0.25">
      <c r="A1005" s="27"/>
      <c r="B1005" s="27" t="s">
        <v>8</v>
      </c>
      <c r="C1005" s="27" t="s">
        <v>8</v>
      </c>
      <c r="D1005" s="27" t="s">
        <v>8</v>
      </c>
    </row>
    <row r="1006" spans="1:4" x14ac:dyDescent="0.25">
      <c r="A1006" s="27" t="s">
        <v>2132</v>
      </c>
      <c r="B1006" s="28">
        <v>300000</v>
      </c>
      <c r="C1006" s="28"/>
      <c r="D1006" s="28">
        <v>300000</v>
      </c>
    </row>
    <row r="1007" spans="1:4" x14ac:dyDescent="0.25">
      <c r="A1007" s="27"/>
      <c r="B1007" s="27"/>
      <c r="C1007" s="27"/>
      <c r="D1007" s="27"/>
    </row>
    <row r="1008" spans="1:4" x14ac:dyDescent="0.25">
      <c r="A1008" s="27" t="s">
        <v>2133</v>
      </c>
      <c r="B1008" s="28"/>
      <c r="C1008" s="28"/>
      <c r="D1008" s="28"/>
    </row>
    <row r="1009" spans="1:4" x14ac:dyDescent="0.25">
      <c r="A1009" s="27"/>
      <c r="B1009" s="27" t="s">
        <v>8</v>
      </c>
      <c r="C1009" s="27" t="s">
        <v>8</v>
      </c>
      <c r="D1009" s="27" t="s">
        <v>8</v>
      </c>
    </row>
    <row r="1010" spans="1:4" x14ac:dyDescent="0.25">
      <c r="A1010" s="27" t="s">
        <v>2143</v>
      </c>
      <c r="B1010" s="27"/>
      <c r="C1010" s="28">
        <v>300000</v>
      </c>
      <c r="D1010" s="28">
        <v>-300000</v>
      </c>
    </row>
    <row r="1011" spans="1:4" x14ac:dyDescent="0.25">
      <c r="B1011" t="s">
        <v>8</v>
      </c>
      <c r="C1011" t="s">
        <v>8</v>
      </c>
      <c r="D1011" t="s">
        <v>8</v>
      </c>
    </row>
    <row r="1012" spans="1:4" x14ac:dyDescent="0.25">
      <c r="A1012" t="s">
        <v>2144</v>
      </c>
      <c r="B1012" s="1">
        <v>269140614185.92001</v>
      </c>
      <c r="C1012" s="1">
        <v>269141632592.14001</v>
      </c>
      <c r="D1012" s="1">
        <v>-1018406.22</v>
      </c>
    </row>
    <row r="1014" spans="1:4" x14ac:dyDescent="0.25">
      <c r="A1014" t="s">
        <v>2145</v>
      </c>
    </row>
    <row r="1015" spans="1:4" x14ac:dyDescent="0.25">
      <c r="B1015" t="s">
        <v>8</v>
      </c>
      <c r="C1015" t="s">
        <v>8</v>
      </c>
      <c r="D1015" t="s">
        <v>8</v>
      </c>
    </row>
    <row r="1016" spans="1:4" x14ac:dyDescent="0.25">
      <c r="A1016" t="s">
        <v>2146</v>
      </c>
    </row>
    <row r="1018" spans="1:4" x14ac:dyDescent="0.25">
      <c r="A1018" t="s">
        <v>2147</v>
      </c>
    </row>
    <row r="1019" spans="1:4" x14ac:dyDescent="0.25">
      <c r="B1019" s="1" t="s">
        <v>8</v>
      </c>
      <c r="C1019" s="1" t="s">
        <v>8</v>
      </c>
      <c r="D1019" t="s">
        <v>8</v>
      </c>
    </row>
    <row r="1020" spans="1:4" x14ac:dyDescent="0.25">
      <c r="A1020" t="s">
        <v>2148</v>
      </c>
    </row>
    <row r="1022" spans="1:4" x14ac:dyDescent="0.25">
      <c r="B1022" t="s">
        <v>2149</v>
      </c>
      <c r="C1022" t="s">
        <v>2149</v>
      </c>
      <c r="D1022" t="s">
        <v>2149</v>
      </c>
    </row>
    <row r="1023" spans="1:4" x14ac:dyDescent="0.25">
      <c r="A1023" t="s">
        <v>2150</v>
      </c>
      <c r="B1023" s="1">
        <v>815035900755.30005</v>
      </c>
      <c r="C1023" s="1">
        <v>815035900755.30005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BİLANÇO</vt:lpstr>
      <vt:lpstr>GELİR TAB</vt:lpstr>
      <vt:lpstr>DETAY MİZAN</vt:lpstr>
      <vt:lpstr>ANA HS MİZAN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volkan uzunoğlu</cp:lastModifiedBy>
  <cp:lastPrinted>2024-11-14T13:26:54Z</cp:lastPrinted>
  <dcterms:created xsi:type="dcterms:W3CDTF">2024-08-26T11:48:35Z</dcterms:created>
  <dcterms:modified xsi:type="dcterms:W3CDTF">2024-11-26T11:42:36Z</dcterms:modified>
</cp:coreProperties>
</file>