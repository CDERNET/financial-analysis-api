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192.168.2.17\Ortak Alan\Mali İşler\1_TD\Muhasebe\BEYANNAMELER\2024 GEÇİCİ VERGİ\GV 2024 02\GEÇİCİ VERGİ 2 ENFLASYON DÜZELTME SONRASI ÇALIŞMA\"/>
    </mc:Choice>
  </mc:AlternateContent>
  <xr:revisionPtr revIDLastSave="0" documentId="13_ncr:1_{3D562636-BBBB-4CB4-AC82-8CBE3C02F459}" xr6:coauthVersionLast="47" xr6:coauthVersionMax="47" xr10:uidLastSave="{00000000-0000-0000-0000-000000000000}"/>
  <bookViews>
    <workbookView xWindow="-108" yWindow="-108" windowWidth="23256" windowHeight="12576" tabRatio="601" activeTab="4" xr2:uid="{00000000-000D-0000-FFFF-FFFF00000000}"/>
  </bookViews>
  <sheets>
    <sheet name="30.06.2024 Bilanço  " sheetId="2" r:id="rId1"/>
    <sheet name="30.06.2024 Gelir Tablosu S" sheetId="3" r:id="rId2"/>
    <sheet name="Sayfa1" sheetId="5" state="hidden" r:id="rId3"/>
    <sheet name="30.06.2024 Ana Hs.Mizanı S" sheetId="4" r:id="rId4"/>
    <sheet name="30.06.2024 Detay Mizan  S" sheetId="12" r:id="rId5"/>
    <sheet name="Sayfa2" sheetId="11" state="hidden" r:id="rId6"/>
  </sheets>
  <definedNames>
    <definedName name="_xlnm._FilterDatabase" localSheetId="3" hidden="1">'30.06.2024 Ana Hs.Mizanı S'!$A$1:$G$96</definedName>
    <definedName name="_xlnm._FilterDatabase" localSheetId="4" hidden="1">'30.06.2024 Detay Mizan  S'!$A$1:$H$1952</definedName>
    <definedName name="_xlnm.Print_Area" localSheetId="0">'30.06.2024 Bilanço  '!$A$1:$O$95</definedName>
    <definedName name="_xlnm.Print_Area" localSheetId="1">'30.06.2024 Gelir Tablosu S'!$A$1:$N$65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6" i="3" l="1"/>
  <c r="L40" i="3" s="1"/>
  <c r="L45" i="3"/>
  <c r="A1952" i="12"/>
  <c r="A1951" i="12"/>
  <c r="A1950" i="12"/>
  <c r="A1949" i="12"/>
  <c r="A1948" i="12"/>
  <c r="A1947" i="12"/>
  <c r="A1946" i="12"/>
  <c r="A1945" i="12"/>
  <c r="A1944" i="12"/>
  <c r="A1943" i="12"/>
  <c r="A1942" i="12"/>
  <c r="A1941" i="12"/>
  <c r="A1940" i="12"/>
  <c r="A1939" i="12"/>
  <c r="A1938" i="12"/>
  <c r="A1937" i="12"/>
  <c r="A1936" i="12"/>
  <c r="A1935" i="12"/>
  <c r="A1934" i="12"/>
  <c r="A1933" i="12"/>
  <c r="A1932" i="12"/>
  <c r="A1931" i="12"/>
  <c r="A1930" i="12"/>
  <c r="A1929" i="12"/>
  <c r="A1928" i="12"/>
  <c r="A1927" i="12"/>
  <c r="A1926" i="12"/>
  <c r="A1925" i="12"/>
  <c r="A1924" i="12"/>
  <c r="A1923" i="12"/>
  <c r="A1922" i="12"/>
  <c r="A1921" i="12"/>
  <c r="A1920" i="12"/>
  <c r="A1919" i="12"/>
  <c r="A1918" i="12"/>
  <c r="A1917" i="12"/>
  <c r="A1916" i="12"/>
  <c r="A1915" i="12"/>
  <c r="A1914" i="12"/>
  <c r="A1913" i="12"/>
  <c r="A1912" i="12"/>
  <c r="A1911" i="12"/>
  <c r="A1910" i="12"/>
  <c r="A1909" i="12"/>
  <c r="A1908" i="12"/>
  <c r="A1907" i="12"/>
  <c r="A1906" i="12"/>
  <c r="A1905" i="12"/>
  <c r="A1904" i="12"/>
  <c r="A1903" i="12"/>
  <c r="A1902" i="12"/>
  <c r="A1901" i="12"/>
  <c r="A1900" i="12"/>
  <c r="A1899" i="12"/>
  <c r="A1898" i="12"/>
  <c r="A1897" i="12"/>
  <c r="A1896" i="12"/>
  <c r="A1895" i="12"/>
  <c r="A1894" i="12"/>
  <c r="A1893" i="12"/>
  <c r="A1892" i="12"/>
  <c r="A1891" i="12"/>
  <c r="A1890" i="12"/>
  <c r="A1889" i="12"/>
  <c r="A1888" i="12"/>
  <c r="A1887" i="12"/>
  <c r="A1886" i="12"/>
  <c r="A1885" i="12"/>
  <c r="A1884" i="12"/>
  <c r="A1883" i="12"/>
  <c r="A1882" i="12"/>
  <c r="A1881" i="12"/>
  <c r="A1880" i="12"/>
  <c r="A1879" i="12"/>
  <c r="A1878" i="12"/>
  <c r="A1877" i="12"/>
  <c r="A1876" i="12"/>
  <c r="A1875" i="12"/>
  <c r="A1874" i="12"/>
  <c r="A1873" i="12"/>
  <c r="A1872" i="12"/>
  <c r="A1871" i="12"/>
  <c r="A1870" i="12"/>
  <c r="A1869" i="12"/>
  <c r="A1868" i="12"/>
  <c r="A1867" i="12"/>
  <c r="A1866" i="12"/>
  <c r="A1865" i="12"/>
  <c r="A1864" i="12"/>
  <c r="A1863" i="12"/>
  <c r="A1862" i="12"/>
  <c r="A1861" i="12"/>
  <c r="A1860" i="12"/>
  <c r="A1859" i="12"/>
  <c r="A1858" i="12"/>
  <c r="A1857" i="12"/>
  <c r="A1856" i="12"/>
  <c r="A1855" i="12"/>
  <c r="A1854" i="12"/>
  <c r="A1853" i="12"/>
  <c r="A1852" i="12"/>
  <c r="A1851" i="12"/>
  <c r="A1850" i="12"/>
  <c r="A1849" i="12"/>
  <c r="A1848" i="12"/>
  <c r="A1847" i="12"/>
  <c r="A1846" i="12"/>
  <c r="A1845" i="12"/>
  <c r="A1844" i="12"/>
  <c r="A1843" i="12"/>
  <c r="A1842" i="12"/>
  <c r="A1841" i="12"/>
  <c r="A1840" i="12"/>
  <c r="A1839" i="12"/>
  <c r="A1838" i="12"/>
  <c r="A1837" i="12"/>
  <c r="A1836" i="12"/>
  <c r="A1835" i="12"/>
  <c r="A1834" i="12"/>
  <c r="A1833" i="12"/>
  <c r="A1832" i="12"/>
  <c r="A1831" i="12"/>
  <c r="A1830" i="12"/>
  <c r="A1829" i="12"/>
  <c r="A1828" i="12"/>
  <c r="A1827" i="12"/>
  <c r="A1826" i="12"/>
  <c r="A1825" i="12"/>
  <c r="A1824" i="12"/>
  <c r="A1823" i="12"/>
  <c r="A1822" i="12"/>
  <c r="A1821" i="12"/>
  <c r="A1820" i="12"/>
  <c r="A1819" i="12"/>
  <c r="A1818" i="12"/>
  <c r="A1817" i="12"/>
  <c r="A1816" i="12"/>
  <c r="A1815" i="12"/>
  <c r="A1814" i="12"/>
  <c r="A1813" i="12"/>
  <c r="A1812" i="12"/>
  <c r="A1811" i="12"/>
  <c r="A1810" i="12"/>
  <c r="A1809" i="12"/>
  <c r="A1808" i="12"/>
  <c r="A1807" i="12"/>
  <c r="A1806" i="12"/>
  <c r="A1805" i="12"/>
  <c r="A1804" i="12"/>
  <c r="A1803" i="12"/>
  <c r="A1802" i="12"/>
  <c r="A1801" i="12"/>
  <c r="A1800" i="12"/>
  <c r="A1799" i="12"/>
  <c r="A1798" i="12"/>
  <c r="A1797" i="12"/>
  <c r="A1796" i="12"/>
  <c r="A1795" i="12"/>
  <c r="A1794" i="12"/>
  <c r="A1793" i="12"/>
  <c r="A1792" i="12"/>
  <c r="A1791" i="12"/>
  <c r="A1790" i="12"/>
  <c r="A1789" i="12"/>
  <c r="A1788" i="12"/>
  <c r="A1787" i="12"/>
  <c r="A1786" i="12"/>
  <c r="A1785" i="12"/>
  <c r="A1784" i="12"/>
  <c r="A1783" i="12"/>
  <c r="A1782" i="12"/>
  <c r="A1781" i="12"/>
  <c r="A1780" i="12"/>
  <c r="A1779" i="12"/>
  <c r="A1778" i="12"/>
  <c r="A1777" i="12"/>
  <c r="A1776" i="12"/>
  <c r="A1775" i="12"/>
  <c r="A1774" i="12"/>
  <c r="A1773" i="12"/>
  <c r="A1772" i="12"/>
  <c r="A1771" i="12"/>
  <c r="A1770" i="12"/>
  <c r="A1769" i="12"/>
  <c r="A1768" i="12"/>
  <c r="A1767" i="12"/>
  <c r="A1766" i="12"/>
  <c r="A1765" i="12"/>
  <c r="A1764" i="12"/>
  <c r="A1763" i="12"/>
  <c r="A1762" i="12"/>
  <c r="A1761" i="12"/>
  <c r="A1760" i="12"/>
  <c r="A1759" i="12"/>
  <c r="A1758" i="12"/>
  <c r="A1757" i="12"/>
  <c r="A1756" i="12"/>
  <c r="A1755" i="12"/>
  <c r="A1754" i="12"/>
  <c r="A1753" i="12"/>
  <c r="A1752" i="12"/>
  <c r="A1751" i="12"/>
  <c r="A1750" i="12"/>
  <c r="A1749" i="12"/>
  <c r="A1748" i="12"/>
  <c r="A1747" i="12"/>
  <c r="A1746" i="12"/>
  <c r="A1745" i="12"/>
  <c r="A1744" i="12"/>
  <c r="A1743" i="12"/>
  <c r="A1742" i="12"/>
  <c r="A1741" i="12"/>
  <c r="A1740" i="12"/>
  <c r="A1739" i="12"/>
  <c r="A1738" i="12"/>
  <c r="A1737" i="12"/>
  <c r="A1736" i="12"/>
  <c r="A1735" i="12"/>
  <c r="A1734" i="12"/>
  <c r="A1733" i="12"/>
  <c r="A1732" i="12"/>
  <c r="A1731" i="12"/>
  <c r="A1730" i="12"/>
  <c r="A1729" i="12"/>
  <c r="A1728" i="12"/>
  <c r="A1727" i="12"/>
  <c r="A1726" i="12"/>
  <c r="A1725" i="12"/>
  <c r="A1724" i="12"/>
  <c r="A1723" i="12"/>
  <c r="A1722" i="12"/>
  <c r="A1721" i="12"/>
  <c r="A1720" i="12"/>
  <c r="A1719" i="12"/>
  <c r="A1718" i="12"/>
  <c r="A1717" i="12"/>
  <c r="A1716" i="12"/>
  <c r="A1715" i="12"/>
  <c r="A1714" i="12"/>
  <c r="A1713" i="12"/>
  <c r="A1712" i="12"/>
  <c r="A1711" i="12"/>
  <c r="A1710" i="12"/>
  <c r="A1709" i="12"/>
  <c r="A1708" i="12"/>
  <c r="A1707" i="12"/>
  <c r="A1706" i="12"/>
  <c r="A1705" i="12"/>
  <c r="A1704" i="12"/>
  <c r="A1703" i="12"/>
  <c r="A1702" i="12"/>
  <c r="A1701" i="12"/>
  <c r="A1700" i="12"/>
  <c r="A1699" i="12"/>
  <c r="A1698" i="12"/>
  <c r="A1697" i="12"/>
  <c r="A1696" i="12"/>
  <c r="A1695" i="12"/>
  <c r="A1694" i="12"/>
  <c r="A1693" i="12"/>
  <c r="A1692" i="12"/>
  <c r="A1691" i="12"/>
  <c r="A1690" i="12"/>
  <c r="A1689" i="12"/>
  <c r="A1688" i="12"/>
  <c r="A1687" i="12"/>
  <c r="A1686" i="12"/>
  <c r="A1685" i="12"/>
  <c r="A1684" i="12"/>
  <c r="A1683" i="12"/>
  <c r="A1682" i="12"/>
  <c r="A1681" i="12"/>
  <c r="A1680" i="12"/>
  <c r="A1679" i="12"/>
  <c r="A1678" i="12"/>
  <c r="A1677" i="12"/>
  <c r="A1676" i="12"/>
  <c r="A1675" i="12"/>
  <c r="A1674" i="12"/>
  <c r="A1673" i="12"/>
  <c r="A1672" i="12"/>
  <c r="A1671" i="12"/>
  <c r="A1670" i="12"/>
  <c r="A1669" i="12"/>
  <c r="A1668" i="12"/>
  <c r="A1667" i="12"/>
  <c r="A1666" i="12"/>
  <c r="A1665" i="12"/>
  <c r="A1664" i="12"/>
  <c r="A1663" i="12"/>
  <c r="A1662" i="12"/>
  <c r="A1661" i="12"/>
  <c r="A1660" i="12"/>
  <c r="A1659" i="12"/>
  <c r="A1658" i="12"/>
  <c r="A1657" i="12"/>
  <c r="A1656" i="12"/>
  <c r="A1655" i="12"/>
  <c r="A1654" i="12"/>
  <c r="A1653" i="12"/>
  <c r="A1652" i="12"/>
  <c r="A1651" i="12"/>
  <c r="A1650" i="12"/>
  <c r="A1649" i="12"/>
  <c r="A1648" i="12"/>
  <c r="A1647" i="12"/>
  <c r="A1646" i="12"/>
  <c r="A1645" i="12"/>
  <c r="A1644" i="12"/>
  <c r="A1643" i="12"/>
  <c r="A1642" i="12"/>
  <c r="A1641" i="12"/>
  <c r="A1640" i="12"/>
  <c r="A1639" i="12"/>
  <c r="A1638" i="12"/>
  <c r="A1637" i="12"/>
  <c r="A1636" i="12"/>
  <c r="A1635" i="12"/>
  <c r="A1634" i="12"/>
  <c r="A1633" i="12"/>
  <c r="A1632" i="12"/>
  <c r="A1631" i="12"/>
  <c r="A1630" i="12"/>
  <c r="A1629" i="12"/>
  <c r="A1628" i="12"/>
  <c r="A1627" i="12"/>
  <c r="A1626" i="12"/>
  <c r="A1625" i="12"/>
  <c r="A1624" i="12"/>
  <c r="A1623" i="12"/>
  <c r="A1622" i="12"/>
  <c r="A1621" i="12"/>
  <c r="A1620" i="12"/>
  <c r="A1619" i="12"/>
  <c r="A1618" i="12"/>
  <c r="A1617" i="12"/>
  <c r="A1616" i="12"/>
  <c r="A1615" i="12"/>
  <c r="A1614" i="12"/>
  <c r="A1613" i="12"/>
  <c r="A1612" i="12"/>
  <c r="A1611" i="12"/>
  <c r="A1610" i="12"/>
  <c r="A1609" i="12"/>
  <c r="A1608" i="12"/>
  <c r="A1607" i="12"/>
  <c r="A1606" i="12"/>
  <c r="A1605" i="12"/>
  <c r="A1604" i="12"/>
  <c r="A1603" i="12"/>
  <c r="A1602" i="12"/>
  <c r="A1601" i="12"/>
  <c r="A1600" i="12"/>
  <c r="A1599" i="12"/>
  <c r="A1598" i="12"/>
  <c r="A1597" i="12"/>
  <c r="A1596" i="12"/>
  <c r="A1595" i="12"/>
  <c r="A1594" i="12"/>
  <c r="A1593" i="12"/>
  <c r="A1592" i="12"/>
  <c r="A1591" i="12"/>
  <c r="A1590" i="12"/>
  <c r="A1589" i="12"/>
  <c r="A1588" i="12"/>
  <c r="A1587" i="12"/>
  <c r="A1586" i="12"/>
  <c r="A1585" i="12"/>
  <c r="A1584" i="12"/>
  <c r="A1583" i="12"/>
  <c r="A1582" i="12"/>
  <c r="A1581" i="12"/>
  <c r="A1580" i="12"/>
  <c r="A1579" i="12"/>
  <c r="A1578" i="12"/>
  <c r="A1577" i="12"/>
  <c r="A1576" i="12"/>
  <c r="A1575" i="12"/>
  <c r="A1574" i="12"/>
  <c r="A1573" i="12"/>
  <c r="A1572" i="12"/>
  <c r="A1571" i="12"/>
  <c r="A1570" i="12"/>
  <c r="A1569" i="12"/>
  <c r="A1568" i="12"/>
  <c r="A1567" i="12"/>
  <c r="A1566" i="12"/>
  <c r="A1565" i="12"/>
  <c r="A1564" i="12"/>
  <c r="A1563" i="12"/>
  <c r="A1562" i="12"/>
  <c r="A1561" i="12"/>
  <c r="A1560" i="12"/>
  <c r="A1559" i="12"/>
  <c r="A1558" i="12"/>
  <c r="A1557" i="12"/>
  <c r="A1556" i="12"/>
  <c r="A1555" i="12"/>
  <c r="A1554" i="12"/>
  <c r="A1553" i="12"/>
  <c r="A1552" i="12"/>
  <c r="A1551" i="12"/>
  <c r="A1550" i="12"/>
  <c r="A1549" i="12"/>
  <c r="A1548" i="12"/>
  <c r="A1547" i="12"/>
  <c r="A1546" i="12"/>
  <c r="A1545" i="12"/>
  <c r="A1544" i="12"/>
  <c r="A1543" i="12"/>
  <c r="A1542" i="12"/>
  <c r="A1541" i="12"/>
  <c r="A1540" i="12"/>
  <c r="A1539" i="12"/>
  <c r="A1538" i="12"/>
  <c r="A1537" i="12"/>
  <c r="A1536" i="12"/>
  <c r="A1535" i="12"/>
  <c r="A1534" i="12"/>
  <c r="A1533" i="12"/>
  <c r="A1532" i="12"/>
  <c r="A1531" i="12"/>
  <c r="A1530" i="12"/>
  <c r="A1529" i="12"/>
  <c r="A1528" i="12"/>
  <c r="A1527" i="12"/>
  <c r="A1526" i="12"/>
  <c r="A1525" i="12"/>
  <c r="A1524" i="12"/>
  <c r="A1523" i="12"/>
  <c r="A1522" i="12"/>
  <c r="A1521" i="12"/>
  <c r="A1520" i="12"/>
  <c r="A1519" i="12"/>
  <c r="A1518" i="12"/>
  <c r="A1517" i="12"/>
  <c r="A1516" i="12"/>
  <c r="A1515" i="12"/>
  <c r="A1514" i="12"/>
  <c r="A1513" i="12"/>
  <c r="A1512" i="12"/>
  <c r="A1511" i="12"/>
  <c r="A1510" i="12"/>
  <c r="A1509" i="12"/>
  <c r="A1508" i="12"/>
  <c r="A1507" i="12"/>
  <c r="A1506" i="12"/>
  <c r="A1505" i="12"/>
  <c r="A1504" i="12"/>
  <c r="A1503" i="12"/>
  <c r="A1502" i="12"/>
  <c r="A1501" i="12"/>
  <c r="A1500" i="12"/>
  <c r="A1499" i="12"/>
  <c r="A1498" i="12"/>
  <c r="A1497" i="12"/>
  <c r="A1496" i="12"/>
  <c r="A1495" i="12"/>
  <c r="A1494" i="12"/>
  <c r="A1493" i="12"/>
  <c r="A1492" i="12"/>
  <c r="A1491" i="12"/>
  <c r="A1490" i="12"/>
  <c r="A1489" i="12"/>
  <c r="A1488" i="12"/>
  <c r="A1487" i="12"/>
  <c r="A1486" i="12"/>
  <c r="A1485" i="12"/>
  <c r="A1484" i="12"/>
  <c r="A1483" i="12"/>
  <c r="A1482" i="12"/>
  <c r="A1481" i="12"/>
  <c r="A1480" i="12"/>
  <c r="A1479" i="12"/>
  <c r="A1478" i="12"/>
  <c r="A1477" i="12"/>
  <c r="A1476" i="12"/>
  <c r="A1475" i="12"/>
  <c r="A1474" i="12"/>
  <c r="A1473" i="12"/>
  <c r="A1472" i="12"/>
  <c r="A1471" i="12"/>
  <c r="A1470" i="12"/>
  <c r="A1469" i="12"/>
  <c r="A1468" i="12"/>
  <c r="A1467" i="12"/>
  <c r="A1466" i="12"/>
  <c r="A1465" i="12"/>
  <c r="A1464" i="12"/>
  <c r="A1463" i="12"/>
  <c r="A1462" i="12"/>
  <c r="A1461" i="12"/>
  <c r="A1460" i="12"/>
  <c r="A1459" i="12"/>
  <c r="A1458" i="12"/>
  <c r="A1457" i="12"/>
  <c r="A1456" i="12"/>
  <c r="A1455" i="12"/>
  <c r="A1454" i="12"/>
  <c r="A1453" i="12"/>
  <c r="A1452" i="12"/>
  <c r="A1451" i="12"/>
  <c r="A1450" i="12"/>
  <c r="A1449" i="12"/>
  <c r="A1448" i="12"/>
  <c r="A1447" i="12"/>
  <c r="A1446" i="12"/>
  <c r="A1445" i="12"/>
  <c r="A1444" i="12"/>
  <c r="A1443" i="12"/>
  <c r="A1442" i="12"/>
  <c r="A1441" i="12"/>
  <c r="A1440" i="12"/>
  <c r="A1439" i="12"/>
  <c r="A1438" i="12"/>
  <c r="A1437" i="12"/>
  <c r="A1436" i="12"/>
  <c r="A1435" i="12"/>
  <c r="A1434" i="12"/>
  <c r="A1433" i="12"/>
  <c r="A1432" i="12"/>
  <c r="A1431" i="12"/>
  <c r="A1430" i="12"/>
  <c r="A1429" i="12"/>
  <c r="A1428" i="12"/>
  <c r="A1427" i="12"/>
  <c r="A1426" i="12"/>
  <c r="A1425" i="12"/>
  <c r="A1424" i="12"/>
  <c r="A1423" i="12"/>
  <c r="A1422" i="12"/>
  <c r="A1421" i="12"/>
  <c r="A1420" i="12"/>
  <c r="A1419" i="12"/>
  <c r="A1418" i="12"/>
  <c r="A1417" i="12"/>
  <c r="A1416" i="12"/>
  <c r="A1415" i="12"/>
  <c r="A1414" i="12"/>
  <c r="A1413" i="12"/>
  <c r="A1412" i="12"/>
  <c r="A1411" i="12"/>
  <c r="A1410" i="12"/>
  <c r="A1409" i="12"/>
  <c r="A1408" i="12"/>
  <c r="A1407" i="12"/>
  <c r="A1406" i="12"/>
  <c r="A1405" i="12"/>
  <c r="A1404" i="12"/>
  <c r="A1403" i="12"/>
  <c r="A1402" i="12"/>
  <c r="A1401" i="12"/>
  <c r="A1400" i="12"/>
  <c r="A1399" i="12"/>
  <c r="A1398" i="12"/>
  <c r="A1397" i="12"/>
  <c r="A1396" i="12"/>
  <c r="A1395" i="12"/>
  <c r="A1394" i="12"/>
  <c r="A1393" i="12"/>
  <c r="A1392" i="12"/>
  <c r="A1391" i="12"/>
  <c r="A1390" i="12"/>
  <c r="A1389" i="12"/>
  <c r="A1388" i="12"/>
  <c r="A1387" i="12"/>
  <c r="A1386" i="12"/>
  <c r="A1385" i="12"/>
  <c r="A1384" i="12"/>
  <c r="A1383" i="12"/>
  <c r="A1382" i="12"/>
  <c r="A1381" i="12"/>
  <c r="A1380" i="12"/>
  <c r="A1379" i="12"/>
  <c r="A1378" i="12"/>
  <c r="A1377" i="12"/>
  <c r="A1376" i="12"/>
  <c r="A1375" i="12"/>
  <c r="A1374" i="12"/>
  <c r="A1373" i="12"/>
  <c r="A1372" i="12"/>
  <c r="A1371" i="12"/>
  <c r="A1370" i="12"/>
  <c r="A1369" i="12"/>
  <c r="A1368" i="12"/>
  <c r="A1367" i="12"/>
  <c r="A1366" i="12"/>
  <c r="A1365" i="12"/>
  <c r="A1364" i="12"/>
  <c r="A1363" i="12"/>
  <c r="A1362" i="12"/>
  <c r="A1361" i="12"/>
  <c r="A1360" i="12"/>
  <c r="A1359" i="12"/>
  <c r="A1358" i="12"/>
  <c r="A1357" i="12"/>
  <c r="A1356" i="12"/>
  <c r="A1355" i="12"/>
  <c r="A1354" i="12"/>
  <c r="A1353" i="12"/>
  <c r="A1352" i="12"/>
  <c r="A1351" i="12"/>
  <c r="A1350" i="12"/>
  <c r="A1349" i="12"/>
  <c r="A1348" i="12"/>
  <c r="A1347" i="12"/>
  <c r="A1346" i="12"/>
  <c r="A1345" i="12"/>
  <c r="A1344" i="12"/>
  <c r="A1343" i="12"/>
  <c r="A1342" i="12"/>
  <c r="A1341" i="12"/>
  <c r="A1340" i="12"/>
  <c r="A1339" i="12"/>
  <c r="A1338" i="12"/>
  <c r="A1337" i="12"/>
  <c r="A1336" i="12"/>
  <c r="A1335" i="12"/>
  <c r="A1334" i="12"/>
  <c r="A1333" i="12"/>
  <c r="A1332" i="12"/>
  <c r="A1331" i="12"/>
  <c r="A1330" i="12"/>
  <c r="A1329" i="12"/>
  <c r="A1328" i="12"/>
  <c r="A1327" i="12"/>
  <c r="A1326" i="12"/>
  <c r="A1325" i="12"/>
  <c r="A1324" i="12"/>
  <c r="A1323" i="12"/>
  <c r="A1322" i="12"/>
  <c r="A1321" i="12"/>
  <c r="A1320" i="12"/>
  <c r="A1319" i="12"/>
  <c r="A1318" i="12"/>
  <c r="A1317" i="12"/>
  <c r="A1316" i="12"/>
  <c r="A1315" i="12"/>
  <c r="A1314" i="12"/>
  <c r="A1313" i="12"/>
  <c r="A1312" i="12"/>
  <c r="A1311" i="12"/>
  <c r="A1310" i="12"/>
  <c r="A1309" i="12"/>
  <c r="A1308" i="12"/>
  <c r="A1307" i="12"/>
  <c r="A1306" i="12"/>
  <c r="A1305" i="12"/>
  <c r="A1304" i="12"/>
  <c r="A1303" i="12"/>
  <c r="A1302" i="12"/>
  <c r="A1301" i="12"/>
  <c r="A1300" i="12"/>
  <c r="A1299" i="12"/>
  <c r="A1298" i="12"/>
  <c r="A1297" i="12"/>
  <c r="A1296" i="12"/>
  <c r="A1295" i="12"/>
  <c r="A1294" i="12"/>
  <c r="A1293" i="12"/>
  <c r="A1292" i="12"/>
  <c r="A1291" i="12"/>
  <c r="A1290" i="12"/>
  <c r="A1289" i="12"/>
  <c r="A1288" i="12"/>
  <c r="A1287" i="12"/>
  <c r="A1286" i="12"/>
  <c r="A1285" i="12"/>
  <c r="A1284" i="12"/>
  <c r="A1283" i="12"/>
  <c r="A1282" i="12"/>
  <c r="A1281" i="12"/>
  <c r="A1280" i="12"/>
  <c r="A1279" i="12"/>
  <c r="A1278" i="12"/>
  <c r="A1277" i="12"/>
  <c r="A1276" i="12"/>
  <c r="A1275" i="12"/>
  <c r="A1274" i="12"/>
  <c r="A1273" i="12"/>
  <c r="A1272" i="12"/>
  <c r="A1271" i="12"/>
  <c r="A1270" i="12"/>
  <c r="A1269" i="12"/>
  <c r="A1268" i="12"/>
  <c r="A1267" i="12"/>
  <c r="A1266" i="12"/>
  <c r="A1265" i="12"/>
  <c r="A1264" i="12"/>
  <c r="A1263" i="12"/>
  <c r="A1262" i="12"/>
  <c r="A1261" i="12"/>
  <c r="A1260" i="12"/>
  <c r="A1259" i="12"/>
  <c r="A1258" i="12"/>
  <c r="A1257" i="12"/>
  <c r="A1256" i="12"/>
  <c r="A1255" i="12"/>
  <c r="A1254" i="12"/>
  <c r="A1253" i="12"/>
  <c r="A1252" i="12"/>
  <c r="A1251" i="12"/>
  <c r="A1250" i="12"/>
  <c r="A1249" i="12"/>
  <c r="A1248" i="12"/>
  <c r="A1247" i="12"/>
  <c r="A1246" i="12"/>
  <c r="A1245" i="12"/>
  <c r="A1244" i="12"/>
  <c r="A1243" i="12"/>
  <c r="A1242" i="12"/>
  <c r="A1241" i="12"/>
  <c r="A1240" i="12"/>
  <c r="A1239" i="12"/>
  <c r="A1238" i="12"/>
  <c r="A1237" i="12"/>
  <c r="A1236" i="12"/>
  <c r="A1235" i="12"/>
  <c r="A1234" i="12"/>
  <c r="A1233" i="12"/>
  <c r="A1232" i="12"/>
  <c r="A1231" i="12"/>
  <c r="A1230" i="12"/>
  <c r="A1229" i="12"/>
  <c r="A1228" i="12"/>
  <c r="A1227" i="12"/>
  <c r="A1226" i="12"/>
  <c r="A1225" i="12"/>
  <c r="A1224" i="12"/>
  <c r="A1223" i="12"/>
  <c r="A1222" i="12"/>
  <c r="A1221" i="12"/>
  <c r="A1220" i="12"/>
  <c r="A1219" i="12"/>
  <c r="A1218" i="12"/>
  <c r="A1217" i="12"/>
  <c r="A1216" i="12"/>
  <c r="A1215" i="12"/>
  <c r="A1214" i="12"/>
  <c r="A1213" i="12"/>
  <c r="A1212" i="12"/>
  <c r="A1211" i="12"/>
  <c r="A1210" i="12"/>
  <c r="A1209" i="12"/>
  <c r="A1208" i="12"/>
  <c r="A1207" i="12"/>
  <c r="A1206" i="12"/>
  <c r="A1205" i="12"/>
  <c r="A1204" i="12"/>
  <c r="A1203" i="12"/>
  <c r="A1202" i="12"/>
  <c r="A1201" i="12"/>
  <c r="A1200" i="12"/>
  <c r="A1199" i="12"/>
  <c r="A1198" i="12"/>
  <c r="A1197" i="12"/>
  <c r="A1196" i="12"/>
  <c r="A1195" i="12"/>
  <c r="A1194" i="12"/>
  <c r="A1193" i="12"/>
  <c r="A1192" i="12"/>
  <c r="A1191" i="12"/>
  <c r="A1190" i="12"/>
  <c r="A1189" i="12"/>
  <c r="A1188" i="12"/>
  <c r="A1187" i="12"/>
  <c r="A1186" i="12"/>
  <c r="A1185" i="12"/>
  <c r="A1184" i="12"/>
  <c r="A1183" i="12"/>
  <c r="A1182" i="12"/>
  <c r="A1181" i="12"/>
  <c r="A1180" i="12"/>
  <c r="A1179" i="12"/>
  <c r="A1178" i="12"/>
  <c r="A1177" i="12"/>
  <c r="A1176" i="12"/>
  <c r="A1175" i="12"/>
  <c r="A1174" i="12"/>
  <c r="A1173" i="12"/>
  <c r="A1172" i="12"/>
  <c r="A1171" i="12"/>
  <c r="A1170" i="12"/>
  <c r="A1169" i="12"/>
  <c r="A1168" i="12"/>
  <c r="A1167" i="12"/>
  <c r="A1166" i="12"/>
  <c r="A1165" i="12"/>
  <c r="A1164" i="12"/>
  <c r="A1163" i="12"/>
  <c r="A1162" i="12"/>
  <c r="A1161" i="12"/>
  <c r="A1160" i="12"/>
  <c r="A1159" i="12"/>
  <c r="A1158" i="12"/>
  <c r="A1157" i="12"/>
  <c r="A1156" i="12"/>
  <c r="A1155" i="12"/>
  <c r="A1154" i="12"/>
  <c r="A1153" i="12"/>
  <c r="A1152" i="12"/>
  <c r="A1151" i="12"/>
  <c r="A1150" i="12"/>
  <c r="A1149" i="12"/>
  <c r="A1148" i="12"/>
  <c r="A1147" i="12"/>
  <c r="A1146" i="12"/>
  <c r="A1145" i="12"/>
  <c r="A1144" i="12"/>
  <c r="A1143" i="12"/>
  <c r="A1142" i="12"/>
  <c r="A1141" i="12"/>
  <c r="A1140" i="12"/>
  <c r="A1139" i="12"/>
  <c r="A1138" i="12"/>
  <c r="A1137" i="12"/>
  <c r="A1136" i="12"/>
  <c r="A1135" i="12"/>
  <c r="A1134" i="12"/>
  <c r="A1133" i="12"/>
  <c r="A1132" i="12"/>
  <c r="A1131" i="12"/>
  <c r="A1130" i="12"/>
  <c r="A1129" i="12"/>
  <c r="A1128" i="12"/>
  <c r="A1127" i="12"/>
  <c r="A1126" i="12"/>
  <c r="A1125" i="12"/>
  <c r="A1124" i="12"/>
  <c r="A1123" i="12"/>
  <c r="A1122" i="12"/>
  <c r="A1121" i="12"/>
  <c r="A1120" i="12"/>
  <c r="A1119" i="12"/>
  <c r="A1118" i="12"/>
  <c r="A1117" i="12"/>
  <c r="A1116" i="12"/>
  <c r="A1115" i="12"/>
  <c r="A1114" i="12"/>
  <c r="A1113" i="12"/>
  <c r="A1112" i="12"/>
  <c r="A1111" i="12"/>
  <c r="A1110" i="12"/>
  <c r="A1109" i="12"/>
  <c r="A1108" i="12"/>
  <c r="A1107" i="12"/>
  <c r="A1106" i="12"/>
  <c r="A1105" i="12"/>
  <c r="A1104" i="12"/>
  <c r="A1103" i="12"/>
  <c r="A1102" i="12"/>
  <c r="A1101" i="12"/>
  <c r="A1100" i="12"/>
  <c r="A1099" i="12"/>
  <c r="A1098" i="12"/>
  <c r="A1097" i="12"/>
  <c r="A1096" i="12"/>
  <c r="A1095" i="12"/>
  <c r="A1094" i="12"/>
  <c r="A1093" i="12"/>
  <c r="A1092" i="12"/>
  <c r="A1091" i="12"/>
  <c r="A1090" i="12"/>
  <c r="A1089" i="12"/>
  <c r="A1088" i="12"/>
  <c r="A1087" i="12"/>
  <c r="A1086" i="12"/>
  <c r="A1085" i="12"/>
  <c r="A1084" i="12"/>
  <c r="A1083" i="12"/>
  <c r="A1082" i="12"/>
  <c r="A1081" i="12"/>
  <c r="A1080" i="12"/>
  <c r="A1079" i="12"/>
  <c r="A1078" i="12"/>
  <c r="A1077" i="12"/>
  <c r="A1076" i="12"/>
  <c r="A1075" i="12"/>
  <c r="A1074" i="12"/>
  <c r="A1073" i="12"/>
  <c r="A1072" i="12"/>
  <c r="A1071" i="12"/>
  <c r="A1070" i="12"/>
  <c r="A1069" i="12"/>
  <c r="A1068" i="12"/>
  <c r="A1067" i="12"/>
  <c r="A1066" i="12"/>
  <c r="A1065" i="12"/>
  <c r="A1064" i="12"/>
  <c r="A1063" i="12"/>
  <c r="A1062" i="12"/>
  <c r="A1061" i="12"/>
  <c r="A1060" i="12"/>
  <c r="A1059" i="12"/>
  <c r="A1058" i="12"/>
  <c r="A1057" i="12"/>
  <c r="A1056" i="12"/>
  <c r="A1055" i="12"/>
  <c r="A1054" i="12"/>
  <c r="A1053" i="12"/>
  <c r="A1052" i="12"/>
  <c r="A1051" i="12"/>
  <c r="A1050" i="12"/>
  <c r="A1049" i="12"/>
  <c r="A1048" i="12"/>
  <c r="A1047" i="12"/>
  <c r="A1046" i="12"/>
  <c r="A1045" i="12"/>
  <c r="A1044" i="12"/>
  <c r="A1043" i="12"/>
  <c r="A1042" i="12"/>
  <c r="A1041" i="12"/>
  <c r="A1040" i="12"/>
  <c r="A1039" i="12"/>
  <c r="A1038" i="12"/>
  <c r="A1037" i="12"/>
  <c r="A1036" i="12"/>
  <c r="A1035" i="12"/>
  <c r="A1034" i="12"/>
  <c r="A1033" i="12"/>
  <c r="A1032" i="12"/>
  <c r="A1031" i="12"/>
  <c r="A1030" i="12"/>
  <c r="A1029" i="12"/>
  <c r="A1028" i="12"/>
  <c r="A1027" i="12"/>
  <c r="A1026" i="12"/>
  <c r="A1025" i="12"/>
  <c r="A1024" i="12"/>
  <c r="A1023" i="12"/>
  <c r="A1022" i="12"/>
  <c r="A1021" i="12"/>
  <c r="A1020" i="12"/>
  <c r="A1019" i="12"/>
  <c r="A1018" i="12"/>
  <c r="A1017" i="12"/>
  <c r="A1016" i="12"/>
  <c r="A1015" i="12"/>
  <c r="A1014" i="12"/>
  <c r="A1013" i="12"/>
  <c r="A1012" i="12"/>
  <c r="A1011" i="12"/>
  <c r="A1010" i="12"/>
  <c r="A1009" i="12"/>
  <c r="A1008" i="12"/>
  <c r="A1007" i="12"/>
  <c r="A1006" i="12"/>
  <c r="A1005" i="12"/>
  <c r="A1004" i="12"/>
  <c r="A1003" i="12"/>
  <c r="A1002" i="12"/>
  <c r="A1001" i="12"/>
  <c r="A1000" i="12"/>
  <c r="A999" i="12"/>
  <c r="A998" i="12"/>
  <c r="A997" i="12"/>
  <c r="A996" i="12"/>
  <c r="A995" i="12"/>
  <c r="A994" i="12"/>
  <c r="A993" i="12"/>
  <c r="A992" i="12"/>
  <c r="A991" i="12"/>
  <c r="A990" i="12"/>
  <c r="A989" i="12"/>
  <c r="A988" i="12"/>
  <c r="A987" i="12"/>
  <c r="A986" i="12"/>
  <c r="A985" i="12"/>
  <c r="A984" i="12"/>
  <c r="A983" i="12"/>
  <c r="A982" i="12"/>
  <c r="A981" i="12"/>
  <c r="A980" i="12"/>
  <c r="A979" i="12"/>
  <c r="A978" i="12"/>
  <c r="A977" i="12"/>
  <c r="A976" i="12"/>
  <c r="A975" i="12"/>
  <c r="A974" i="12"/>
  <c r="A973" i="12"/>
  <c r="A972" i="12"/>
  <c r="A971" i="12"/>
  <c r="A970" i="12"/>
  <c r="A969" i="12"/>
  <c r="A968" i="12"/>
  <c r="A967" i="12"/>
  <c r="A966" i="12"/>
  <c r="A965" i="12"/>
  <c r="A964" i="12"/>
  <c r="A963" i="12"/>
  <c r="A962" i="12"/>
  <c r="A961" i="12"/>
  <c r="A960" i="12"/>
  <c r="A959" i="12"/>
  <c r="A958" i="12"/>
  <c r="A957" i="12"/>
  <c r="A956" i="12"/>
  <c r="A955" i="12"/>
  <c r="A954" i="12"/>
  <c r="A953" i="12"/>
  <c r="A952" i="12"/>
  <c r="A951" i="12"/>
  <c r="A950" i="12"/>
  <c r="A949" i="12"/>
  <c r="A948" i="12"/>
  <c r="A947" i="12"/>
  <c r="A946" i="12"/>
  <c r="A945" i="12"/>
  <c r="A944" i="12"/>
  <c r="A943" i="12"/>
  <c r="A942" i="12"/>
  <c r="A941" i="12"/>
  <c r="A940" i="12"/>
  <c r="A939" i="12"/>
  <c r="A938" i="12"/>
  <c r="A937" i="12"/>
  <c r="A936" i="12"/>
  <c r="A935" i="12"/>
  <c r="A934" i="12"/>
  <c r="A933" i="12"/>
  <c r="A932" i="12"/>
  <c r="A931" i="12"/>
  <c r="A930" i="12"/>
  <c r="A929" i="12"/>
  <c r="A928" i="12"/>
  <c r="A927" i="12"/>
  <c r="A926" i="12"/>
  <c r="A925" i="12"/>
  <c r="A924" i="12"/>
  <c r="A923" i="12"/>
  <c r="A922" i="12"/>
  <c r="A921" i="12"/>
  <c r="A920" i="12"/>
  <c r="A919" i="12"/>
  <c r="A918" i="12"/>
  <c r="A917" i="12"/>
  <c r="A916" i="12"/>
  <c r="A915" i="12"/>
  <c r="A914" i="12"/>
  <c r="A913" i="12"/>
  <c r="A912" i="12"/>
  <c r="A911" i="12"/>
  <c r="A910" i="12"/>
  <c r="A909" i="12"/>
  <c r="A908" i="12"/>
  <c r="A907" i="12"/>
  <c r="A906" i="12"/>
  <c r="A905" i="12"/>
  <c r="A904" i="12"/>
  <c r="A903" i="12"/>
  <c r="A902" i="12"/>
  <c r="A901" i="12"/>
  <c r="A900" i="12"/>
  <c r="A899" i="12"/>
  <c r="A898" i="12"/>
  <c r="A897" i="12"/>
  <c r="A896" i="12"/>
  <c r="A895" i="12"/>
  <c r="A894" i="12"/>
  <c r="A893" i="12"/>
  <c r="A892" i="12"/>
  <c r="A891" i="12"/>
  <c r="A890" i="12"/>
  <c r="A889" i="12"/>
  <c r="A888" i="12"/>
  <c r="A887" i="12"/>
  <c r="A886" i="12"/>
  <c r="A885" i="12"/>
  <c r="A884" i="12"/>
  <c r="A883" i="12"/>
  <c r="A882" i="12"/>
  <c r="A881" i="12"/>
  <c r="A880" i="12"/>
  <c r="A879" i="12"/>
  <c r="A878" i="12"/>
  <c r="A877" i="12"/>
  <c r="A876" i="12"/>
  <c r="A875" i="12"/>
  <c r="A874" i="12"/>
  <c r="A873" i="12"/>
  <c r="A872" i="12"/>
  <c r="A871" i="12"/>
  <c r="A870" i="12"/>
  <c r="A869" i="12"/>
  <c r="A868" i="12"/>
  <c r="A867" i="12"/>
  <c r="A866" i="12"/>
  <c r="A865" i="12"/>
  <c r="A864" i="12"/>
  <c r="A863" i="12"/>
  <c r="A862" i="12"/>
  <c r="A861" i="12"/>
  <c r="A860" i="12"/>
  <c r="A859" i="12"/>
  <c r="A858" i="12"/>
  <c r="A857" i="12"/>
  <c r="A856" i="12"/>
  <c r="A855" i="12"/>
  <c r="A854" i="12"/>
  <c r="A853" i="12"/>
  <c r="A852" i="12"/>
  <c r="A851" i="12"/>
  <c r="A850" i="12"/>
  <c r="A849" i="12"/>
  <c r="A848" i="12"/>
  <c r="A847" i="12"/>
  <c r="A846" i="12"/>
  <c r="A845" i="12"/>
  <c r="A844" i="12"/>
  <c r="A843" i="12"/>
  <c r="A842" i="12"/>
  <c r="A841" i="12"/>
  <c r="A840" i="12"/>
  <c r="A839" i="12"/>
  <c r="A838" i="12"/>
  <c r="A837" i="12"/>
  <c r="A836" i="12"/>
  <c r="A835" i="12"/>
  <c r="A834" i="12"/>
  <c r="A833" i="12"/>
  <c r="A832" i="12"/>
  <c r="A831" i="12"/>
  <c r="A830" i="12"/>
  <c r="A829" i="12"/>
  <c r="A828" i="12"/>
  <c r="A827" i="12"/>
  <c r="A826" i="12"/>
  <c r="A825" i="12"/>
  <c r="A824" i="12"/>
  <c r="A823" i="12"/>
  <c r="A822" i="12"/>
  <c r="A821" i="12"/>
  <c r="A820" i="12"/>
  <c r="A819" i="12"/>
  <c r="A818" i="12"/>
  <c r="A817" i="12"/>
  <c r="A816" i="12"/>
  <c r="A815" i="12"/>
  <c r="A814" i="12"/>
  <c r="A813" i="12"/>
  <c r="A812" i="12"/>
  <c r="A811" i="12"/>
  <c r="A810" i="12"/>
  <c r="A809" i="12"/>
  <c r="A808" i="12"/>
  <c r="A807" i="12"/>
  <c r="A806" i="12"/>
  <c r="A805" i="12"/>
  <c r="A804" i="12"/>
  <c r="A803" i="12"/>
  <c r="A802" i="12"/>
  <c r="A801" i="12"/>
  <c r="A800" i="12"/>
  <c r="A799" i="12"/>
  <c r="A798" i="12"/>
  <c r="A797" i="12"/>
  <c r="A796" i="12"/>
  <c r="A795" i="12"/>
  <c r="A794" i="12"/>
  <c r="A793" i="12"/>
  <c r="A792" i="12"/>
  <c r="A791" i="12"/>
  <c r="A790" i="12"/>
  <c r="A789" i="12"/>
  <c r="A788" i="12"/>
  <c r="A787" i="12"/>
  <c r="A786" i="12"/>
  <c r="A785" i="12"/>
  <c r="A784" i="12"/>
  <c r="A783" i="12"/>
  <c r="A782" i="12"/>
  <c r="A781" i="12"/>
  <c r="A780" i="12"/>
  <c r="A779" i="12"/>
  <c r="A778" i="12"/>
  <c r="A777" i="12"/>
  <c r="A776" i="12"/>
  <c r="A775" i="12"/>
  <c r="A774" i="12"/>
  <c r="A773" i="12"/>
  <c r="A772" i="12"/>
  <c r="A771" i="12"/>
  <c r="A770" i="12"/>
  <c r="A769" i="12"/>
  <c r="A768" i="12"/>
  <c r="A767" i="12"/>
  <c r="A766" i="12"/>
  <c r="A765" i="12"/>
  <c r="A764" i="12"/>
  <c r="A763" i="12"/>
  <c r="A762" i="12"/>
  <c r="A761" i="12"/>
  <c r="A760" i="12"/>
  <c r="A759" i="12"/>
  <c r="A758" i="12"/>
  <c r="A757" i="12"/>
  <c r="A756" i="12"/>
  <c r="A755" i="12"/>
  <c r="A754" i="12"/>
  <c r="A753" i="12"/>
  <c r="A752" i="12"/>
  <c r="A751" i="12"/>
  <c r="A750" i="12"/>
  <c r="A749" i="12"/>
  <c r="A748" i="12"/>
  <c r="A747" i="12"/>
  <c r="A746" i="12"/>
  <c r="A745" i="12"/>
  <c r="A744" i="12"/>
  <c r="A743" i="12"/>
  <c r="A742" i="12"/>
  <c r="A741" i="12"/>
  <c r="A740" i="12"/>
  <c r="A739" i="12"/>
  <c r="A738" i="12"/>
  <c r="A737" i="12"/>
  <c r="A736" i="12"/>
  <c r="A735" i="12"/>
  <c r="A734" i="12"/>
  <c r="A733" i="12"/>
  <c r="A732" i="12"/>
  <c r="A731" i="12"/>
  <c r="A730" i="12"/>
  <c r="A729" i="12"/>
  <c r="A728" i="12"/>
  <c r="A727" i="12"/>
  <c r="A726" i="12"/>
  <c r="A725" i="12"/>
  <c r="A724" i="12"/>
  <c r="A723" i="12"/>
  <c r="A722" i="12"/>
  <c r="A721" i="12"/>
  <c r="A720" i="12"/>
  <c r="A719" i="12"/>
  <c r="A718" i="12"/>
  <c r="A717" i="12"/>
  <c r="A716" i="12"/>
  <c r="A715" i="12"/>
  <c r="A714" i="12"/>
  <c r="A713" i="12"/>
  <c r="A712" i="12"/>
  <c r="A711" i="12"/>
  <c r="A710" i="12"/>
  <c r="A709" i="12"/>
  <c r="A708" i="12"/>
  <c r="A707" i="12"/>
  <c r="A706" i="12"/>
  <c r="A705" i="12"/>
  <c r="A704" i="12"/>
  <c r="A703" i="12"/>
  <c r="A702" i="12"/>
  <c r="A701" i="12"/>
  <c r="A700" i="12"/>
  <c r="A699" i="12"/>
  <c r="A698" i="12"/>
  <c r="A697" i="12"/>
  <c r="A696" i="12"/>
  <c r="A695" i="12"/>
  <c r="A694" i="12"/>
  <c r="A693" i="12"/>
  <c r="A692" i="12"/>
  <c r="A691" i="12"/>
  <c r="A690" i="12"/>
  <c r="A689" i="12"/>
  <c r="A688" i="12"/>
  <c r="A687" i="12"/>
  <c r="A686" i="12"/>
  <c r="A685" i="12"/>
  <c r="A684" i="12"/>
  <c r="A683" i="12"/>
  <c r="A682" i="12"/>
  <c r="A681" i="12"/>
  <c r="A680" i="12"/>
  <c r="A679" i="12"/>
  <c r="A678" i="12"/>
  <c r="A677" i="12"/>
  <c r="A676" i="12"/>
  <c r="A675" i="12"/>
  <c r="A674" i="12"/>
  <c r="A673" i="12"/>
  <c r="A672" i="12"/>
  <c r="A671" i="12"/>
  <c r="A670" i="12"/>
  <c r="A669" i="12"/>
  <c r="A668" i="12"/>
  <c r="A667" i="12"/>
  <c r="A666" i="12"/>
  <c r="A665" i="12"/>
  <c r="A664" i="12"/>
  <c r="A663" i="12"/>
  <c r="A662" i="12"/>
  <c r="A661" i="12"/>
  <c r="A660" i="12"/>
  <c r="A659" i="12"/>
  <c r="A658" i="12"/>
  <c r="A657" i="12"/>
  <c r="A656" i="12"/>
  <c r="A655" i="12"/>
  <c r="A654" i="12"/>
  <c r="A653" i="12"/>
  <c r="A652" i="12"/>
  <c r="A651" i="12"/>
  <c r="A650" i="12"/>
  <c r="A649" i="12"/>
  <c r="A648" i="12"/>
  <c r="A647" i="12"/>
  <c r="A646" i="12"/>
  <c r="A645" i="12"/>
  <c r="A644" i="12"/>
  <c r="A643" i="12"/>
  <c r="A642" i="12"/>
  <c r="A641" i="12"/>
  <c r="A640" i="12"/>
  <c r="A639" i="12"/>
  <c r="A638" i="12"/>
  <c r="A637" i="12"/>
  <c r="A636" i="12"/>
  <c r="A635" i="12"/>
  <c r="A634" i="12"/>
  <c r="A633" i="12"/>
  <c r="A632" i="12"/>
  <c r="A631" i="12"/>
  <c r="A630" i="12"/>
  <c r="A629" i="12"/>
  <c r="A628" i="12"/>
  <c r="A627" i="12"/>
  <c r="A626" i="12"/>
  <c r="A625" i="12"/>
  <c r="A624" i="12"/>
  <c r="A623" i="12"/>
  <c r="A622" i="12"/>
  <c r="A621" i="12"/>
  <c r="A620" i="12"/>
  <c r="A619" i="12"/>
  <c r="A618" i="12"/>
  <c r="A617" i="12"/>
  <c r="A616" i="12"/>
  <c r="A615" i="12"/>
  <c r="A614" i="12"/>
  <c r="A613" i="12"/>
  <c r="A612" i="12"/>
  <c r="A611" i="12"/>
  <c r="A610" i="12"/>
  <c r="A609" i="12"/>
  <c r="A608" i="12"/>
  <c r="A607" i="12"/>
  <c r="A606" i="12"/>
  <c r="A605" i="12"/>
  <c r="A604" i="12"/>
  <c r="A603" i="12"/>
  <c r="A602" i="12"/>
  <c r="A601" i="12"/>
  <c r="A600" i="12"/>
  <c r="A599" i="12"/>
  <c r="A598" i="12"/>
  <c r="A597" i="12"/>
  <c r="A596" i="12"/>
  <c r="A595" i="12"/>
  <c r="A594" i="12"/>
  <c r="A593" i="12"/>
  <c r="A592" i="12"/>
  <c r="A591" i="12"/>
  <c r="A590" i="12"/>
  <c r="A589" i="12"/>
  <c r="A588" i="12"/>
  <c r="A587" i="12"/>
  <c r="A586" i="12"/>
  <c r="A585" i="12"/>
  <c r="A584" i="12"/>
  <c r="A583" i="12"/>
  <c r="A582" i="12"/>
  <c r="A581" i="12"/>
  <c r="A580" i="12"/>
  <c r="A579" i="12"/>
  <c r="A578" i="12"/>
  <c r="A577" i="12"/>
  <c r="A576" i="12"/>
  <c r="A575" i="12"/>
  <c r="A574" i="12"/>
  <c r="A573" i="12"/>
  <c r="A572" i="12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O74" i="2" l="1"/>
  <c r="O49" i="2"/>
  <c r="O45" i="2"/>
  <c r="O37" i="2"/>
  <c r="O24" i="2"/>
  <c r="O23" i="2"/>
  <c r="O18" i="2"/>
  <c r="G37" i="2"/>
  <c r="F97" i="2"/>
  <c r="G82" i="2"/>
  <c r="G60" i="2"/>
  <c r="G46" i="2"/>
  <c r="G36" i="2"/>
  <c r="L59" i="3" l="1"/>
  <c r="L55" i="3"/>
  <c r="L58" i="3" l="1"/>
  <c r="O28" i="2"/>
  <c r="G15" i="2"/>
  <c r="G80" i="2"/>
  <c r="G71" i="2"/>
  <c r="G34" i="2"/>
  <c r="L22" i="3" l="1"/>
  <c r="L10" i="3"/>
  <c r="G21" i="2" l="1"/>
  <c r="G20" i="2" l="1"/>
  <c r="O88" i="2" l="1"/>
  <c r="O89" i="2"/>
  <c r="O90" i="2"/>
  <c r="O83" i="2"/>
  <c r="O84" i="2"/>
  <c r="O64" i="2"/>
  <c r="O65" i="2"/>
  <c r="O66" i="2"/>
  <c r="O67" i="2"/>
  <c r="O39" i="2"/>
  <c r="O40" i="2"/>
  <c r="O38" i="2"/>
  <c r="O43" i="2"/>
  <c r="O44" i="2"/>
  <c r="O42" i="2"/>
  <c r="O34" i="2"/>
  <c r="O25" i="2"/>
  <c r="G72" i="2"/>
  <c r="G73" i="2"/>
  <c r="G57" i="2"/>
  <c r="G58" i="2"/>
  <c r="G59" i="2"/>
  <c r="G61" i="2"/>
  <c r="G62" i="2"/>
  <c r="G63" i="2"/>
  <c r="G56" i="2"/>
  <c r="G54" i="2"/>
  <c r="G53" i="2"/>
  <c r="O52" i="2" l="1"/>
  <c r="O91" i="2" l="1"/>
  <c r="O48" i="2"/>
  <c r="O36" i="2" l="1"/>
  <c r="O87" i="2" l="1"/>
  <c r="L42" i="3" l="1"/>
  <c r="L37" i="3"/>
  <c r="O86" i="2" l="1"/>
  <c r="L20" i="3"/>
  <c r="L60" i="3"/>
  <c r="L54" i="3"/>
  <c r="L49" i="3"/>
  <c r="L48" i="3"/>
  <c r="L43" i="3"/>
  <c r="L44" i="3"/>
  <c r="L41" i="3"/>
  <c r="L35" i="3"/>
  <c r="L36" i="3"/>
  <c r="L38" i="3"/>
  <c r="L34" i="3"/>
  <c r="L28" i="3"/>
  <c r="L29" i="3"/>
  <c r="L27" i="3"/>
  <c r="L21" i="3"/>
  <c r="L23" i="3"/>
  <c r="L14" i="3"/>
  <c r="L15" i="3"/>
  <c r="L13" i="3"/>
  <c r="O41" i="2" l="1"/>
  <c r="L47" i="3" l="1"/>
  <c r="L53" i="3" l="1"/>
  <c r="L26" i="3"/>
  <c r="L33" i="3"/>
  <c r="G78" i="2"/>
  <c r="O82" i="2" l="1"/>
  <c r="O79" i="2"/>
  <c r="O78" i="2" s="1"/>
  <c r="O76" i="2"/>
  <c r="O75" i="2"/>
  <c r="O63" i="2"/>
  <c r="O60" i="2"/>
  <c r="O59" i="2"/>
  <c r="O58" i="2"/>
  <c r="O53" i="2"/>
  <c r="O33" i="2"/>
  <c r="O32" i="2" s="1"/>
  <c r="O30" i="2"/>
  <c r="O29" i="2"/>
  <c r="O22" i="2"/>
  <c r="O17" i="2"/>
  <c r="O16" i="2"/>
  <c r="O15" i="2"/>
  <c r="G97" i="2"/>
  <c r="G96" i="2" s="1"/>
  <c r="G88" i="2"/>
  <c r="G26" i="2"/>
  <c r="G25" i="2"/>
  <c r="G47" i="2"/>
  <c r="G45" i="2"/>
  <c r="G68" i="2"/>
  <c r="G67" i="2" s="1"/>
  <c r="G94" i="2"/>
  <c r="G93" i="2"/>
  <c r="G92" i="2"/>
  <c r="G91" i="2"/>
  <c r="G87" i="2"/>
  <c r="G84" i="2"/>
  <c r="G81" i="2"/>
  <c r="G79" i="2"/>
  <c r="G77" i="2"/>
  <c r="G74" i="2"/>
  <c r="G50" i="2"/>
  <c r="G49" i="2"/>
  <c r="G48" i="2"/>
  <c r="G38" i="2"/>
  <c r="G35" i="2"/>
  <c r="G31" i="2"/>
  <c r="G30" i="2"/>
  <c r="G29" i="2"/>
  <c r="G27" i="2"/>
  <c r="G24" i="2"/>
  <c r="G19" i="2"/>
  <c r="G18" i="2"/>
  <c r="G17" i="2"/>
  <c r="G16" i="2"/>
  <c r="L9" i="3"/>
  <c r="L8" i="3"/>
  <c r="L7" i="3" l="1"/>
  <c r="G14" i="2"/>
  <c r="G55" i="2"/>
  <c r="G70" i="2"/>
  <c r="G22" i="2"/>
  <c r="O81" i="2"/>
  <c r="O62" i="2"/>
  <c r="L19" i="3"/>
  <c r="O27" i="2"/>
  <c r="G33" i="2"/>
  <c r="O73" i="2"/>
  <c r="O57" i="2"/>
  <c r="O51" i="2"/>
  <c r="O47" i="2"/>
  <c r="O20" i="2"/>
  <c r="O14" i="2"/>
  <c r="G41" i="2"/>
  <c r="G76" i="2"/>
  <c r="G86" i="2"/>
  <c r="G52" i="2"/>
  <c r="L12" i="3"/>
  <c r="G12" i="2" l="1"/>
  <c r="O55" i="2"/>
  <c r="L17" i="3"/>
  <c r="G65" i="2"/>
  <c r="L24" i="3" l="1"/>
  <c r="L31" i="3" s="1"/>
  <c r="L51" i="3" s="1"/>
  <c r="G100" i="2"/>
  <c r="O69" i="2" l="1"/>
  <c r="W32" i="2" s="1"/>
  <c r="O12" i="2"/>
  <c r="W28" i="2" s="1"/>
  <c r="O100" i="2" l="1"/>
  <c r="O104" i="2" s="1"/>
  <c r="L57" i="3"/>
  <c r="L62" i="3" s="1"/>
  <c r="L64" i="3" s="1"/>
</calcChain>
</file>

<file path=xl/sharedStrings.xml><?xml version="1.0" encoding="utf-8"?>
<sst xmlns="http://schemas.openxmlformats.org/spreadsheetml/2006/main" count="4610" uniqueCount="3794">
  <si>
    <t>TEK DÜZEN HESAP PLANI AYRINTILI BİLANÇO(TL)</t>
  </si>
  <si>
    <t>AKTİF</t>
  </si>
  <si>
    <t>PASİF</t>
  </si>
  <si>
    <t>I.</t>
  </si>
  <si>
    <t>DÖNEN VARLIKLAR</t>
  </si>
  <si>
    <t>III.</t>
  </si>
  <si>
    <t>KISA VADELİ YABANCI KAYNAKLAR</t>
  </si>
  <si>
    <t>.A.</t>
  </si>
  <si>
    <t>Hazır Değerler</t>
  </si>
  <si>
    <t>Mali Borçlar</t>
  </si>
  <si>
    <t>.1.</t>
  </si>
  <si>
    <t>Kasa</t>
  </si>
  <si>
    <t>Banka Kredileri</t>
  </si>
  <si>
    <t>.2.</t>
  </si>
  <si>
    <t>Alınan Çekler</t>
  </si>
  <si>
    <t>Finansal Kiralama İşlemlerinden Borçlar</t>
  </si>
  <si>
    <t>.3.</t>
  </si>
  <si>
    <t>Bankalar</t>
  </si>
  <si>
    <t>Ertelenmiş Finansal Kiralama Borçlanma Maliyetleri</t>
  </si>
  <si>
    <t>.4.</t>
  </si>
  <si>
    <t>Verilen çekler ve ödeme emirleri (-)</t>
  </si>
  <si>
    <t>Diğer Mali Borçlar</t>
  </si>
  <si>
    <t>.5.</t>
  </si>
  <si>
    <t>Diğer Hazır Değerler</t>
  </si>
  <si>
    <t>.B.</t>
  </si>
  <si>
    <t>Ticari Borçlar</t>
  </si>
  <si>
    <t>.C.</t>
  </si>
  <si>
    <t>Ticari Alacaklar</t>
  </si>
  <si>
    <t>Satıcılar</t>
  </si>
  <si>
    <t>Alıcılar</t>
  </si>
  <si>
    <t>Alınan Depozito ve Teminatlar</t>
  </si>
  <si>
    <t>Verilen Depozito ve teminatlar</t>
  </si>
  <si>
    <t>Diğer Ticari Borçlar</t>
  </si>
  <si>
    <t>.6.</t>
  </si>
  <si>
    <t>Diğer Ticari Alacaklar</t>
  </si>
  <si>
    <t>.7.</t>
  </si>
  <si>
    <t>Şüpheli Ticari Alacaklar</t>
  </si>
  <si>
    <t>Diğer Borçlar</t>
  </si>
  <si>
    <t>.8.</t>
  </si>
  <si>
    <t>Şüpheli Ticari Alacaklar Karşılığı (-)</t>
  </si>
  <si>
    <t xml:space="preserve">Personele Borçlar </t>
  </si>
  <si>
    <t>Diğer Çeşitli Borçlar</t>
  </si>
  <si>
    <t>.D.</t>
  </si>
  <si>
    <t>Diğer Alacaklar</t>
  </si>
  <si>
    <t>Personelden Alacaklar</t>
  </si>
  <si>
    <t>Alınan Avanslar</t>
  </si>
  <si>
    <t>Diğer Çeşitli Alacaklar</t>
  </si>
  <si>
    <t>Alınan Sipariş Avansları</t>
  </si>
  <si>
    <t>Şüpheli Diğer Alacaklar</t>
  </si>
  <si>
    <t>Şüpheli Diğer Alacaklar Karşılığı (-)</t>
  </si>
  <si>
    <t>.F.</t>
  </si>
  <si>
    <t>Ödenecek Vergi ve Diğer Yükümlülükler</t>
  </si>
  <si>
    <t>Ödenecek Vergi ve Fonlar</t>
  </si>
  <si>
    <t>.E.</t>
  </si>
  <si>
    <t>Stoklar</t>
  </si>
  <si>
    <t>Ödenecek Sosyal Güvenlik Kesintileri</t>
  </si>
  <si>
    <t>Ticari Mallar</t>
  </si>
  <si>
    <t>Diğer Stoklar</t>
  </si>
  <si>
    <t>.G.</t>
  </si>
  <si>
    <t>Diğer Borç ve gider karşılıkları</t>
  </si>
  <si>
    <t>Verilen sipariş avansları</t>
  </si>
  <si>
    <t>Gelecek Aylara Ait Giderler ve Gelir Tahakkukları</t>
  </si>
  <si>
    <t>.H.</t>
  </si>
  <si>
    <t>Gelecek Aylara Ait Gelirler ve Gider Tahakkukları</t>
  </si>
  <si>
    <t xml:space="preserve">Gelecek Aylara Ait Giderler </t>
  </si>
  <si>
    <t>Gelecek Aylara Ait Gelirler</t>
  </si>
  <si>
    <t>Gelir Tahakkukları</t>
  </si>
  <si>
    <t>Gider Tahakkukları</t>
  </si>
  <si>
    <t>Diğer Dönen Varlıklar</t>
  </si>
  <si>
    <t>Devreden Katma Değer Vergisi</t>
  </si>
  <si>
    <t>Diğer Kısa Vadeli Yabancı Kaynaklar</t>
  </si>
  <si>
    <t>İndirilecek KDV</t>
  </si>
  <si>
    <t>Hesaplanan KDV</t>
  </si>
  <si>
    <t>Diğer KDV</t>
  </si>
  <si>
    <t>Sayım ve Tesellüm Fazlalıkları</t>
  </si>
  <si>
    <t>Peşin Ödenen Vergiler ve Fonlar</t>
  </si>
  <si>
    <t>IV</t>
  </si>
  <si>
    <t>İş avansları</t>
  </si>
  <si>
    <t>UZUN VADELİ YABANCI KAYNAKLAR</t>
  </si>
  <si>
    <t>Sayım ve Tesellüm Noksanları</t>
  </si>
  <si>
    <t>Diğer Çeşitli Dönen Varlıklar</t>
  </si>
  <si>
    <t>II.</t>
  </si>
  <si>
    <t>DURAN VARLIKLAR</t>
  </si>
  <si>
    <t>Verilen Depozito ve Teminatlar</t>
  </si>
  <si>
    <t>Mali Duran Varlıklar</t>
  </si>
  <si>
    <t>İştirakler</t>
  </si>
  <si>
    <t>Gelecek yıllara air gelirler ve gider tahakkukları</t>
  </si>
  <si>
    <t>Bağlı ortaklıklar</t>
  </si>
  <si>
    <t xml:space="preserve">Gelecek yıllara air gelirler </t>
  </si>
  <si>
    <t>V</t>
  </si>
  <si>
    <t>Maddi Duran Varlıklar</t>
  </si>
  <si>
    <t>ÖZ KAYNAKLAR</t>
  </si>
  <si>
    <t>Binalar</t>
  </si>
  <si>
    <t>Tesis Makina ve Cihazlar</t>
  </si>
  <si>
    <t>Ödenmiş Sermaye</t>
  </si>
  <si>
    <t>Taşıtlar</t>
  </si>
  <si>
    <t>Sermaye</t>
  </si>
  <si>
    <t>Demirbaşlar</t>
  </si>
  <si>
    <t>Ödenmemiş Sermaye (-)</t>
  </si>
  <si>
    <t>Birikmiş Amortismanlar (-)</t>
  </si>
  <si>
    <t>Sermaye Düzeltmesi Olumlu Farkları</t>
  </si>
  <si>
    <t>Yapılmakta olan yatırımlar</t>
  </si>
  <si>
    <t>Verilen Avanslar</t>
  </si>
  <si>
    <t>Sermaye Yedekleri</t>
  </si>
  <si>
    <t>Maddi Duran Varlık Yeniden Değerleme Artışları</t>
  </si>
  <si>
    <t>Maddi Olmayan Duran Varlıklar</t>
  </si>
  <si>
    <t>Kâr Yedekleri</t>
  </si>
  <si>
    <t>Haklar</t>
  </si>
  <si>
    <t>Özel Fonlar</t>
  </si>
  <si>
    <t>Özel Maliyetler</t>
  </si>
  <si>
    <t>Diğer Maddi Olmayan Duran Varlıklar</t>
  </si>
  <si>
    <t>Geçmiş Yıllar Zararları (-)</t>
  </si>
  <si>
    <t>Gelecek Yıllara Ait Giderler ve Gelir Tahakkukları</t>
  </si>
  <si>
    <t>Dönem Net Karı (Zararı)</t>
  </si>
  <si>
    <t xml:space="preserve">Gelecek Yıllara Ait Giderler </t>
  </si>
  <si>
    <t>Dönem Net Karı</t>
  </si>
  <si>
    <t>AKTİF TOPLAMI</t>
  </si>
  <si>
    <t>PASİF TOPLAMI</t>
  </si>
  <si>
    <t>GELİR TABLOSU (TL)</t>
  </si>
  <si>
    <t>A.</t>
  </si>
  <si>
    <t>Brüt Satışlar</t>
  </si>
  <si>
    <t>Yurtiçi Satışlar</t>
  </si>
  <si>
    <t>Yurtdışı Satışlar</t>
  </si>
  <si>
    <t>Diğer Gelirler</t>
  </si>
  <si>
    <t>B.</t>
  </si>
  <si>
    <t>Satış İndirimleri (-)</t>
  </si>
  <si>
    <t>Satış İskontoları (-)</t>
  </si>
  <si>
    <t>C.</t>
  </si>
  <si>
    <t>Net Satışlar</t>
  </si>
  <si>
    <t>D.</t>
  </si>
  <si>
    <t>Satışların Maliyeti (-)</t>
  </si>
  <si>
    <t>Satılan Ticari Mallar Maliyeti (-)</t>
  </si>
  <si>
    <t>Brüt Satış Karı veya Zararı</t>
  </si>
  <si>
    <t>E.</t>
  </si>
  <si>
    <t>Faaliyet Giderleri (-)</t>
  </si>
  <si>
    <t>Araştırma ve Geliştirme Giderleri (-)</t>
  </si>
  <si>
    <t>Pazarlama, Satış ve Dağıtım Giderleri (-)</t>
  </si>
  <si>
    <t>Genel Yönetim Giderleri (-)</t>
  </si>
  <si>
    <t>Faaliyet Karı veya Zararı</t>
  </si>
  <si>
    <t>F.</t>
  </si>
  <si>
    <t>Diğer Faaliyetlerden Olağan Gelir ve Karlar</t>
  </si>
  <si>
    <t>Faiz Gelirleri</t>
  </si>
  <si>
    <t>Konusu Kalmayan Karşılıklar</t>
  </si>
  <si>
    <t>Kambiyo Karları</t>
  </si>
  <si>
    <t xml:space="preserve">Diğer Olağan Gelir ve Karlar </t>
  </si>
  <si>
    <t>G.</t>
  </si>
  <si>
    <t>Diğer Faaliyetlerden Olağan Gider ve Zararlar (-)</t>
  </si>
  <si>
    <t>Komisyon Giderleri (-)</t>
  </si>
  <si>
    <t>Karşılık Giderleri (-)</t>
  </si>
  <si>
    <t>Kambiyo Zararları (-)</t>
  </si>
  <si>
    <t>Diğer Olağan Gider ve Zararlar (-)</t>
  </si>
  <si>
    <t>H.</t>
  </si>
  <si>
    <t>Finansman Giderleri (-)</t>
  </si>
  <si>
    <t>Kısa Vadeli Borçlanma Giderleri (-)</t>
  </si>
  <si>
    <t>Uzun Vadeli Borçlanma Giderleri (-)</t>
  </si>
  <si>
    <t>Olağan Kar veya Zarar</t>
  </si>
  <si>
    <t>Olağan Dışı Gelir ve Karlar</t>
  </si>
  <si>
    <t>Önceki Dönem Gelir ve Karları</t>
  </si>
  <si>
    <t>Diğer Olağandışı Gelir ve Karlar</t>
  </si>
  <si>
    <t>J.</t>
  </si>
  <si>
    <t>Olağandışı Gider ve Zararlar (-)</t>
  </si>
  <si>
    <t>Önceki Dönem Gider ve Zararları (-)</t>
  </si>
  <si>
    <t>Diğer Olağandışı Gider ve Zararlar (-)</t>
  </si>
  <si>
    <t>Dönem Karı veya Zararı</t>
  </si>
  <si>
    <t>Dönem Net Karı veya Zararı</t>
  </si>
  <si>
    <t>Satış İadeleri (-)</t>
  </si>
  <si>
    <t>600</t>
  </si>
  <si>
    <t>602</t>
  </si>
  <si>
    <t>601</t>
  </si>
  <si>
    <t>100</t>
  </si>
  <si>
    <t>101</t>
  </si>
  <si>
    <t>102</t>
  </si>
  <si>
    <t>103</t>
  </si>
  <si>
    <t>108</t>
  </si>
  <si>
    <t>120</t>
  </si>
  <si>
    <t>121</t>
  </si>
  <si>
    <t>126</t>
  </si>
  <si>
    <t>127</t>
  </si>
  <si>
    <t>135</t>
  </si>
  <si>
    <t>136</t>
  </si>
  <si>
    <t>150</t>
  </si>
  <si>
    <t>151</t>
  </si>
  <si>
    <t>152</t>
  </si>
  <si>
    <t>153</t>
  </si>
  <si>
    <t>159</t>
  </si>
  <si>
    <t>180</t>
  </si>
  <si>
    <t>181</t>
  </si>
  <si>
    <t>190</t>
  </si>
  <si>
    <t>191</t>
  </si>
  <si>
    <t>193</t>
  </si>
  <si>
    <t>195</t>
  </si>
  <si>
    <t>242</t>
  </si>
  <si>
    <t>245</t>
  </si>
  <si>
    <t>252</t>
  </si>
  <si>
    <t>253</t>
  </si>
  <si>
    <t>254</t>
  </si>
  <si>
    <t>255</t>
  </si>
  <si>
    <t>257</t>
  </si>
  <si>
    <t>259</t>
  </si>
  <si>
    <t>260</t>
  </si>
  <si>
    <t>261</t>
  </si>
  <si>
    <t>262</t>
  </si>
  <si>
    <t>264</t>
  </si>
  <si>
    <t>268</t>
  </si>
  <si>
    <t>280</t>
  </si>
  <si>
    <t>300</t>
  </si>
  <si>
    <t>301</t>
  </si>
  <si>
    <t>302</t>
  </si>
  <si>
    <t>309</t>
  </si>
  <si>
    <t>320</t>
  </si>
  <si>
    <t>329</t>
  </si>
  <si>
    <t>335</t>
  </si>
  <si>
    <t>340</t>
  </si>
  <si>
    <t>360</t>
  </si>
  <si>
    <t>361</t>
  </si>
  <si>
    <t>381</t>
  </si>
  <si>
    <t>391</t>
  </si>
  <si>
    <t>400</t>
  </si>
  <si>
    <t>401</t>
  </si>
  <si>
    <t>402</t>
  </si>
  <si>
    <t>426</t>
  </si>
  <si>
    <t>481</t>
  </si>
  <si>
    <t>500</t>
  </si>
  <si>
    <t>540</t>
  </si>
  <si>
    <t>570</t>
  </si>
  <si>
    <t>610</t>
  </si>
  <si>
    <t>611</t>
  </si>
  <si>
    <t>612</t>
  </si>
  <si>
    <t>620</t>
  </si>
  <si>
    <t>621</t>
  </si>
  <si>
    <t>631</t>
  </si>
  <si>
    <t>632</t>
  </si>
  <si>
    <t>645</t>
  </si>
  <si>
    <t>646</t>
  </si>
  <si>
    <t>653</t>
  </si>
  <si>
    <t>655</t>
  </si>
  <si>
    <t>656</t>
  </si>
  <si>
    <t>660</t>
  </si>
  <si>
    <t>679</t>
  </si>
  <si>
    <t>681</t>
  </si>
  <si>
    <t>689</t>
  </si>
  <si>
    <t>710</t>
  </si>
  <si>
    <t>711</t>
  </si>
  <si>
    <t>720</t>
  </si>
  <si>
    <t>721</t>
  </si>
  <si>
    <t>730</t>
  </si>
  <si>
    <t>731</t>
  </si>
  <si>
    <t>760</t>
  </si>
  <si>
    <t>761</t>
  </si>
  <si>
    <t>770</t>
  </si>
  <si>
    <t>771</t>
  </si>
  <si>
    <t>780</t>
  </si>
  <si>
    <t>750</t>
  </si>
  <si>
    <t>642</t>
  </si>
  <si>
    <t>644</t>
  </si>
  <si>
    <t>649</t>
  </si>
  <si>
    <t>654</t>
  </si>
  <si>
    <t>658</t>
  </si>
  <si>
    <t>671</t>
  </si>
  <si>
    <t>Satılan Mamül  Maliyeti (-)</t>
  </si>
  <si>
    <t>661</t>
  </si>
  <si>
    <t>Diğer İndirimler (-)</t>
  </si>
  <si>
    <t>Menkul Kıymet Satış Karları</t>
  </si>
  <si>
    <t>Menkul Kıymet Satış Zararları (-)</t>
  </si>
  <si>
    <t>128</t>
  </si>
  <si>
    <t>129</t>
  </si>
  <si>
    <t>138</t>
  </si>
  <si>
    <t>139</t>
  </si>
  <si>
    <t>157</t>
  </si>
  <si>
    <t>194</t>
  </si>
  <si>
    <t>197</t>
  </si>
  <si>
    <t>198</t>
  </si>
  <si>
    <t>226</t>
  </si>
  <si>
    <t>258</t>
  </si>
  <si>
    <t>267</t>
  </si>
  <si>
    <t>İlk Madde Malzemeler</t>
  </si>
  <si>
    <t>Yarı Mamüller</t>
  </si>
  <si>
    <t>Mamüller</t>
  </si>
  <si>
    <t>Alacak Senetleri</t>
  </si>
  <si>
    <t>Alacak Senetleri Reeskontu</t>
  </si>
  <si>
    <t>122</t>
  </si>
  <si>
    <t>Şerefiye</t>
  </si>
  <si>
    <t>326</t>
  </si>
  <si>
    <t>336</t>
  </si>
  <si>
    <t>379</t>
  </si>
  <si>
    <t>380</t>
  </si>
  <si>
    <t>397</t>
  </si>
  <si>
    <t>420</t>
  </si>
  <si>
    <t>480</t>
  </si>
  <si>
    <t>501</t>
  </si>
  <si>
    <t>502</t>
  </si>
  <si>
    <t>522</t>
  </si>
  <si>
    <t>549</t>
  </si>
  <si>
    <t>Geçmiş Yıllar Kar Zararları (-)</t>
  </si>
  <si>
    <t>Alınan Depozito ve Temiantlar</t>
  </si>
  <si>
    <t>Yasal Yedekler</t>
  </si>
  <si>
    <t>Ortaklardan Alacaklar</t>
  </si>
  <si>
    <t>Kuruluş ve Örgütlenme Giderleri</t>
  </si>
  <si>
    <t>Ortaklara Borçlar</t>
  </si>
  <si>
    <t xml:space="preserve">Vadesi Geçmiş, Ertelenen veya Taksitlendirilmiş Vergi </t>
  </si>
  <si>
    <t>Ödenecek Diğer Yükümlülükler</t>
  </si>
  <si>
    <t>Dönem Karı Vergi ve Diğ.Yas.Yük. Karşılıkları</t>
  </si>
  <si>
    <t>Dön.Kar.Peşin Öd.Vergi ve Diğer Yükümlülükler</t>
  </si>
  <si>
    <t>Satılan Hizmet Maliyeti (-)</t>
  </si>
  <si>
    <t>Diğer Satışların Maliyeti (-)</t>
  </si>
  <si>
    <t>KASA HESABI</t>
  </si>
  <si>
    <t>BANKALAR</t>
  </si>
  <si>
    <t>DİĞER HAZIR DEĞERLER</t>
  </si>
  <si>
    <t>ALICILAR</t>
  </si>
  <si>
    <t>VERİLEN DEPOZİTO VE TEMİNATLAR</t>
  </si>
  <si>
    <t>PERSONELDEN ALACAKLAR</t>
  </si>
  <si>
    <t>DİĞER ÇEŞİTLİ ALACAKLAR</t>
  </si>
  <si>
    <t>İLK MADDE VE MALZEME</t>
  </si>
  <si>
    <t>YARI MAMÜLLER - ÜRETİM</t>
  </si>
  <si>
    <t>TİCARİ MALLAR</t>
  </si>
  <si>
    <t>DİĞER STOKLAR</t>
  </si>
  <si>
    <t>VERİLEN SİPARİŞ AVANSLARI</t>
  </si>
  <si>
    <t>GELECEK AYLARA AİT GİDERLER</t>
  </si>
  <si>
    <t>GELİR TAHAKKUKLARI</t>
  </si>
  <si>
    <t>PEŞİN ÖDENEN VERGİLER VE FONLAR</t>
  </si>
  <si>
    <t>İŞ AVANSLARI</t>
  </si>
  <si>
    <t>TESİS, MAKİNE VE CİHAZLAR</t>
  </si>
  <si>
    <t>TAŞITLAR</t>
  </si>
  <si>
    <t>DEMİRBAŞLAR</t>
  </si>
  <si>
    <t>YAPILMAKTA OLAN YATIRIMLAR</t>
  </si>
  <si>
    <t>HAKLAR</t>
  </si>
  <si>
    <t>ŞEREFİYE</t>
  </si>
  <si>
    <t>KURULUŞ VE ÖRGÜTLENME GİDERLERİ</t>
  </si>
  <si>
    <t>ÖZEL MALİYETLER</t>
  </si>
  <si>
    <t>BİRİKMİŞ AMORTİSMANLAR (-)</t>
  </si>
  <si>
    <t>GELECEK YILLARA AİT GİDERLER</t>
  </si>
  <si>
    <t>BANKA KREDİLERİ</t>
  </si>
  <si>
    <t>DİĞER MALİ BORÇLAR</t>
  </si>
  <si>
    <t>SATICILAR</t>
  </si>
  <si>
    <t>PERSONELE BORÇLAR (KISA VADELİ Y.K.)</t>
  </si>
  <si>
    <t>DİĞER ÇEŞİTLİ BORÇLAR (KISA VADELİ Y.K.)</t>
  </si>
  <si>
    <t>ALINAN SİPARİŞ AVANSLARI (KISA VADELİ Y.K.)</t>
  </si>
  <si>
    <t>ÖDENECEK VERGİ VE FONLAR</t>
  </si>
  <si>
    <t>ÖDENECEK SOSYAL GÜVENLİK KESİNTİLERİ</t>
  </si>
  <si>
    <t>369</t>
  </si>
  <si>
    <t>ÖDENECEK DİĞER YÜKÜMLÜLÜKLER</t>
  </si>
  <si>
    <t>DİĞER BORÇ VE GİDER KARŞILIKLARI</t>
  </si>
  <si>
    <t>GİDER TAHAKKUKLARI</t>
  </si>
  <si>
    <t>ALINAN DEPOZİTO VE TEMİNATLAR (UZUN VADELİ Y.K.)</t>
  </si>
  <si>
    <t>SERMAYE</t>
  </si>
  <si>
    <t>YASAL YEDEKLER</t>
  </si>
  <si>
    <t>ÖZEL FONLAR</t>
  </si>
  <si>
    <t>GEÇMİŞ YILLAR KARLARI</t>
  </si>
  <si>
    <t>YURTİÇİ SATIŞLAR</t>
  </si>
  <si>
    <t>DİĞER GELİRLER</t>
  </si>
  <si>
    <t>SATIŞTAN İADELER (-)</t>
  </si>
  <si>
    <t>DİĞER İNDİRİMLER (-)</t>
  </si>
  <si>
    <t>SATILAN MAMÜLLER MALİYETİ (-) ŞUBELER</t>
  </si>
  <si>
    <t>SATILAN TİCARİ MALLAR MALİYETİ (-)</t>
  </si>
  <si>
    <t>623</t>
  </si>
  <si>
    <t>FAİZ GELİRLERİ</t>
  </si>
  <si>
    <t>KAMBİYO KARLARI</t>
  </si>
  <si>
    <t>KAMBİYO ZARARLARI (-)</t>
  </si>
  <si>
    <t>DİĞER OLAĞANDIŞI GELİR VE KARLAR</t>
  </si>
  <si>
    <t>DİĞER OLAĞANDIŞI GİDER VE ZARARLAR (-)</t>
  </si>
  <si>
    <t>DİREKT İLK MADDE VE MALZEME GİDERLERİ</t>
  </si>
  <si>
    <t>DİREKT İLK MADDE VE MALZEME YANSITMA HESABI</t>
  </si>
  <si>
    <t>İMALATHANE DİREKT GİDERLERİ</t>
  </si>
  <si>
    <t>GENEL ÜRETİM GİDERLERİ</t>
  </si>
  <si>
    <t>PAZARLAMA SATIŞ VE DAĞITIM GİDERLERİ</t>
  </si>
  <si>
    <t>GENEL YÖNETİM GİDERLERİ</t>
  </si>
  <si>
    <t>FİNANSMAN GİDERLERİ</t>
  </si>
  <si>
    <t>DİĞER TİCARİ BORÇLAR (KISA VADELİ Y.K.)</t>
  </si>
  <si>
    <t>Bağlı Menkul Kıymetler</t>
  </si>
  <si>
    <t>232</t>
  </si>
  <si>
    <t>İŞTİRAKLERDEN ALACAKLAR</t>
  </si>
  <si>
    <t>BAĞLI ORTAKLIKLAR</t>
  </si>
  <si>
    <t>VERİLEN AVANSLAR</t>
  </si>
  <si>
    <t>349</t>
  </si>
  <si>
    <t>ALINAN DİĞER AVANSLAR (KISA VADELİ Y.K.)</t>
  </si>
  <si>
    <t>İştiraklerden Alacak</t>
  </si>
  <si>
    <t>2.</t>
  </si>
  <si>
    <t>Alınan Diğer Avanslar</t>
  </si>
  <si>
    <t>542</t>
  </si>
  <si>
    <t>ALINAN DEPOZİTO VE TEMİNATLAR (KISA VADELİ Y.K.)</t>
  </si>
  <si>
    <t>Olağan Üstü Yedekler</t>
  </si>
  <si>
    <t>ALINAN ÇEKLER</t>
  </si>
  <si>
    <t>MAMÜLLER</t>
  </si>
  <si>
    <t>İNDİRİLECEK KATMA DEĞER VERGİSİ</t>
  </si>
  <si>
    <t>196</t>
  </si>
  <si>
    <t>PERSONEL AVANSLARI</t>
  </si>
  <si>
    <t>590</t>
  </si>
  <si>
    <t>ŞÜPHELİ DİĞER ALACAKLAR</t>
  </si>
  <si>
    <t>ŞÜPHELİ DİĞER ALACAKLAR KARŞILIĞI (-)</t>
  </si>
  <si>
    <t>BİNALAR</t>
  </si>
  <si>
    <t>373</t>
  </si>
  <si>
    <t>580</t>
  </si>
  <si>
    <t>659</t>
  </si>
  <si>
    <t>680</t>
  </si>
  <si>
    <t>ÇALIŞILMAYAN KISIM GİDER VE ZARARLARI</t>
  </si>
  <si>
    <t>Personel Avansları</t>
  </si>
  <si>
    <t>Dönem Karı</t>
  </si>
  <si>
    <t>Dönem zararı</t>
  </si>
  <si>
    <t>Geçmiş Yıllar Karları</t>
  </si>
  <si>
    <t>Mliyet Giderleri  Karşılığı</t>
  </si>
  <si>
    <t>321</t>
  </si>
  <si>
    <t>BORÇ SENETLERİ (KISA VADELİ YABANCI KAYNAKLAR)</t>
  </si>
  <si>
    <t>Çalışmayan Kısım Gider Ve Zaralar</t>
  </si>
  <si>
    <t>GELECEK AYLARA AİT GELİRLER</t>
  </si>
  <si>
    <t>YURTDIŞI SATIŞLAR</t>
  </si>
  <si>
    <t>Hesap Kodu</t>
  </si>
  <si>
    <t>Hesap Adı</t>
  </si>
  <si>
    <t>Borç</t>
  </si>
  <si>
    <t>Alacak</t>
  </si>
  <si>
    <t>Bakiye Borç</t>
  </si>
  <si>
    <t>Bakiye Alacak</t>
  </si>
  <si>
    <t>Bakiye</t>
  </si>
  <si>
    <t>368</t>
  </si>
  <si>
    <t>370</t>
  </si>
  <si>
    <t>371</t>
  </si>
  <si>
    <t>591</t>
  </si>
  <si>
    <t>DİREKT İŞÇİLİK GİDERLERİ YANSITMA HESABI</t>
  </si>
  <si>
    <t>GENEL ÜRETİM GİDERLERİ YANSITMA HESABI</t>
  </si>
  <si>
    <t>Borç Senetleri</t>
  </si>
  <si>
    <t>111</t>
  </si>
  <si>
    <t>ÖZEL KESİM TAHVİL, SENET VE BONOLARI</t>
  </si>
  <si>
    <t>740</t>
  </si>
  <si>
    <t>HİZMET ÜRETİM MALİYETİ</t>
  </si>
  <si>
    <t>Özel Kesim Tahvil, Senet Ve Bonoları</t>
  </si>
  <si>
    <t>..</t>
  </si>
  <si>
    <t>VERİLEN ÇEKLER VE ÖDEME EMİRLERİ (-)</t>
  </si>
  <si>
    <t>DİĞER ÇEŞİTLİ DÖNEN VARLIKLAR</t>
  </si>
  <si>
    <t>DÖNEM KARI VERGİ VE DİĞER YASAL YÜKÜM.KARŞILIKLARI</t>
  </si>
  <si>
    <t>DÖN.KARININ PEŞ.ÖDENEN VERGİ VE DİĞER YÜKÜM. (-)</t>
  </si>
  <si>
    <t>HESAPLANAN KDV</t>
  </si>
  <si>
    <t>118</t>
  </si>
  <si>
    <t>DİĞER MENKUL KIYMETLER</t>
  </si>
  <si>
    <t>Diğer Hazır Menkul Kıymetler</t>
  </si>
  <si>
    <t>331</t>
  </si>
  <si>
    <t>131</t>
  </si>
  <si>
    <t>DİĞER TİCARİ ALACAKLAR</t>
  </si>
  <si>
    <t>TAŞITLAR AMORTİSMANI</t>
  </si>
  <si>
    <t>DEMİRBAŞLAR AMORTİSMANI</t>
  </si>
  <si>
    <t>HAKLAR AMORTİSMANI</t>
  </si>
  <si>
    <t>ÖZEL MALİYET AMORTİSMANI</t>
  </si>
  <si>
    <t>320.005.010</t>
  </si>
  <si>
    <t>600.005.001</t>
  </si>
  <si>
    <t>% 01 KDV SATIŞLAR</t>
  </si>
  <si>
    <t>600.007.001</t>
  </si>
  <si>
    <t>600.007.008</t>
  </si>
  <si>
    <t>% 10 KDV SATIŞLAR</t>
  </si>
  <si>
    <t>600.007.015</t>
  </si>
  <si>
    <t>% 20 KDV SATIŞLAR</t>
  </si>
  <si>
    <t>600.010</t>
  </si>
  <si>
    <t>601.002.001</t>
  </si>
  <si>
    <t>YURTDIŞI SATIŞLAR KIBRIS</t>
  </si>
  <si>
    <t>601.003.001</t>
  </si>
  <si>
    <t>YURTDIŞI FRANCHISE CİRO PRİM GELİRLERİ %0 KDV Lİ</t>
  </si>
  <si>
    <t>601.003.002</t>
  </si>
  <si>
    <t>YURTDIŞI FRANCHISE REKLAM GELİRLERİ %0 KDV Lİ</t>
  </si>
  <si>
    <t>601.004.001</t>
  </si>
  <si>
    <t>YURTDIŞI SATIŞLAR RUSYA</t>
  </si>
  <si>
    <t>601.004.002</t>
  </si>
  <si>
    <t>YURTDIŞI SATIŞLAR İSPANYA</t>
  </si>
  <si>
    <t>601.004.003</t>
  </si>
  <si>
    <t>YURTDIŞI SATIŞLAR HOLLANDA</t>
  </si>
  <si>
    <t>602.010</t>
  </si>
  <si>
    <t>SATIŞTAN İADELER ANKARA ÜRETİM TESİSİ</t>
  </si>
  <si>
    <t>610.006.001</t>
  </si>
  <si>
    <t>612.001.001</t>
  </si>
  <si>
    <t>SATIŞ FİYAT FARKI YİYECEK</t>
  </si>
  <si>
    <t>620.005.001</t>
  </si>
  <si>
    <t>İLK MADDE MALZEME YİYECEK</t>
  </si>
  <si>
    <t>620.005.003</t>
  </si>
  <si>
    <t>İLK MADDE MALZEME YİYECEK (ANKARA)</t>
  </si>
  <si>
    <t>SATILAN YARI MAMUL MALİYETİ</t>
  </si>
  <si>
    <t>620.010.001</t>
  </si>
  <si>
    <t>620.010.002</t>
  </si>
  <si>
    <t>SATILAN YARI MAMUL MALİYETİ (ANKARA)</t>
  </si>
  <si>
    <t>621.005.001</t>
  </si>
  <si>
    <t>SATILAN TİCARİ MAL MALİYETİ YİYECEK</t>
  </si>
  <si>
    <t>621.005.003</t>
  </si>
  <si>
    <t>SATILAN TİCARİ MAL MALİYETİ SARF</t>
  </si>
  <si>
    <t>621.006.002</t>
  </si>
  <si>
    <t>YURTDIŞI SATILAN MALIN MALİYETİ KIBRIS</t>
  </si>
  <si>
    <t>621.006.003</t>
  </si>
  <si>
    <t>YURTDIŞI SATILAN MALIN MALİYETİ İSPANYA</t>
  </si>
  <si>
    <t>621.006.004</t>
  </si>
  <si>
    <t>YURTDIŞI SATILAN MALIN MALİYETİ HOLLANDA</t>
  </si>
  <si>
    <t>621.008.001</t>
  </si>
  <si>
    <t>SATILAN TİCARİ MAL MALİYETİ (ANKARA)</t>
  </si>
  <si>
    <t>621.011.001</t>
  </si>
  <si>
    <t>YURTDIŞI SATILAN MALIN MALİYETİ RUSYA</t>
  </si>
  <si>
    <t>MAKİNE TEÇHİZAT AMORTİSMANI</t>
  </si>
  <si>
    <t>689.001.009</t>
  </si>
  <si>
    <t>BAĞIŞ VE YARDIM GİDERLERİ KKEG</t>
  </si>
  <si>
    <t>689.001.015</t>
  </si>
  <si>
    <t>YUVARLAMA FARKLARI KKEG</t>
  </si>
  <si>
    <t>KANUNEN KABUL EDİLMEYEN GİDERLER KKEG</t>
  </si>
  <si>
    <t>689.001.017</t>
  </si>
  <si>
    <t>STOK ZARARLARI KKEG</t>
  </si>
  <si>
    <t>689.001.254</t>
  </si>
  <si>
    <t>ARAÇ GİDERLERİ AMORTİSMAN KKEG</t>
  </si>
  <si>
    <t>689.001.255</t>
  </si>
  <si>
    <t>ARAÇ LASTİK GİDERLERİ KKEG</t>
  </si>
  <si>
    <t>689.007.005</t>
  </si>
  <si>
    <t>689.007.006</t>
  </si>
  <si>
    <t>689.007.008</t>
  </si>
  <si>
    <t>ARAÇ GİDERLERİ KDVSİ KKEG</t>
  </si>
  <si>
    <t>710.005.001</t>
  </si>
  <si>
    <t>710.005.002</t>
  </si>
  <si>
    <t>İLK MADDE MALZEME İÇECEK</t>
  </si>
  <si>
    <t>710.005.003</t>
  </si>
  <si>
    <t>İLK MADDE MALZEME SARF</t>
  </si>
  <si>
    <t>710.005.004</t>
  </si>
  <si>
    <t>İLK MADDE MALZEME TEMİZLİK</t>
  </si>
  <si>
    <t>710.005.005</t>
  </si>
  <si>
    <t>İLK MADDE MALZEME PERSONEL KIYAFET</t>
  </si>
  <si>
    <t>710.005.006</t>
  </si>
  <si>
    <t>İLK MADDE MALZEME EKİPMAN</t>
  </si>
  <si>
    <t>711.005.001</t>
  </si>
  <si>
    <t>720.300.601</t>
  </si>
  <si>
    <t>BRÜT MAAŞ GİDERLERİ</t>
  </si>
  <si>
    <t>720.300.602</t>
  </si>
  <si>
    <t>KIDEM TAZMİNATI GİDERLERİ</t>
  </si>
  <si>
    <t>İHBAR TAZMİNATI GİDERLERİ</t>
  </si>
  <si>
    <t>720.300.604</t>
  </si>
  <si>
    <t>İKRAMİYE VE PRİM GİDERLERİ</t>
  </si>
  <si>
    <t>720.300.605</t>
  </si>
  <si>
    <t>SGK İŞVEREN PAYI GİDERLERİ</t>
  </si>
  <si>
    <t>720.300.606</t>
  </si>
  <si>
    <t>SGDP İŞVEREN PAYI GİDERLERİ</t>
  </si>
  <si>
    <t>720.300.607</t>
  </si>
  <si>
    <t>İŞSİZLİK SİGORTASI İŞVEREN PAYI GİDERLERİ</t>
  </si>
  <si>
    <t>720.300.608</t>
  </si>
  <si>
    <t>ÖZEL SAĞLIK SİGORTASI GİDERLERİ</t>
  </si>
  <si>
    <t>720.300.612</t>
  </si>
  <si>
    <t>AYNİ ÖDEMELER</t>
  </si>
  <si>
    <t>720.300.613</t>
  </si>
  <si>
    <t>İZİN GİDERLERİ</t>
  </si>
  <si>
    <t>720.300.614</t>
  </si>
  <si>
    <t>FAZLA MESAİ GİDERLERİ</t>
  </si>
  <si>
    <t>DONUK DEPO PRİM GİDERLERİ</t>
  </si>
  <si>
    <t>720.300.616</t>
  </si>
  <si>
    <t>SOĞUK DEPO PRİM GİDERLERİ</t>
  </si>
  <si>
    <t>720.300.691</t>
  </si>
  <si>
    <t>KIDEM PRİM GİDERLERİ</t>
  </si>
  <si>
    <t>721.099.002</t>
  </si>
  <si>
    <t>PERSONEL KIYAFET GİDERLERİ</t>
  </si>
  <si>
    <t>730.202.002</t>
  </si>
  <si>
    <t>IT DESTEK HİZMET GİDERLERİ</t>
  </si>
  <si>
    <t>MAKİNE KİRALAMA GİDERLERİ</t>
  </si>
  <si>
    <t>FİLO GİDERLERİ - MTV KKEG</t>
  </si>
  <si>
    <t>730.300.601</t>
  </si>
  <si>
    <t>730.300.602</t>
  </si>
  <si>
    <t>730.300.604</t>
  </si>
  <si>
    <t>730.300.605</t>
  </si>
  <si>
    <t>730.300.607</t>
  </si>
  <si>
    <t>730.300.608</t>
  </si>
  <si>
    <t>730.300.609</t>
  </si>
  <si>
    <t>YEMEK ÇEKLERİ VE YAN HAK GİDERLERİ</t>
  </si>
  <si>
    <t>730.300.612</t>
  </si>
  <si>
    <t>730.300.613</t>
  </si>
  <si>
    <t>730.300.614</t>
  </si>
  <si>
    <t>730.300.619</t>
  </si>
  <si>
    <t>ULAŞIM GİDERLERİ</t>
  </si>
  <si>
    <t>730.301.001</t>
  </si>
  <si>
    <t>PERSONEL EĞİTİM GİDERLERİ</t>
  </si>
  <si>
    <t>730.301.002</t>
  </si>
  <si>
    <t>730.301.003</t>
  </si>
  <si>
    <t>PERSONEL KIYAFET GİDERLERİ (MALİYET)</t>
  </si>
  <si>
    <t>730.301.004</t>
  </si>
  <si>
    <t>PERSONEL SERVİS GİDERLERİ</t>
  </si>
  <si>
    <t>730.301.005</t>
  </si>
  <si>
    <t>PERSONEL YEMEK GİDERLERİ</t>
  </si>
  <si>
    <t>730.301.006</t>
  </si>
  <si>
    <t>PERSONEL YEMEK GİDERLERİ (MALİYET)</t>
  </si>
  <si>
    <t>730.301.007</t>
  </si>
  <si>
    <t>PERSONEL  İLAÇ TEDAVİ VE SAĞLIK GİDERLERİ</t>
  </si>
  <si>
    <t>730.301.008</t>
  </si>
  <si>
    <t>PERSONEL SOSYAL AKTİVİTE GİDERLERİ</t>
  </si>
  <si>
    <t>730.302.001</t>
  </si>
  <si>
    <t>IT DONANIM VE YAZILIM KİRALAMA GİDERLERİ</t>
  </si>
  <si>
    <t>730.302.002</t>
  </si>
  <si>
    <t>730.302.003</t>
  </si>
  <si>
    <t>IT BAKIM GİDERLERİ</t>
  </si>
  <si>
    <t>730.302.004</t>
  </si>
  <si>
    <t>IT HABERLEŞME GİDERLERİ</t>
  </si>
  <si>
    <t>730.303.002</t>
  </si>
  <si>
    <t>DEPOLAMA GİDERİ / DIŞ DEPO KİRA GİDERİ</t>
  </si>
  <si>
    <t>730.304.001</t>
  </si>
  <si>
    <t>DANIŞMANLIK, EĞİTİM, DENETİM VE HİZMET GİDERLERİ</t>
  </si>
  <si>
    <t>730.305.001</t>
  </si>
  <si>
    <t>730.306.005</t>
  </si>
  <si>
    <t>ELEKTRİK GİDERLERİ</t>
  </si>
  <si>
    <t>730.306.006</t>
  </si>
  <si>
    <t>DOĞALGAZ GİDERLERİ</t>
  </si>
  <si>
    <t>730.306.007</t>
  </si>
  <si>
    <t>ENERJİ GİDERLERİ</t>
  </si>
  <si>
    <t>730.306.008</t>
  </si>
  <si>
    <t>SU GİDERLERİ</t>
  </si>
  <si>
    <t>730.306.009</t>
  </si>
  <si>
    <t>TEMİZLİK VE AMBALAJ GİDERLERİ</t>
  </si>
  <si>
    <t>730.306.010</t>
  </si>
  <si>
    <t>TEMİZLİK VE AMBALAJ GİDERLERİ (MALİYET)</t>
  </si>
  <si>
    <t>730.306.011</t>
  </si>
  <si>
    <t>İLAÇLAMA VE TEMİZLİK GİDERLERİ (TEVKİFATLI)</t>
  </si>
  <si>
    <t>730.306.012</t>
  </si>
  <si>
    <t>SARF MALZEMESİ GİDERLERİ (MALİYET)</t>
  </si>
  <si>
    <t>730.306.013</t>
  </si>
  <si>
    <t>DIŞARIDAN SAĞLANAN TEMİZLİK GİDERLERİ</t>
  </si>
  <si>
    <t>730.307.016</t>
  </si>
  <si>
    <t>FİLO GİDERLERİ - TRAFİK SİGORTASI</t>
  </si>
  <si>
    <t>730.307.017</t>
  </si>
  <si>
    <t>FİLO GİDERLERİ - KASKO SİGORTA</t>
  </si>
  <si>
    <t>730.307.019</t>
  </si>
  <si>
    <t>FİLO GİDERLERİ - BAKIM ONARIM</t>
  </si>
  <si>
    <t>730.307.020</t>
  </si>
  <si>
    <t>ARAÇ YAKIT GİDERLERİ</t>
  </si>
  <si>
    <t>730.307.021</t>
  </si>
  <si>
    <t xml:space="preserve">ARAÇ KİRA GİDERLERİ </t>
  </si>
  <si>
    <t>730.307.023</t>
  </si>
  <si>
    <t>ARAÇ GİDERLERİ  - OTOPARK</t>
  </si>
  <si>
    <t>730.307.024</t>
  </si>
  <si>
    <t>ARAÇ GİDERLERİ  - HGS</t>
  </si>
  <si>
    <t>730.307.025</t>
  </si>
  <si>
    <t>ARAÇ GİDERLERİ  - YIKAMA</t>
  </si>
  <si>
    <t>730.307.026</t>
  </si>
  <si>
    <t>ARAÇ DİĞER GİDERLERİ</t>
  </si>
  <si>
    <t>730.307.116</t>
  </si>
  <si>
    <t>FİLO GİDERLERİ - TRAFİK SİGORTASI KKEG</t>
  </si>
  <si>
    <t>730.307.117</t>
  </si>
  <si>
    <t>FİLO GİDERLERİ - KASKO SİGORTA KKEG</t>
  </si>
  <si>
    <t>730.307.119</t>
  </si>
  <si>
    <t>FİLO GİDERLERİ - BAKIM ONARIM KKEG</t>
  </si>
  <si>
    <t>730.307.120</t>
  </si>
  <si>
    <t>ARAÇ YAKIT GİDERLERİ KKEG</t>
  </si>
  <si>
    <t>ARAÇ KİRA GİDERLERİ KKEG</t>
  </si>
  <si>
    <t>730.307.123</t>
  </si>
  <si>
    <t>ARAÇ GİDERLERİ  - OTOPARK KKEG</t>
  </si>
  <si>
    <t>730.307.124</t>
  </si>
  <si>
    <t>ARAÇ GİDERLERİ  - HGS KKEG</t>
  </si>
  <si>
    <t>730.307.125</t>
  </si>
  <si>
    <t>ARAÇ GİDERLERİ  - YIKAMA KKEG</t>
  </si>
  <si>
    <t>730.307.126</t>
  </si>
  <si>
    <t>ARAÇ DİĞER GİDERLERİ KKEG</t>
  </si>
  <si>
    <t>BAKIM ONARIM GİDERLERİ</t>
  </si>
  <si>
    <t>730.308.001</t>
  </si>
  <si>
    <t>ANALİZ BEDELİ GİDERLERİ</t>
  </si>
  <si>
    <t>730.309.001</t>
  </si>
  <si>
    <t>ARAŞTIRMA VE GELİŞTİRME GİDERLERİ</t>
  </si>
  <si>
    <t>730.309.003</t>
  </si>
  <si>
    <t>NUMUNE ÜRÜN GİDERLERİ</t>
  </si>
  <si>
    <t>730.310.001</t>
  </si>
  <si>
    <t>GÜVENLİK HİZMET BEDELİ - TEVKİFATLI</t>
  </si>
  <si>
    <t>730.311.001</t>
  </si>
  <si>
    <t>İŞYERİ SİGORTA GİDERLERİ</t>
  </si>
  <si>
    <t>730.312.002</t>
  </si>
  <si>
    <t>DEMİRBAŞ SAYILMAYAN GİDERLER</t>
  </si>
  <si>
    <t>730.312.003</t>
  </si>
  <si>
    <t>DEMİRBAŞ SAYILMAYAN GİDERLER (MALİYET)</t>
  </si>
  <si>
    <t>730.312.004</t>
  </si>
  <si>
    <t>KIRTASİYE GİDERLERİ</t>
  </si>
  <si>
    <t>730.312.005</t>
  </si>
  <si>
    <t>NAKLİYE GİDERLERİ</t>
  </si>
  <si>
    <t>730.312.006</t>
  </si>
  <si>
    <t>KARGO GİDERLERİ</t>
  </si>
  <si>
    <t>730.312.007</t>
  </si>
  <si>
    <t>ÖZEL İLETİŞİM VERGİSİ KKEG</t>
  </si>
  <si>
    <t>730.312.009</t>
  </si>
  <si>
    <t>İŞÇİ SAĞLIĞI VE İŞ GÜVENLİĞİ GİDERLERİ</t>
  </si>
  <si>
    <t>730.312.011</t>
  </si>
  <si>
    <t>CEP TELEFONU GİDERLERİ</t>
  </si>
  <si>
    <t>730.312.014</t>
  </si>
  <si>
    <t>RESMİ KURUM GİDERLERİ</t>
  </si>
  <si>
    <t>730.312.016</t>
  </si>
  <si>
    <t>SEYAHAT GİDERLERİ</t>
  </si>
  <si>
    <t>730.312.017</t>
  </si>
  <si>
    <t>TEMSİL VE AĞIRLAMA GİDERLERİ</t>
  </si>
  <si>
    <t>730.313.001</t>
  </si>
  <si>
    <t>YEMEK ÇEKİ GİDERLERİ</t>
  </si>
  <si>
    <t>730.350.252</t>
  </si>
  <si>
    <t>BİNA AMORTİSMANI</t>
  </si>
  <si>
    <t>730.350.253</t>
  </si>
  <si>
    <t>730.350.254</t>
  </si>
  <si>
    <t>730.350.255</t>
  </si>
  <si>
    <t>730.350.260</t>
  </si>
  <si>
    <t>731.099.006</t>
  </si>
  <si>
    <t>731.099.007</t>
  </si>
  <si>
    <t>İŞÇİ ÜCRET VE DİĞER GİDERLER YANSITMA HS.</t>
  </si>
  <si>
    <t>760.001.053</t>
  </si>
  <si>
    <t>NAKLİYE ULAŞIM GİDERLER (DEPORLAR ARASI)</t>
  </si>
  <si>
    <t>760.001.056</t>
  </si>
  <si>
    <t>TEDARİKÇİ NAKLİYE TEVKİFATLI GİDERLER</t>
  </si>
  <si>
    <t>760.005.197</t>
  </si>
  <si>
    <t>CALL CENTER GİDERLERİ</t>
  </si>
  <si>
    <t>760.005.198</t>
  </si>
  <si>
    <t>HARİTALAMA GİDERLERİ</t>
  </si>
  <si>
    <t>760.005.200</t>
  </si>
  <si>
    <t>REKLAM, İLAN VE DİĞER GİDERLER  (İLETİŞİM PLAN)</t>
  </si>
  <si>
    <t>760.005.202</t>
  </si>
  <si>
    <t>DİJİTAL MEDYA</t>
  </si>
  <si>
    <t>760.005.205</t>
  </si>
  <si>
    <t>DİJİTAL PROJELER</t>
  </si>
  <si>
    <t>760.005.207</t>
  </si>
  <si>
    <t>OUTDOOR MEDYA</t>
  </si>
  <si>
    <t>760.005.208</t>
  </si>
  <si>
    <t>BASKI,GÖRSEL UYGULAMA</t>
  </si>
  <si>
    <t>760.005.209</t>
  </si>
  <si>
    <t>GİZLİ MÜŞTERİ</t>
  </si>
  <si>
    <t>760.005.211</t>
  </si>
  <si>
    <t>PRODÜKSİYON DİĞER</t>
  </si>
  <si>
    <t>760.005.215</t>
  </si>
  <si>
    <t>PR ETKİNLİK</t>
  </si>
  <si>
    <t>760.005.225</t>
  </si>
  <si>
    <t>GÖRSEL ÇEKİMİ</t>
  </si>
  <si>
    <t>760.005.226</t>
  </si>
  <si>
    <t>RESTORAN STANDART AÇILIŞ</t>
  </si>
  <si>
    <t>760.005.235</t>
  </si>
  <si>
    <t>ARAŞTIRMA FOCUS GROUP</t>
  </si>
  <si>
    <t>760.005.240</t>
  </si>
  <si>
    <t>AJANS YARATICI - ÇİZGİ ÜSTÜ</t>
  </si>
  <si>
    <t>760.005.242</t>
  </si>
  <si>
    <t>AJANS SOSYAL MEDYA</t>
  </si>
  <si>
    <t>760.005.244</t>
  </si>
  <si>
    <t>AJANS HALKLA İLİŞKİLER</t>
  </si>
  <si>
    <t>760.005.245</t>
  </si>
  <si>
    <t>AJANS MONİTORİNG</t>
  </si>
  <si>
    <t>760.005.246</t>
  </si>
  <si>
    <t>AJANS AJANS PRESS</t>
  </si>
  <si>
    <t>760.005.247</t>
  </si>
  <si>
    <t>DİJİTAL UYARLAMA</t>
  </si>
  <si>
    <t>760.005.248</t>
  </si>
  <si>
    <t>ONLİNE SİPARİŞ GİDERLERİ</t>
  </si>
  <si>
    <t>760.005.250</t>
  </si>
  <si>
    <t>DİĞER</t>
  </si>
  <si>
    <t>760.005.251</t>
  </si>
  <si>
    <t>LSM PAZARLAMA GİDERLERİ</t>
  </si>
  <si>
    <t>760.005.254</t>
  </si>
  <si>
    <t>760.005.260</t>
  </si>
  <si>
    <t>760.005.601</t>
  </si>
  <si>
    <t>760.005.602</t>
  </si>
  <si>
    <t>760.005.604</t>
  </si>
  <si>
    <t>760.005.605</t>
  </si>
  <si>
    <t>760.005.606</t>
  </si>
  <si>
    <t>760.005.607</t>
  </si>
  <si>
    <t>760.005.608</t>
  </si>
  <si>
    <t>760.005.609</t>
  </si>
  <si>
    <t>760.005.612</t>
  </si>
  <si>
    <t>760.005.613</t>
  </si>
  <si>
    <t>760.005.614</t>
  </si>
  <si>
    <t>760.005.619</t>
  </si>
  <si>
    <t>YEMEK GİDERLERİ</t>
  </si>
  <si>
    <t>760.010.130</t>
  </si>
  <si>
    <t>760.010.131</t>
  </si>
  <si>
    <t>VERGİ-İDARİ PARA CEZALARI GECİKME FAİZLERİ KKEG</t>
  </si>
  <si>
    <t>TESİS MAKİNA VE CİHAZLAR AMORTİSMANI</t>
  </si>
  <si>
    <t>760.101.002</t>
  </si>
  <si>
    <t>760.102.001</t>
  </si>
  <si>
    <t>760.102.002</t>
  </si>
  <si>
    <t>760.102.003</t>
  </si>
  <si>
    <t>760.102.004</t>
  </si>
  <si>
    <t>760.102.005</t>
  </si>
  <si>
    <t>760.102.006</t>
  </si>
  <si>
    <t>760.102.008</t>
  </si>
  <si>
    <t>760.102.009</t>
  </si>
  <si>
    <t>760.102.010</t>
  </si>
  <si>
    <t>760.102.101</t>
  </si>
  <si>
    <t>760.102.102</t>
  </si>
  <si>
    <t>760.102.104</t>
  </si>
  <si>
    <t>760.102.105</t>
  </si>
  <si>
    <t>760.102.106</t>
  </si>
  <si>
    <t>760.102.108</t>
  </si>
  <si>
    <t>760.102.109</t>
  </si>
  <si>
    <t>760.102.110</t>
  </si>
  <si>
    <t>760.102.199</t>
  </si>
  <si>
    <t>760.102.999</t>
  </si>
  <si>
    <t>760.103.002</t>
  </si>
  <si>
    <t>HİJYEN DENETİM GİDERLERİ</t>
  </si>
  <si>
    <t>DİĞER DENETİM &amp; ANALİZ GİDERLERİ</t>
  </si>
  <si>
    <t>760.104.102</t>
  </si>
  <si>
    <t>İNŞAAT HARCAMA GİDERLERİ</t>
  </si>
  <si>
    <t>760.104.103</t>
  </si>
  <si>
    <t>LOKASYON GELİŞTİRME GİDERLERİ</t>
  </si>
  <si>
    <t>760.106.004</t>
  </si>
  <si>
    <t>BEYAZ YAKA EĞİTİM GİDERLERİ</t>
  </si>
  <si>
    <t>760.110.001</t>
  </si>
  <si>
    <t>DAMGA VERGİSİ GİDERLERİ</t>
  </si>
  <si>
    <t>760.111.002</t>
  </si>
  <si>
    <t>760.112.001</t>
  </si>
  <si>
    <t>NAKLİYE VE KARGO GİDERLERİ</t>
  </si>
  <si>
    <t>760.112.004</t>
  </si>
  <si>
    <t>TAMİR VE BAKIM GİDERLERİ</t>
  </si>
  <si>
    <t>760.112.010</t>
  </si>
  <si>
    <t>760.113.001</t>
  </si>
  <si>
    <t>760.113.003</t>
  </si>
  <si>
    <t>760.113.005</t>
  </si>
  <si>
    <t>TEMİZLİK VE AMBALAJ MALZEMESİ GİDERLERİ</t>
  </si>
  <si>
    <t>760.116.001</t>
  </si>
  <si>
    <t>KIRTASİYE VE MATBAA GİDERİ</t>
  </si>
  <si>
    <t>760.116.002</t>
  </si>
  <si>
    <t>HEDİYE GİDERLERİ</t>
  </si>
  <si>
    <t>760.117.001</t>
  </si>
  <si>
    <t>760.300.001</t>
  </si>
  <si>
    <t>760.300.002</t>
  </si>
  <si>
    <t>760.301.601</t>
  </si>
  <si>
    <t>760.301.604</t>
  </si>
  <si>
    <t>760.301.605</t>
  </si>
  <si>
    <t>760.301.606</t>
  </si>
  <si>
    <t>760.301.607</t>
  </si>
  <si>
    <t>760.301.608</t>
  </si>
  <si>
    <t>760.301.609</t>
  </si>
  <si>
    <t>760.301.612</t>
  </si>
  <si>
    <t>760.301.613</t>
  </si>
  <si>
    <t>760.301.614</t>
  </si>
  <si>
    <t>760.301.615</t>
  </si>
  <si>
    <t>760.301.616</t>
  </si>
  <si>
    <t>760.301.691</t>
  </si>
  <si>
    <t>770.001.601</t>
  </si>
  <si>
    <t>770.001.602</t>
  </si>
  <si>
    <t>770.001.604</t>
  </si>
  <si>
    <t>770.001.605</t>
  </si>
  <si>
    <t>770.001.606</t>
  </si>
  <si>
    <t>770.001.607</t>
  </si>
  <si>
    <t>770.001.608</t>
  </si>
  <si>
    <t>770.001.609</t>
  </si>
  <si>
    <t>770.001.612</t>
  </si>
  <si>
    <t>770.001.613</t>
  </si>
  <si>
    <t>770.001.614</t>
  </si>
  <si>
    <t>770.001.619</t>
  </si>
  <si>
    <t>770.020.253</t>
  </si>
  <si>
    <t>770.020.254</t>
  </si>
  <si>
    <t>770.020.255</t>
  </si>
  <si>
    <t>770.020.260</t>
  </si>
  <si>
    <t>770.020.264</t>
  </si>
  <si>
    <t>770.101.002</t>
  </si>
  <si>
    <t>770.101.003</t>
  </si>
  <si>
    <t>AVUKATLIK GİDERLERİ</t>
  </si>
  <si>
    <t>770.101.004</t>
  </si>
  <si>
    <t>SERBEST MUH. MALİ MÜŞAVİR GİDERLERİ</t>
  </si>
  <si>
    <t>770.101.005</t>
  </si>
  <si>
    <t>TAM TASDİK DENETİM GİDERLERİ</t>
  </si>
  <si>
    <t>770.101.006</t>
  </si>
  <si>
    <t>İSTİNYE KURUMSAL DIŞARIDAN SAĞLANAN HİZMETLER</t>
  </si>
  <si>
    <t>770.101.007</t>
  </si>
  <si>
    <t>UFRS DENETİM  GİDERLERİ</t>
  </si>
  <si>
    <t>770.101.008</t>
  </si>
  <si>
    <t>İ.K. DIŞARDAN SAĞLANAN HİZMETLER</t>
  </si>
  <si>
    <t>770.101.010</t>
  </si>
  <si>
    <t>ARŞİV GİDERLERİ</t>
  </si>
  <si>
    <t>770.102.001</t>
  </si>
  <si>
    <t>770.102.002</t>
  </si>
  <si>
    <t>770.102.004</t>
  </si>
  <si>
    <t>770.102.005</t>
  </si>
  <si>
    <t>770.102.006</t>
  </si>
  <si>
    <t>ARAÇ KİRA GİDERLERİ</t>
  </si>
  <si>
    <t>770.102.008</t>
  </si>
  <si>
    <t>770.102.009</t>
  </si>
  <si>
    <t>770.102.010</t>
  </si>
  <si>
    <t>770.102.101</t>
  </si>
  <si>
    <t>770.102.102</t>
  </si>
  <si>
    <t>770.102.104</t>
  </si>
  <si>
    <t>770.102.105</t>
  </si>
  <si>
    <t>770.102.106</t>
  </si>
  <si>
    <t>770.102.108</t>
  </si>
  <si>
    <t>770.102.109</t>
  </si>
  <si>
    <t>770.102.110</t>
  </si>
  <si>
    <t>770.102.199</t>
  </si>
  <si>
    <t>770.102.999</t>
  </si>
  <si>
    <t>770.105.001</t>
  </si>
  <si>
    <t>MERKEZ OFİS KİRA GİDERLERİ</t>
  </si>
  <si>
    <t>770.105.002</t>
  </si>
  <si>
    <t>MERKEZ OFİS ORTAK ALAN GİDERLERİ</t>
  </si>
  <si>
    <t>770.105.003</t>
  </si>
  <si>
    <t>MERKEZ OFİS ELEKTRİK GİDERLERİ</t>
  </si>
  <si>
    <t>770.105.004</t>
  </si>
  <si>
    <t>MERKEZ OFİS ISINMA &amp; SOĞUTMA GİDERLERİ</t>
  </si>
  <si>
    <t>770.106.001</t>
  </si>
  <si>
    <t>770.106.002</t>
  </si>
  <si>
    <t>MERKEZ OFİS MUTFAK GİDERLERİ</t>
  </si>
  <si>
    <t>770.106.004</t>
  </si>
  <si>
    <t>770.107.001</t>
  </si>
  <si>
    <t>770.107.002</t>
  </si>
  <si>
    <t>770.107.003</t>
  </si>
  <si>
    <t>770.107.004</t>
  </si>
  <si>
    <t>SAP DÖNÜŞÜM PROJESİ</t>
  </si>
  <si>
    <t>770.108.001</t>
  </si>
  <si>
    <t>770.108.002</t>
  </si>
  <si>
    <t>AKADEMİ EĞİTİM GİDERLERİ</t>
  </si>
  <si>
    <t>DANIŞMANLIK GİDERİ</t>
  </si>
  <si>
    <t>770.109.001</t>
  </si>
  <si>
    <t>770.110.001</t>
  </si>
  <si>
    <t>770.111.001</t>
  </si>
  <si>
    <t>770.111.002</t>
  </si>
  <si>
    <t>770.112.001</t>
  </si>
  <si>
    <t>770.112.004</t>
  </si>
  <si>
    <t>770.112.006</t>
  </si>
  <si>
    <t>ONLİNE İHALE GİDERLERİ</t>
  </si>
  <si>
    <t>770.113.001</t>
  </si>
  <si>
    <t>770.113.002</t>
  </si>
  <si>
    <t>MERKEZ OFİS SU GİDERLERİ</t>
  </si>
  <si>
    <t>770.113.003</t>
  </si>
  <si>
    <t>770.113.004</t>
  </si>
  <si>
    <t>TEMİZLİK GİDERLERİ - TEVKİFATLI</t>
  </si>
  <si>
    <t>770.113.005</t>
  </si>
  <si>
    <t>770.114.001</t>
  </si>
  <si>
    <t>İK ETKİNLİK GİDERLERİ</t>
  </si>
  <si>
    <t>770.114.002</t>
  </si>
  <si>
    <t>PERSONEL ETKİNLİK GİDERLERİ</t>
  </si>
  <si>
    <t>770.115.001</t>
  </si>
  <si>
    <t>770.115.002</t>
  </si>
  <si>
    <t>ORTAKLARA AİT SAĞLIK SİGORTA POLİÇELERİ</t>
  </si>
  <si>
    <t>770.115.003</t>
  </si>
  <si>
    <t>YÖNETİCİ SORUMLULUK SİGORTASI</t>
  </si>
  <si>
    <t>770.115.006</t>
  </si>
  <si>
    <t>SİBER RİSK SİGORTASI POLİÇESİ</t>
  </si>
  <si>
    <t>770.116.001</t>
  </si>
  <si>
    <t>770.116.002</t>
  </si>
  <si>
    <t>770.116.005</t>
  </si>
  <si>
    <t>EĞİTİM MATERYALLERİ - KIRTASİYE GİDERLERİ - İK</t>
  </si>
  <si>
    <t>770.117.001</t>
  </si>
  <si>
    <t>780.005.050</t>
  </si>
  <si>
    <t>780.006.001</t>
  </si>
  <si>
    <t>BANKA FİNANSMAN GİDERLERİ</t>
  </si>
  <si>
    <t>780.008.002</t>
  </si>
  <si>
    <t>VADELİ İŞLEM OPSİYON PİYASASI İŞBANK FİNANSMAN GİDERLERİ</t>
  </si>
  <si>
    <t>780.010.001</t>
  </si>
  <si>
    <t>İŞ BANKASI DBS MASRAFLARI</t>
  </si>
  <si>
    <t>780.010.002</t>
  </si>
  <si>
    <t>YAPI KREDİ BANKASI  DBS MASRAFLARI</t>
  </si>
  <si>
    <t>780.010.004</t>
  </si>
  <si>
    <t>ALBARAKA  DBS MASRAFLARI</t>
  </si>
  <si>
    <t>780.010.005</t>
  </si>
  <si>
    <t>AKBANK  DBS MASRAFLARI</t>
  </si>
  <si>
    <t>780.020.001</t>
  </si>
  <si>
    <t>GARANTİ BANKASI TAKSİTLİ KREDİ FİNANSMAN GİDERLERİ</t>
  </si>
  <si>
    <t>780.020.006</t>
  </si>
  <si>
    <t>ALBARAKA TÜRK KATILIM TAKSİTLİ KREDİ FİNANSMAN GİDERLERİ</t>
  </si>
  <si>
    <t>780.020.007</t>
  </si>
  <si>
    <t>İŞ BANKASI TAKSİTLİ KREDİ FİNANSMAN GİDERLERİ</t>
  </si>
  <si>
    <t>780.020.009</t>
  </si>
  <si>
    <t>VAKIFBANK TAKSİTLİ KREDİ FİNANSMAN GİDERLERİ</t>
  </si>
  <si>
    <t>780.020.010</t>
  </si>
  <si>
    <t>QNB FİNANSBANK TAKSİTLİ KREDİ FİNANSMAN GİDERLERİ</t>
  </si>
  <si>
    <t>780.020.011</t>
  </si>
  <si>
    <t>AKBANK TAKSİTLİ KREDİ FİNANSMAN GİDERLERİ</t>
  </si>
  <si>
    <t>780.020.013</t>
  </si>
  <si>
    <t>KUVEYTTÜRK  TAKSİTLİ KREDİ FİNANSMAN GİDERLERİ</t>
  </si>
  <si>
    <t>780.020.015</t>
  </si>
  <si>
    <t>TEB TAKSİTLİ KREDİ FİNANSMAN GİDERLERİ</t>
  </si>
  <si>
    <t>780.020.016</t>
  </si>
  <si>
    <t>EMLAK KATILIM  TAKSİTLİ KREDİ FİNANSMAN GİDERLERİ</t>
  </si>
  <si>
    <t>780.021.006</t>
  </si>
  <si>
    <t>İŞ BANKASI ROTATİF  KREDİ FİNANSMAN GİDERLERİ</t>
  </si>
  <si>
    <t>780.021.008</t>
  </si>
  <si>
    <t>ZİRAAT  BANKASI ROTATİF KREDİ FİNANSMAN GİDERLERİ</t>
  </si>
  <si>
    <t>780.021.009</t>
  </si>
  <si>
    <t>VAKIFBANK ROTATİF KREDİ FİNANSMAN GİDERLERİ</t>
  </si>
  <si>
    <t>780.021.012</t>
  </si>
  <si>
    <t>AKBANK  ROTATİF  KREDİ FİNANSMAN GİDERLERİ</t>
  </si>
  <si>
    <t>780.021.017</t>
  </si>
  <si>
    <t>QNB FİNANSBANK  ROTATİF KREDİ FİNANSMAN GİDERLERİ</t>
  </si>
  <si>
    <t>780.021.018</t>
  </si>
  <si>
    <t>HALKBANK ROTATİF KREDİ FAİZ GİDERLERİ</t>
  </si>
  <si>
    <t>780.021.019</t>
  </si>
  <si>
    <t>DOĞAN YATIRIM SPOT  KREDİ FAİZ GİDERLERİ</t>
  </si>
  <si>
    <t>780.021.020</t>
  </si>
  <si>
    <t>DOĞAN YATIRIM ROTATİF  KREDİ FAİZ GİDERLERİ</t>
  </si>
  <si>
    <t>730.212.007</t>
  </si>
  <si>
    <t>770.113.006</t>
  </si>
  <si>
    <t>TEMİZLİK VE AMBALAJ MALZEMESİ GİDERLERİ (MALİYET)</t>
  </si>
  <si>
    <t>KVYK+UVYK</t>
  </si>
  <si>
    <t>ÖZKAYNAK</t>
  </si>
  <si>
    <t>600.005.008</t>
  </si>
  <si>
    <t>600.005.015</t>
  </si>
  <si>
    <t>600.005.017</t>
  </si>
  <si>
    <t>% 20 KDV SATIŞLAR SARF</t>
  </si>
  <si>
    <t>FAALİYETLE İLGİLİ DİĞER GELİR VE KARLAR</t>
  </si>
  <si>
    <t>689.007.004</t>
  </si>
  <si>
    <t>İDARİ PARA CEZALARI KKEG</t>
  </si>
  <si>
    <t>780.021.021</t>
  </si>
  <si>
    <t>BURGANBANK ROTATİF  KREDİ FAİZ GİDERLERİ</t>
  </si>
  <si>
    <t xml:space="preserve"> </t>
  </si>
  <si>
    <t>689.001.016</t>
  </si>
  <si>
    <t>689.001.900</t>
  </si>
  <si>
    <t>KANUNEN KABUL EDİLMEYEN GİD. ENFLASYON DEĞERLEME KKEG</t>
  </si>
  <si>
    <t>GELECEK YILLARA AİT GELİRLER</t>
  </si>
  <si>
    <t>TAVUK DÜNYASI GIDA SAN VE TİC. A.Ş. 30/06/2024</t>
  </si>
  <si>
    <t>601.004.004</t>
  </si>
  <si>
    <t xml:space="preserve">YURTDIŞI SATIŞLAR AMERİKA </t>
  </si>
  <si>
    <t>KANUNEN KABUL EDİLMEYEN GİD.XXXXXXXXXXX  KKEG</t>
  </si>
  <si>
    <t>689.007.003</t>
  </si>
  <si>
    <t>VERGİ CEZALARI KKEG</t>
  </si>
  <si>
    <t>689.007.007</t>
  </si>
  <si>
    <t>TRAFİK CEZALARI KKEG</t>
  </si>
  <si>
    <t>SERMAYE DÜZELTMESİ OLUMLU FARKLARI</t>
  </si>
  <si>
    <t>698</t>
  </si>
  <si>
    <t>ENFLASYON DÜZELTME HESABI</t>
  </si>
  <si>
    <t>UZUNLUK</t>
  </si>
  <si>
    <t>100.005</t>
  </si>
  <si>
    <t>TD MERKEZ KASALAR</t>
  </si>
  <si>
    <t>100.005.005</t>
  </si>
  <si>
    <t>TD MERKEZ OFİS KASA TL</t>
  </si>
  <si>
    <t>100.050</t>
  </si>
  <si>
    <t>ŞUBE KASALARI</t>
  </si>
  <si>
    <t>100.050.010</t>
  </si>
  <si>
    <t>VİALAND ŞUBE KASASI</t>
  </si>
  <si>
    <t>100.050.020</t>
  </si>
  <si>
    <t>MAVİBAHÇE ŞUBE KASASI</t>
  </si>
  <si>
    <t>100.050.045</t>
  </si>
  <si>
    <t>ŞUBE 212 KASA</t>
  </si>
  <si>
    <t>100.050.055</t>
  </si>
  <si>
    <t>ŞUBE BURSA KORUPARK  KASASI</t>
  </si>
  <si>
    <t>100.050.070</t>
  </si>
  <si>
    <t>ŞUBE ANKARA OPTİMUM  KASA</t>
  </si>
  <si>
    <t>100.050.080</t>
  </si>
  <si>
    <t>ŞUBE TRUMP TOWERS  KASA</t>
  </si>
  <si>
    <t>100.050.085</t>
  </si>
  <si>
    <t>ŞUBE ANTALYA TERRACİTY  KASA</t>
  </si>
  <si>
    <t>100.050.095</t>
  </si>
  <si>
    <t>ŞUBE OLİVİUM  KASA</t>
  </si>
  <si>
    <t>100.050.105</t>
  </si>
  <si>
    <t>ŞUBE KARTAL KOÇTAŞ KASA</t>
  </si>
  <si>
    <t>100.050.120</t>
  </si>
  <si>
    <t>ŞUBE ANKARA KIZILAY  KASA</t>
  </si>
  <si>
    <t>100.050.140</t>
  </si>
  <si>
    <t>ŞUBE İSTİNYE PARK KASA</t>
  </si>
  <si>
    <t>100.050.155</t>
  </si>
  <si>
    <t>ŞUBE 34 CİTYS İSTANBUL KASA</t>
  </si>
  <si>
    <t>100.050.160</t>
  </si>
  <si>
    <t>ŞUBE PALLADIUM  KASA</t>
  </si>
  <si>
    <t>100.050.165</t>
  </si>
  <si>
    <t>ŞUBE İZMİR HATAY CADDE KASA</t>
  </si>
  <si>
    <t>100.050.176</t>
  </si>
  <si>
    <t>ŞUBE ANATOLIUM MARMARA KASA</t>
  </si>
  <si>
    <t>100.050.177</t>
  </si>
  <si>
    <t>ŞUBE LÜLEBURGAZ 39 BURDA AVM KASA</t>
  </si>
  <si>
    <t>100.050.178</t>
  </si>
  <si>
    <t>ŞUBE 34 GOP KASA</t>
  </si>
  <si>
    <t>100.050.179</t>
  </si>
  <si>
    <t>ŞUBE MALTEPE PARK CARREFOUR KASA</t>
  </si>
  <si>
    <t>100.050.181</t>
  </si>
  <si>
    <t>ŞUBE İZMİR GİRNE CADDE KASA</t>
  </si>
  <si>
    <t>100.050.182</t>
  </si>
  <si>
    <t>ŞUBE CEVAHİR AVM KASA</t>
  </si>
  <si>
    <t>100.050.184</t>
  </si>
  <si>
    <t>ŞUBE BAHÇEŞEHİR CADDE KASA</t>
  </si>
  <si>
    <t>100.050.185</t>
  </si>
  <si>
    <t>ŞUBE SAPPHIRE AVM KASA</t>
  </si>
  <si>
    <t>100.050.186</t>
  </si>
  <si>
    <t>ŞUBE AXİS AVM KASA</t>
  </si>
  <si>
    <t>100.050.188</t>
  </si>
  <si>
    <t>ŞUBE VIAPORT AVM KASA</t>
  </si>
  <si>
    <t>100.050.189</t>
  </si>
  <si>
    <t>ŞUBE BEYLİKDÜZÜ MİGROS AVM KASA</t>
  </si>
  <si>
    <t>100.050.190</t>
  </si>
  <si>
    <t>ŞUBE HİSTORİA AVM KASA</t>
  </si>
  <si>
    <t>100.050.191</t>
  </si>
  <si>
    <t>ŞUBE MARMARAPARK AVM KASA</t>
  </si>
  <si>
    <t>100.050.192</t>
  </si>
  <si>
    <t>ŞUBE İZMİR OPTİMUM AVM KASA</t>
  </si>
  <si>
    <t>100.050.193</t>
  </si>
  <si>
    <t>ŞUBE ANKARA ANTARES AVM KASA</t>
  </si>
  <si>
    <t>100.050.194</t>
  </si>
  <si>
    <t>ŞUBE ANKARA 7.CADDE  KASA</t>
  </si>
  <si>
    <t>100.050.195</t>
  </si>
  <si>
    <t>ŞUBE BİZ CEVAHİR KASA</t>
  </si>
  <si>
    <t>100.050.196</t>
  </si>
  <si>
    <t>ŞUBE ORJİN MASLAK KASA</t>
  </si>
  <si>
    <t>100.050.197</t>
  </si>
  <si>
    <t>ŞUBE 06 GORDİON KASA</t>
  </si>
  <si>
    <t>100.050.198</t>
  </si>
  <si>
    <t>ŞUBE BURSA ATABULVARI KASA</t>
  </si>
  <si>
    <t>100.050.199</t>
  </si>
  <si>
    <t>ŞUBE PİYALEPAŞA AVM KASA</t>
  </si>
  <si>
    <t>100.050.201</t>
  </si>
  <si>
    <t>ŞUBE BURSA ANATOLIUM AVM KASA</t>
  </si>
  <si>
    <t>100.050.202</t>
  </si>
  <si>
    <t>ŞUBE 35 KARŞIYAKA KASA</t>
  </si>
  <si>
    <t>100.050.203</t>
  </si>
  <si>
    <t>ŞUBE BURSA BALAT TURKUAZ PLAZA</t>
  </si>
  <si>
    <t>100.050.204</t>
  </si>
  <si>
    <t>ŞUBE BALIKESİR TİCARET MERKEZİ KASA</t>
  </si>
  <si>
    <t>100.050.205</t>
  </si>
  <si>
    <t>BURSA DOWNTOWN KASA</t>
  </si>
  <si>
    <t>100.050.206</t>
  </si>
  <si>
    <t>İSTANBUL ARENAPARK KASA</t>
  </si>
  <si>
    <t>100.050.207</t>
  </si>
  <si>
    <t>ŞUBE DEPOSİTE AVM KASA</t>
  </si>
  <si>
    <t>100.050.208</t>
  </si>
  <si>
    <t>ŞUBE ANKARA GİMSAPARK</t>
  </si>
  <si>
    <t>100.050.209</t>
  </si>
  <si>
    <t>ŞUBE BURSA FSM KASA</t>
  </si>
  <si>
    <t>101.005</t>
  </si>
  <si>
    <t>101.005.006</t>
  </si>
  <si>
    <t>PORTFÖYDEKİ ÇEKLER MAL SATIM ÇEKLERİ (MS)</t>
  </si>
  <si>
    <t>101.005.007</t>
  </si>
  <si>
    <t>PORTFÖYDEKİ ÇEKLER ŞUBE SATIŞ ÇEKLERİ (ŞS)</t>
  </si>
  <si>
    <t>101.010</t>
  </si>
  <si>
    <t>TAHSİLE VERİLEN ÇEKLER</t>
  </si>
  <si>
    <t>101.010.005</t>
  </si>
  <si>
    <t>101.010.006</t>
  </si>
  <si>
    <t>TAHSİLE VER ÇEKLER - MAL SATIM ÇEKLERİ (MS)</t>
  </si>
  <si>
    <t>101.010.007</t>
  </si>
  <si>
    <t>TAHSİLE VER.ÇEKLER -  ŞUBE SATIŞ ÇEKLERİ (ŞS)</t>
  </si>
  <si>
    <t>102.005</t>
  </si>
  <si>
    <t>TD MERKEZ BANKALARI</t>
  </si>
  <si>
    <t>102.005.005</t>
  </si>
  <si>
    <t>TD MERKEZ GARANTİ BANKASI</t>
  </si>
  <si>
    <t>102.005.005.005</t>
  </si>
  <si>
    <t>GARANTİ ANA HS.1676- 6293951</t>
  </si>
  <si>
    <t>102.005.005.015</t>
  </si>
  <si>
    <t>GARANTİ AVM HS.1676-6293526</t>
  </si>
  <si>
    <t>102.005.005.025</t>
  </si>
  <si>
    <t>GARANTİ HS.USD 1676-9075661</t>
  </si>
  <si>
    <t>102.005.005.027</t>
  </si>
  <si>
    <t>GARANTİ ÖZDAL HS.1676-6299301</t>
  </si>
  <si>
    <t>102.005.005.036</t>
  </si>
  <si>
    <t>GARANTİ ŞEFTEN İSTE  HS. 205-6298932</t>
  </si>
  <si>
    <t>102.005.005.041</t>
  </si>
  <si>
    <t xml:space="preserve">GARANTİ MİGROS HS. 1676 - 6296408 </t>
  </si>
  <si>
    <t>102.005.005.100</t>
  </si>
  <si>
    <t>GARANTİ EURO HESABI 1676-90755660</t>
  </si>
  <si>
    <t>102.005.005.200</t>
  </si>
  <si>
    <t>GARANTİ SENOS HS. 1676-6292800</t>
  </si>
  <si>
    <t>102.005.005.500</t>
  </si>
  <si>
    <t>GARANTİ VADELİ MEVDUAT HESABI</t>
  </si>
  <si>
    <t>102.005.010</t>
  </si>
  <si>
    <t>TD MERKEZ TÜRKİYE FİNANS</t>
  </si>
  <si>
    <t>102.005.010.005</t>
  </si>
  <si>
    <t>TD MERKEZ TÜRKİYE FİNANS TR530020600008027680030004</t>
  </si>
  <si>
    <t>102.005.013</t>
  </si>
  <si>
    <t>TD MERKEZ ING BANK</t>
  </si>
  <si>
    <t>102.005.013.001</t>
  </si>
  <si>
    <t>TD MERKEZ ING BANK TR600009902154740500100001</t>
  </si>
  <si>
    <t>102.005.013.012</t>
  </si>
  <si>
    <t>TD MERKEZ ING BANK TR800009902154740500100029</t>
  </si>
  <si>
    <t>102.005.014</t>
  </si>
  <si>
    <t>TD MERKEZ DENİZBANK</t>
  </si>
  <si>
    <t>102.005.014.001</t>
  </si>
  <si>
    <t>TD MERKEZ DENİZBANK HS. TR500013400006011906300002</t>
  </si>
  <si>
    <t>102.005.014.005</t>
  </si>
  <si>
    <t>TD MERKEZ DENİZBANK POS HS. TR710013400006011906300013</t>
  </si>
  <si>
    <t>102.005.014.006</t>
  </si>
  <si>
    <t>TD MERKEZ DENİZBANK HS. TR440013400006011906300014</t>
  </si>
  <si>
    <t>102.005.014.007</t>
  </si>
  <si>
    <t>TD MERKEZ DENİZBANK EURO HS. TR49 0013 4000 0601 1906 3000 21</t>
  </si>
  <si>
    <t>102.005.014.008</t>
  </si>
  <si>
    <t xml:space="preserve">TD  DENİZBANK SANAL POS BLOKE HS.TR38 0013 4000 0601 1906 3000 25 </t>
  </si>
  <si>
    <t>102.005.014.009</t>
  </si>
  <si>
    <t>TD DENİZBANK SANAL POS HS.TR65 0013 4000 0601 1906 3000 24</t>
  </si>
  <si>
    <t>102.005.014.011</t>
  </si>
  <si>
    <t>TD MERKEZ DENİZBANK USD HS. TR220013400006011906300022</t>
  </si>
  <si>
    <t>102.005.016</t>
  </si>
  <si>
    <t>VAKIF KATILIM</t>
  </si>
  <si>
    <t>102.005.016.001</t>
  </si>
  <si>
    <t>VAKIF KATILIM HS.TR190021000000017180200001</t>
  </si>
  <si>
    <t>102.005.016.003</t>
  </si>
  <si>
    <t>VAKIF KATILIM HS2.TR620021000000017180200003</t>
  </si>
  <si>
    <t>102.005.017</t>
  </si>
  <si>
    <t>TD MERKEZ QNB FİNANSBANK</t>
  </si>
  <si>
    <t>102.005.017.001</t>
  </si>
  <si>
    <t>TD MERKEZ QNB FİNANSBANK HS.TR110011100000000084761917</t>
  </si>
  <si>
    <t>102.005.017.002</t>
  </si>
  <si>
    <t>TD MERKEZ FİNANSBANK VADELİ HS.TR110011100000000084761917</t>
  </si>
  <si>
    <t>102.005.017.003</t>
  </si>
  <si>
    <t>TD MERKEZ FİNANSBANK DBS TR240011100000000085117479</t>
  </si>
  <si>
    <t>102.005.017.005</t>
  </si>
  <si>
    <t>TD MERKEZ FİNANSBANK POS HS. TR330011100000000088677896</t>
  </si>
  <si>
    <t>102.005.017.010</t>
  </si>
  <si>
    <t>TD MERKEZ QNB FİNANS.KREDİ HS.TR870011100000000135804665</t>
  </si>
  <si>
    <t>102.005.018</t>
  </si>
  <si>
    <t>TD MERKEZ HALKBANK</t>
  </si>
  <si>
    <t>102.005.018.001</t>
  </si>
  <si>
    <t>TD MERKEZ HALKBANK BANKA HESAPLARI TR450001200945400010260888</t>
  </si>
  <si>
    <t>102.005.018.003</t>
  </si>
  <si>
    <t>TD MERKEZ HALKBANK DBS HESABI TR200001200945400010260950</t>
  </si>
  <si>
    <t>102.005.018.004</t>
  </si>
  <si>
    <t>TD MERKEZ HALKBANK VADELİ MEVDUAT HS.</t>
  </si>
  <si>
    <t>102.005.018.005</t>
  </si>
  <si>
    <t>TD MERKEZ HALKBANK POS HS.TR530001200945400010261132</t>
  </si>
  <si>
    <t>102.005.018.006</t>
  </si>
  <si>
    <t>TD MERKEZ HALKBANK BANKA YENİ ANA HESAP TR290001200962000010262383</t>
  </si>
  <si>
    <t>102.005.018.007</t>
  </si>
  <si>
    <t>TD MERKEZ HALKBANK DBS HESABI YENİ  TR140001200962000010261586</t>
  </si>
  <si>
    <t>102.005.018.008</t>
  </si>
  <si>
    <t>TD MERKEZ HALKBANK POS HS YENİ.TR080001200962000010261694</t>
  </si>
  <si>
    <t>102.005.018.009</t>
  </si>
  <si>
    <t>TD MERKEZ HALKBANK POS DİĞER HESAP HS YENİ.TR320001200962000010261747</t>
  </si>
  <si>
    <t>102.005.020</t>
  </si>
  <si>
    <t>TD MERKEZ İŞ BANKASI</t>
  </si>
  <si>
    <t>102.005.020.020</t>
  </si>
  <si>
    <t>İŞ BANKASI BAYİ 3CR TR420006400000124300040341 (CARİ)</t>
  </si>
  <si>
    <t>102.005.020.025</t>
  </si>
  <si>
    <t>İŞ BANKASI TR890006400000124300040368 (VİRMAN HS)</t>
  </si>
  <si>
    <t>102.005.020.099</t>
  </si>
  <si>
    <t>İŞ BANKASI VADELİ MEVDUAT HESABI</t>
  </si>
  <si>
    <t>102.005.021</t>
  </si>
  <si>
    <t>TD MERKEZ ZİRAAT BANKASI</t>
  </si>
  <si>
    <t>102.005.021.004</t>
  </si>
  <si>
    <t>ZİRAAT BANKASI VADELİ HS.</t>
  </si>
  <si>
    <t>102.005.021.006</t>
  </si>
  <si>
    <t>ZİRAAT BANKASI ÇEK HS.73153364 1017</t>
  </si>
  <si>
    <t>102.005.021.007</t>
  </si>
  <si>
    <t>ZİRAAT BANKASI ANA HS.TR470001001794731533645026</t>
  </si>
  <si>
    <t>102.005.021.008</t>
  </si>
  <si>
    <t>ZİRAAT BANKASI ANA DBS HS.TR630001001794731533645029</t>
  </si>
  <si>
    <t>102.005.021.009</t>
  </si>
  <si>
    <t>ZİRAAT BANKASI POS  HS. TR090001001794731533645031</t>
  </si>
  <si>
    <t>102.005.025</t>
  </si>
  <si>
    <t>TD MERKEZ VAKIFBANK</t>
  </si>
  <si>
    <t>102.005.025.005</t>
  </si>
  <si>
    <t>VAKIFBANK 7302304990</t>
  </si>
  <si>
    <t>102.005.025.006</t>
  </si>
  <si>
    <t>VAKIFBANK EURO HS. S01243</t>
  </si>
  <si>
    <t>102.005.025.007</t>
  </si>
  <si>
    <t>VAKIFBANK VADELİ MEVDUAT</t>
  </si>
  <si>
    <t>102.005.025.008</t>
  </si>
  <si>
    <t>VAKIFBANK USD HS.</t>
  </si>
  <si>
    <t>102.005.025.009</t>
  </si>
  <si>
    <t>VAKIFBANK SANAL POS HS</t>
  </si>
  <si>
    <t>102.005.025.010</t>
  </si>
  <si>
    <t>VAKIFBANK DBS HS.TR590001500158007318797484</t>
  </si>
  <si>
    <t>102.005.025.011</t>
  </si>
  <si>
    <t>VAKIFBANK VADELİ MEVDUAT 693824</t>
  </si>
  <si>
    <t>102.005.030</t>
  </si>
  <si>
    <t>TD MERKEZ ALBARAKA</t>
  </si>
  <si>
    <t>102.005.030.005</t>
  </si>
  <si>
    <t>ALBARAKA  TR52 0020 3000 0191 4825 0000 02</t>
  </si>
  <si>
    <t>102.005.030.010</t>
  </si>
  <si>
    <t>ALBARAKA TR78 0020 3000 0191 4825 0000 19</t>
  </si>
  <si>
    <t>102.005.035</t>
  </si>
  <si>
    <t>TD MERKEZ TEB</t>
  </si>
  <si>
    <t>102.005.035.005</t>
  </si>
  <si>
    <t>TEB TÜRK  EKONOMİ BANKASI TR50 0003 2000 0000 0058 9018 83</t>
  </si>
  <si>
    <t>102.005.040</t>
  </si>
  <si>
    <t>TD MERKEZ KUVEYT</t>
  </si>
  <si>
    <t>102.005.040.006</t>
  </si>
  <si>
    <t>KUVEYT TR320020500000893524600004</t>
  </si>
  <si>
    <t>102.005.045</t>
  </si>
  <si>
    <t>TD MERKEZ YAPIKREDİ</t>
  </si>
  <si>
    <t>102.005.045.005</t>
  </si>
  <si>
    <t>YAPIKREDİ BAYİ 3CR TR590006701000000049321111  (CARİ)</t>
  </si>
  <si>
    <t>102.005.045.015</t>
  </si>
  <si>
    <t>YAPIKREDİ TL (POS) TR230006701000000050235887</t>
  </si>
  <si>
    <t>102.005.045.099</t>
  </si>
  <si>
    <t>YAPIKREDİ VADELİ MEVDUAT HESABI</t>
  </si>
  <si>
    <t>102.005.046</t>
  </si>
  <si>
    <t xml:space="preserve">TD MERKEZ FİBABANKA </t>
  </si>
  <si>
    <t>102.005.046.001</t>
  </si>
  <si>
    <t>TD MERKEZ FİBABANKA HESABI TR020010300000000025155398</t>
  </si>
  <si>
    <t>102.005.047</t>
  </si>
  <si>
    <t>TD MERKEZ DOĞAN YATIRIM</t>
  </si>
  <si>
    <t>102.005.047.001</t>
  </si>
  <si>
    <t>TD MERKEZ DOĞAN YATIRIM BANKASI TR660015100000000010004708</t>
  </si>
  <si>
    <t>102.005.047.003</t>
  </si>
  <si>
    <t>TD MERKEZ DOĞAN YATIRIM BANKASI TR540015100000000010007058</t>
  </si>
  <si>
    <t>102.005.047.004</t>
  </si>
  <si>
    <t>TD MERKEZ DOĞAN YATIRIM BANKASI TR54001510000000001000705 EURO</t>
  </si>
  <si>
    <t>102.005.048</t>
  </si>
  <si>
    <t>TD MERKEZ BURGANBANK</t>
  </si>
  <si>
    <t>102.005.048.001</t>
  </si>
  <si>
    <t>TD MERKEZ BURGANBANK TR050012509627269333200351</t>
  </si>
  <si>
    <t>102.005.048.005</t>
  </si>
  <si>
    <t>TD MERKEZ BURGANBANK TR960012509627269333200653 TEMİNAT</t>
  </si>
  <si>
    <t>102.005.049</t>
  </si>
  <si>
    <t>TD MERKEZ EMLAK KATILIM BANKASI</t>
  </si>
  <si>
    <t>102.005.049.001</t>
  </si>
  <si>
    <t>TD MERKEZ EMLAK KATILIM BANKASI TR59 0021 1000 0005 5576 7000 01</t>
  </si>
  <si>
    <t>102.005.051</t>
  </si>
  <si>
    <t>TD MERKEZ ODEABANK</t>
  </si>
  <si>
    <t>102.005.051.001</t>
  </si>
  <si>
    <t>TD MERKEZ ODEABANK TL</t>
  </si>
  <si>
    <t>102.050</t>
  </si>
  <si>
    <t>ŞUBE HESAPLARI</t>
  </si>
  <si>
    <t>102.050.015</t>
  </si>
  <si>
    <t>GARANTİ NAUTİLUS HS. 1676-6293945</t>
  </si>
  <si>
    <t>102.050.110</t>
  </si>
  <si>
    <t>YAPIKREDİ BANKASI  HS.947-47158795  (ANA HS)</t>
  </si>
  <si>
    <t>102.050.111</t>
  </si>
  <si>
    <t>YAPIKREDİ BANKASI HS.(NAKİT BLOKE) 682-51532629 (ŞB.GELEN)</t>
  </si>
  <si>
    <t>102.050.117</t>
  </si>
  <si>
    <t>YAPIKREDİ BANKASI SEHER HS. TR090006701000000073721003</t>
  </si>
  <si>
    <t>102.050.150</t>
  </si>
  <si>
    <t>AKBANK ŞUBE GENEL HESAP TR240004600876888000057758</t>
  </si>
  <si>
    <t>102.050.155</t>
  </si>
  <si>
    <t>AKBANK ŞUBE GENEL HESAP TR620004600876888000049314</t>
  </si>
  <si>
    <t>102.050.156</t>
  </si>
  <si>
    <t>AKBANK POS HESAP TR790004600876888000039017</t>
  </si>
  <si>
    <t>102.050.166</t>
  </si>
  <si>
    <t>AKBANK VADELİ MEVDUAT HESABI</t>
  </si>
  <si>
    <t>102.050.167</t>
  </si>
  <si>
    <t>AKBANK DBS HESABI TR030004600876888000051831</t>
  </si>
  <si>
    <t>102.050.169</t>
  </si>
  <si>
    <t>İŞ BANKASI NAUTİLUS HS. 1120-90164017 (ANA HS)</t>
  </si>
  <si>
    <t>102.050.170</t>
  </si>
  <si>
    <t>İŞ BANKASI USD HESABI TR880006400000224300063758</t>
  </si>
  <si>
    <t>102.050.172</t>
  </si>
  <si>
    <t>İŞ BANKASI BANVİT HESABI TR500006400000124300039906</t>
  </si>
  <si>
    <t>102.050.173</t>
  </si>
  <si>
    <t>İŞ BANKASI HASTAVUK HESABI TR380006400000124300042644</t>
  </si>
  <si>
    <t>102.050.175</t>
  </si>
  <si>
    <t>İŞ BANKASI POS HESABI</t>
  </si>
  <si>
    <t>102.050.72</t>
  </si>
  <si>
    <t>İŞ BANKASI EURO HESABI TR950006400000224300064408</t>
  </si>
  <si>
    <t>103.005</t>
  </si>
  <si>
    <t>103.005.001</t>
  </si>
  <si>
    <t>VERİLEN ÇEKLER VE ÖDEME EMİRLERİ</t>
  </si>
  <si>
    <t>103.005.004</t>
  </si>
  <si>
    <t>MAL ALIMI İÇİN YAZILAN ÇEKLER (MA)</t>
  </si>
  <si>
    <t>103.005.005</t>
  </si>
  <si>
    <t>YATIRIM İÇİN YAZILAN ÇEKLER (ŞUBE, SABİT KIY) (YA)</t>
  </si>
  <si>
    <t>108.002</t>
  </si>
  <si>
    <t>ŞUBE POS HESAPLARI</t>
  </si>
  <si>
    <t>108.002.003</t>
  </si>
  <si>
    <t>GARANTİ BANKASI POS HESABI</t>
  </si>
  <si>
    <t>108.002.004</t>
  </si>
  <si>
    <t>108.002.005</t>
  </si>
  <si>
    <t>FİNANSBANK POS HESABI</t>
  </si>
  <si>
    <t>108.002.006</t>
  </si>
  <si>
    <t>ZİRAATBANK  POS HESABI</t>
  </si>
  <si>
    <t>108.002.007</t>
  </si>
  <si>
    <t>AKBANK  POS HESABI</t>
  </si>
  <si>
    <t>108.002.008</t>
  </si>
  <si>
    <t>YAPIKREDİ  POS HESABI</t>
  </si>
  <si>
    <t>108.002.009</t>
  </si>
  <si>
    <t>ING BANK POS HESABI</t>
  </si>
  <si>
    <t>108.002.010</t>
  </si>
  <si>
    <t>DENİZBANK POS HESABI</t>
  </si>
  <si>
    <t>108.002.011</t>
  </si>
  <si>
    <t>HALKBANK POS HESABI</t>
  </si>
  <si>
    <t>108.002.012</t>
  </si>
  <si>
    <t>VAKIFBANK POS HESABI</t>
  </si>
  <si>
    <t>108.050</t>
  </si>
  <si>
    <t>YOLDAKİ PARALAR</t>
  </si>
  <si>
    <t>108.050.001</t>
  </si>
  <si>
    <t>ŞUBE YEMEK SEPETİ</t>
  </si>
  <si>
    <t>108.050.004</t>
  </si>
  <si>
    <t>GETİR</t>
  </si>
  <si>
    <t>108.050.005</t>
  </si>
  <si>
    <t>YEMEK SEPETİ VALE</t>
  </si>
  <si>
    <t>108.050.006</t>
  </si>
  <si>
    <t>ŞEFTEN İSTE IYZICO</t>
  </si>
  <si>
    <t>108.050.007</t>
  </si>
  <si>
    <t>TRENDYOLGO</t>
  </si>
  <si>
    <t>108.050.009</t>
  </si>
  <si>
    <t>MİGROS YEMEK</t>
  </si>
  <si>
    <t>111.002</t>
  </si>
  <si>
    <t>BANKALARDAN ALINAN HAZİNE BONO</t>
  </si>
  <si>
    <t>111.002.001</t>
  </si>
  <si>
    <t>İŞ BANKASI HAZİNE BONO USD</t>
  </si>
  <si>
    <t>111.002.002</t>
  </si>
  <si>
    <t>İŞ BANKASI HAZİNE BONO NOMİNAL ÜZERİ BEDELİ ÖDEMELER USD</t>
  </si>
  <si>
    <t>111.002.003</t>
  </si>
  <si>
    <t>İŞ BANKASI HAZİNE BONO İŞLEMİŞ FAİZLER USD</t>
  </si>
  <si>
    <t>118.001</t>
  </si>
  <si>
    <t>118.001.003</t>
  </si>
  <si>
    <t>İŞ BANKASI VİOP TEMİNAT FON</t>
  </si>
  <si>
    <t>118.001.004</t>
  </si>
  <si>
    <t>VAKIFBANK FON</t>
  </si>
  <si>
    <t>118.001.005</t>
  </si>
  <si>
    <t>VAKIFBANK TL FON</t>
  </si>
  <si>
    <t>120.005</t>
  </si>
  <si>
    <t>YURTİÇİ ALICILAR</t>
  </si>
  <si>
    <t>120.005.005</t>
  </si>
  <si>
    <t>MÜŞTERİ AVM HESAPLARI</t>
  </si>
  <si>
    <t>120.005.010</t>
  </si>
  <si>
    <t>MÜŞTERİ TİCARİ HESAPLARI</t>
  </si>
  <si>
    <t>120.005.015</t>
  </si>
  <si>
    <t>NİHAİ TÜKETİCİLER ŞUBE SATIŞ</t>
  </si>
  <si>
    <t>120.005.020</t>
  </si>
  <si>
    <t>NİHAİ TÜKETİCİLER ŞUBE SATIŞ  Z RAPORLARI</t>
  </si>
  <si>
    <t>120.005.025</t>
  </si>
  <si>
    <t>REBATE TEDARİKÇİ CİRO PRİMLER</t>
  </si>
  <si>
    <t>120.006</t>
  </si>
  <si>
    <t>YURTDIŞI ALICILAR</t>
  </si>
  <si>
    <t>120.006.001</t>
  </si>
  <si>
    <t>YURTDIŞI ALICILAR RUSYA</t>
  </si>
  <si>
    <t>120.006.002</t>
  </si>
  <si>
    <t>YURTDIŞI ALICILAR KIBRIS</t>
  </si>
  <si>
    <t>120.006.003</t>
  </si>
  <si>
    <t>YURTDIŞI ALICILAR İSPANYA</t>
  </si>
  <si>
    <t>120.100</t>
  </si>
  <si>
    <t>TİCARİ ALACAKLAR</t>
  </si>
  <si>
    <t>120.100.001</t>
  </si>
  <si>
    <t>FRANCHİSELARDAN TİCARİ ALACAKLAR</t>
  </si>
  <si>
    <t>120.100.002</t>
  </si>
  <si>
    <t>TEDARİKÇİ CİRO PRİMİ ALACAKLARI (REBATE)</t>
  </si>
  <si>
    <t>120.100.003</t>
  </si>
  <si>
    <t>YEMEK ÇEKİ ALACAKLARI (TİCKET)</t>
  </si>
  <si>
    <t>120.100.099</t>
  </si>
  <si>
    <t>126.002</t>
  </si>
  <si>
    <t>ŞUBE DEPOZİTO VE TEMİNATLAR</t>
  </si>
  <si>
    <t>126.002.001</t>
  </si>
  <si>
    <t>126.004</t>
  </si>
  <si>
    <t>VADELİ İŞLEM OPSİYON PİYASASI</t>
  </si>
  <si>
    <t>126.004.002</t>
  </si>
  <si>
    <t>VADELİ İŞLEM OPSİYON PİYASASI İŞ YATIRIM</t>
  </si>
  <si>
    <t>126.004.003</t>
  </si>
  <si>
    <t>İŞ YATIRIM FORWARD</t>
  </si>
  <si>
    <t>126.004.004</t>
  </si>
  <si>
    <t>İŞ YATIRIM FORWARD TL TEMİNAT</t>
  </si>
  <si>
    <t>126.004.005</t>
  </si>
  <si>
    <t xml:space="preserve">İŞ YATIRIM KUPON </t>
  </si>
  <si>
    <t>126.215</t>
  </si>
  <si>
    <t>126.215.005</t>
  </si>
  <si>
    <t>VERİLEN DEPOZİTO</t>
  </si>
  <si>
    <t>126.215.010</t>
  </si>
  <si>
    <t>VERİLEN TEMİNAT</t>
  </si>
  <si>
    <t>126.215.011</t>
  </si>
  <si>
    <t>VERİLEN TEMİNAT GEBZE OSB</t>
  </si>
  <si>
    <t>126.502</t>
  </si>
  <si>
    <t>DEPOZİTO VE TEMİNATLAR</t>
  </si>
  <si>
    <t>126.502.001</t>
  </si>
  <si>
    <t>KEREM RESTAURANT  DEPOZİTO VE TEMİNATLAR</t>
  </si>
  <si>
    <t>126.503</t>
  </si>
  <si>
    <t>126.503.001</t>
  </si>
  <si>
    <t>İZMİR OPTIMUM İZMİRGAZ GÜVENCE BEDELİ</t>
  </si>
  <si>
    <t>127.010</t>
  </si>
  <si>
    <t>127.010.002</t>
  </si>
  <si>
    <t>YURTDIŞI ALICILAR AMERİKA</t>
  </si>
  <si>
    <t>135.100</t>
  </si>
  <si>
    <t>135.100.001</t>
  </si>
  <si>
    <t>PERSONELE SATILAN SABİT KIYMET ALACAKLARI</t>
  </si>
  <si>
    <t>135.200</t>
  </si>
  <si>
    <t>135.200.001</t>
  </si>
  <si>
    <t>MERKEZ,ŞEKERPINAR VE ŞUBELER PERSONELDEN ALACAKLAR (İHTİYAÇ AVANSI)</t>
  </si>
  <si>
    <t>136.001</t>
  </si>
  <si>
    <t>136.001.001</t>
  </si>
  <si>
    <t>136.001.005</t>
  </si>
  <si>
    <t>DÜKKAN SATIŞ</t>
  </si>
  <si>
    <t>136.001.013</t>
  </si>
  <si>
    <t>SGK ALINACAK TEŞVİKLER</t>
  </si>
  <si>
    <t>136.001.014</t>
  </si>
  <si>
    <t>SGK ALINACAK TEŞVİKLER GEÇMİŞ YILLAR</t>
  </si>
  <si>
    <t>136.001.017</t>
  </si>
  <si>
    <t>DAMGA VERGİSİ İADE ALACAĞI</t>
  </si>
  <si>
    <t>136.100</t>
  </si>
  <si>
    <t>136.100.002</t>
  </si>
  <si>
    <t>BAYİLERDEN İNŞAAT ALACAKLARI</t>
  </si>
  <si>
    <t>136.100.099</t>
  </si>
  <si>
    <t>DİĞER TİCARİ OLMAYAN ALACAKLAR</t>
  </si>
  <si>
    <t>138.001</t>
  </si>
  <si>
    <t>138.001.001</t>
  </si>
  <si>
    <t>139.001</t>
  </si>
  <si>
    <t>139.001.001</t>
  </si>
  <si>
    <t>ŞÜPHELİ DİĞER ALACAKLAR KARŞILIĞI</t>
  </si>
  <si>
    <t>150.005</t>
  </si>
  <si>
    <t>İLK MADDE VE MALZEME ALIŞLARI MERKEZ MUTFAK</t>
  </si>
  <si>
    <t>150.005.001</t>
  </si>
  <si>
    <t>İLK MADDE VE MALZEME YİYECEK</t>
  </si>
  <si>
    <t>150.005.002</t>
  </si>
  <si>
    <t>İLK MADDE VE MALZEME İÇECEK</t>
  </si>
  <si>
    <t>150.005.003</t>
  </si>
  <si>
    <t>İLK MADDE VE MALZEME SARF</t>
  </si>
  <si>
    <t>150.010</t>
  </si>
  <si>
    <t>İLK MADDE VE MALZEME ALIŞLARI ŞUBELER</t>
  </si>
  <si>
    <t>150.010.001</t>
  </si>
  <si>
    <t>150.010.002</t>
  </si>
  <si>
    <t>150.010.003</t>
  </si>
  <si>
    <t>150.010.004</t>
  </si>
  <si>
    <t>İLK MADDE VE MALZEME TEMİZLİK MALZEMESİ</t>
  </si>
  <si>
    <t>150.010.022</t>
  </si>
  <si>
    <t>İLK MADDE VE MALZEME EKİPMAN</t>
  </si>
  <si>
    <t>150.010.900</t>
  </si>
  <si>
    <t>İLK MADDE VE MALZEME ENFLASYON DÜZELTME HESABI</t>
  </si>
  <si>
    <t>150.099</t>
  </si>
  <si>
    <t>İLK MADDE VE MALZEME YANSITMA HESABI</t>
  </si>
  <si>
    <t>150.099.999</t>
  </si>
  <si>
    <t>İLK MADDE VE MALZEME YANSTIMA</t>
  </si>
  <si>
    <t>151.001</t>
  </si>
  <si>
    <t>151.001.010</t>
  </si>
  <si>
    <t>BEYAZ ET GRUBU</t>
  </si>
  <si>
    <t>151.001.015</t>
  </si>
  <si>
    <t>KIRMIZI ET GRUBU</t>
  </si>
  <si>
    <t>151.001.020</t>
  </si>
  <si>
    <t>SOS GRUBU</t>
  </si>
  <si>
    <t>151.001.099</t>
  </si>
  <si>
    <t>DÖNEM SONU GENEL ÜRETİM GİDERLERİ</t>
  </si>
  <si>
    <t>151.001.100</t>
  </si>
  <si>
    <t>DÖNEM SONU İŞÇİLİK GİDERLERİ</t>
  </si>
  <si>
    <t>151.001.900</t>
  </si>
  <si>
    <t>YARI MAMÜLLER - ÜRETİM ENFLASYON DÜZELTME HESABI</t>
  </si>
  <si>
    <t>152.001</t>
  </si>
  <si>
    <t>152.001.010</t>
  </si>
  <si>
    <t>152.001.015</t>
  </si>
  <si>
    <t>152.001.025</t>
  </si>
  <si>
    <t>TATLI GRUBU</t>
  </si>
  <si>
    <t>152.001.035</t>
  </si>
  <si>
    <t>BAŞLANGIÇLAR</t>
  </si>
  <si>
    <t>152.001.040</t>
  </si>
  <si>
    <t>İÇECEKLER</t>
  </si>
  <si>
    <t>152.001.045</t>
  </si>
  <si>
    <t>PİZZA GURUBU</t>
  </si>
  <si>
    <t>152.001.099</t>
  </si>
  <si>
    <t>152.001.100</t>
  </si>
  <si>
    <t>152.001.900</t>
  </si>
  <si>
    <t>MAMÜLLER ENFLASYON DÜZELTME HESABI</t>
  </si>
  <si>
    <t>153.005</t>
  </si>
  <si>
    <t>TICARI MAL ALIŞLARI   MERKEZ MUTFAK</t>
  </si>
  <si>
    <t>153.005.001</t>
  </si>
  <si>
    <t>MAL ALIŞLARI YİYECEK</t>
  </si>
  <si>
    <t>153.005.002</t>
  </si>
  <si>
    <t>MAL ALIŞLARI İÇECEK</t>
  </si>
  <si>
    <t>153.005.003</t>
  </si>
  <si>
    <t>MAL ALIŞLARI SARF</t>
  </si>
  <si>
    <t>153.005.004</t>
  </si>
  <si>
    <t>MAL ALIŞLARI TEMİZLİK</t>
  </si>
  <si>
    <t>153.005.005</t>
  </si>
  <si>
    <t>MAL ALIŞLARI PERSONEL KIYAFET</t>
  </si>
  <si>
    <t>153.005.006</t>
  </si>
  <si>
    <t>MAL ALIŞLARI MUTFAK EKİPMAN</t>
  </si>
  <si>
    <t>153.005.900</t>
  </si>
  <si>
    <t xml:space="preserve">TİCARİ MALLAR ENFLASYON DÜZELTME HESABI </t>
  </si>
  <si>
    <t>153.010</t>
  </si>
  <si>
    <t>TICARI MAL ALIŞLARI   ŞUBELER</t>
  </si>
  <si>
    <t>153.010.001</t>
  </si>
  <si>
    <t>153.010.002</t>
  </si>
  <si>
    <t>153.010.003</t>
  </si>
  <si>
    <t>153.010.004</t>
  </si>
  <si>
    <t>153.010.005</t>
  </si>
  <si>
    <t>153.010.006</t>
  </si>
  <si>
    <t>157.001</t>
  </si>
  <si>
    <t>157.001.001</t>
  </si>
  <si>
    <t>157.001.003</t>
  </si>
  <si>
    <t>FABRİKA PERSONEL KIYAFETLERİ</t>
  </si>
  <si>
    <t>157.001.004</t>
  </si>
  <si>
    <t>İNTAÇ TARİHİ GELMEMİŞ ÜRÜNLER</t>
  </si>
  <si>
    <t>157.001.005</t>
  </si>
  <si>
    <t>DEMİRBAŞ STOKLARI 5 YILLIK</t>
  </si>
  <si>
    <t>157.001.006</t>
  </si>
  <si>
    <t>YURTDIŞI BAYİ İNŞAAT HARCAMALARI</t>
  </si>
  <si>
    <t>157.001.010</t>
  </si>
  <si>
    <t>DEMİRBAŞ STOKLARI  10 YILLIK</t>
  </si>
  <si>
    <t>157.001.011</t>
  </si>
  <si>
    <t>DEPREM BÖLGESİ YARDIMLARI</t>
  </si>
  <si>
    <t>157.001.012</t>
  </si>
  <si>
    <t>DİĞER STOKLAR (BORDRO)</t>
  </si>
  <si>
    <t>157.001.900</t>
  </si>
  <si>
    <t xml:space="preserve">DİĞER STOKLAR ENFLASYON DÜZELTME HESABI </t>
  </si>
  <si>
    <t>159.001</t>
  </si>
  <si>
    <t>159.001.001</t>
  </si>
  <si>
    <t>159.001.900</t>
  </si>
  <si>
    <t>VERİLEN SİPARİŞ AVANSLARI  ENFLASYON DÜZELTME HESABI</t>
  </si>
  <si>
    <t>159.100</t>
  </si>
  <si>
    <t>159.100.001</t>
  </si>
  <si>
    <t>KİRALAR İÇİN ÖDENEN AVANSLAR</t>
  </si>
  <si>
    <t>159.100.002</t>
  </si>
  <si>
    <t>TEDARİKÇİLERE ÖDENEN AVANSLAR</t>
  </si>
  <si>
    <t>180.005</t>
  </si>
  <si>
    <t>180.005.001</t>
  </si>
  <si>
    <t>SİGORTA  POLİÇELERİ</t>
  </si>
  <si>
    <t>180.005.002</t>
  </si>
  <si>
    <t>GELECEK AYLARA AİT GİDERLER (FATURA)</t>
  </si>
  <si>
    <t>180.005.008</t>
  </si>
  <si>
    <t>GELECEK AYLARA AİT GİDERLER (KİRA)</t>
  </si>
  <si>
    <t>180.005.009</t>
  </si>
  <si>
    <t>GELECEK AYLARA AİT GİDERLER (FİNANSMAN)</t>
  </si>
  <si>
    <t>180.005.900</t>
  </si>
  <si>
    <t>GELECEK AYLARA AİT GİDERLER ENFLASYON DÜZELTME HESABI</t>
  </si>
  <si>
    <t>180.005.901</t>
  </si>
  <si>
    <t>ENFLASYON DÜZELTME HESABI (HALKA ARZ)</t>
  </si>
  <si>
    <t>180.005.999</t>
  </si>
  <si>
    <t>GELECEK AYLARA AİT GİDERLER (AVM VE DİĞER HESAPLAR)</t>
  </si>
  <si>
    <t>180.006</t>
  </si>
  <si>
    <t>GELECEK AYLARA AİT GİDERLER (KASKO/TRAFİK POLİÇELER)</t>
  </si>
  <si>
    <t>180.006.001</t>
  </si>
  <si>
    <t>KASKO SİGORTA POLİÇELER</t>
  </si>
  <si>
    <t>180.006.002</t>
  </si>
  <si>
    <t>TRAFİK SİGORTA POLİÇELER</t>
  </si>
  <si>
    <t>180.007</t>
  </si>
  <si>
    <t>GELECEK AYLARA AİT GİDERLER (DANIŞMANLIK GİDERLERİ)</t>
  </si>
  <si>
    <t>180.007.001</t>
  </si>
  <si>
    <t>181.006</t>
  </si>
  <si>
    <t>181.006.001</t>
  </si>
  <si>
    <t>BANKA FAİZ GELİRLERİ</t>
  </si>
  <si>
    <t>181.006.002</t>
  </si>
  <si>
    <t>DAMGA VERGİSİ GELİR KARŞILIĞI</t>
  </si>
  <si>
    <t>181.006.011</t>
  </si>
  <si>
    <t>FRANCHİSE GELİR TAHAKKUKLARI</t>
  </si>
  <si>
    <t>181.006.017</t>
  </si>
  <si>
    <t>EUROBOND GELİR TAHAKKUKLARI</t>
  </si>
  <si>
    <t>181.006.020</t>
  </si>
  <si>
    <t>İŞ BANKASI VİOP GELİR TAHAKKUKLARI</t>
  </si>
  <si>
    <t>181.025</t>
  </si>
  <si>
    <t>VİALAND  GELİR TAHAKKUKLARI</t>
  </si>
  <si>
    <t>181.025.001</t>
  </si>
  <si>
    <t>VİALAND MULTİNET</t>
  </si>
  <si>
    <t>181.025.002</t>
  </si>
  <si>
    <t>VİALAND SODEXO</t>
  </si>
  <si>
    <t>181.025.003</t>
  </si>
  <si>
    <t>VİALAND TİCKET</t>
  </si>
  <si>
    <t>181.025.004</t>
  </si>
  <si>
    <t>VİALAND SETCARD</t>
  </si>
  <si>
    <t>181.025.005</t>
  </si>
  <si>
    <t>VİALAND METROPOL</t>
  </si>
  <si>
    <t>181.025.006</t>
  </si>
  <si>
    <t>VİALAND PAYECARD</t>
  </si>
  <si>
    <t>181.035</t>
  </si>
  <si>
    <t>212AVM  GELİR TAHAKKUKLARI</t>
  </si>
  <si>
    <t>181.035.001</t>
  </si>
  <si>
    <t>212AVM MULTİNET</t>
  </si>
  <si>
    <t>181.035.002</t>
  </si>
  <si>
    <t>212AVM SODEXO</t>
  </si>
  <si>
    <t>181.035.003</t>
  </si>
  <si>
    <t>212AVM TİCKET</t>
  </si>
  <si>
    <t>181.035.004</t>
  </si>
  <si>
    <t>212AVM SETCARD</t>
  </si>
  <si>
    <t>181.035.005</t>
  </si>
  <si>
    <t>212AVM METROPOL</t>
  </si>
  <si>
    <t>181.035.007</t>
  </si>
  <si>
    <t>212AVM PAYECARD</t>
  </si>
  <si>
    <t>181.045</t>
  </si>
  <si>
    <t>ANTALYA TERRACİTY  GELİR TAHAKKUKLARI</t>
  </si>
  <si>
    <t>181.045.001</t>
  </si>
  <si>
    <t>ANTALYA TERRACİTY MULTİNET</t>
  </si>
  <si>
    <t>181.045.002</t>
  </si>
  <si>
    <t>ANTALYA TERRACİTY  SODEXO</t>
  </si>
  <si>
    <t>181.045.003</t>
  </si>
  <si>
    <t>ANTALYA TERRACİTY TİCKET</t>
  </si>
  <si>
    <t>181.045.004</t>
  </si>
  <si>
    <t>ANTALYA TERRACİTY SETCARD</t>
  </si>
  <si>
    <t>181.045.005</t>
  </si>
  <si>
    <t>ANTALYA TERRACİTY METROPOL</t>
  </si>
  <si>
    <t>181.065</t>
  </si>
  <si>
    <t>BURSA KORUPARK  GELİR TAHAKKUKLARI</t>
  </si>
  <si>
    <t>181.065.001</t>
  </si>
  <si>
    <t>BURSA KORUPARK MULTİNET</t>
  </si>
  <si>
    <t>181.065.002</t>
  </si>
  <si>
    <t>BURSA KORUPARK SODEXO</t>
  </si>
  <si>
    <t>181.065.003</t>
  </si>
  <si>
    <t>BURSA KORUPARK TİCKET</t>
  </si>
  <si>
    <t>181.065.004</t>
  </si>
  <si>
    <t>BURSA KORUPARK SETCARD</t>
  </si>
  <si>
    <t>181.065.005</t>
  </si>
  <si>
    <t>BURSA KORUPARK METROPOL</t>
  </si>
  <si>
    <t>181.065.006</t>
  </si>
  <si>
    <t>BURSA KORUPARK PAYECARD</t>
  </si>
  <si>
    <t>181.070</t>
  </si>
  <si>
    <t>ANKARA OPTIMUM   GELİR TAHAKKUKLARI</t>
  </si>
  <si>
    <t>181.070.001</t>
  </si>
  <si>
    <t>ANKARA OPTİMUM MULTİNET</t>
  </si>
  <si>
    <t>181.070.002</t>
  </si>
  <si>
    <t>ANKARA OPTİMUM SODEXO</t>
  </si>
  <si>
    <t>181.070.003</t>
  </si>
  <si>
    <t>ANKARA OPTİMUM TİCKET</t>
  </si>
  <si>
    <t>181.070.004</t>
  </si>
  <si>
    <t>ANKARA OPTİMUM SETCARD</t>
  </si>
  <si>
    <t>181.070.005</t>
  </si>
  <si>
    <t>ANKARA OPTİMUM METROPOL</t>
  </si>
  <si>
    <t>181.070.006</t>
  </si>
  <si>
    <t>ANKARA OPTİMUM PAYECARD</t>
  </si>
  <si>
    <t>181.070.007</t>
  </si>
  <si>
    <t>ANKARA OPTİMUM YEMEK SEPETİ CÜZDAN</t>
  </si>
  <si>
    <t>181.075</t>
  </si>
  <si>
    <t>MAVİBAHÇE  GELİR TAHAKKUKLARI</t>
  </si>
  <si>
    <t>181.075.001</t>
  </si>
  <si>
    <t>MAVİBAHÇE MULTİNET</t>
  </si>
  <si>
    <t>181.075.002</t>
  </si>
  <si>
    <t>MAVİBAHÇE SODEXO</t>
  </si>
  <si>
    <t>181.075.003</t>
  </si>
  <si>
    <t>MAVİBAHÇE TİCKET</t>
  </si>
  <si>
    <t>181.075.004</t>
  </si>
  <si>
    <t>MAVİBAHÇE SETCARD</t>
  </si>
  <si>
    <t>181.075.005</t>
  </si>
  <si>
    <t>MAVİBAHÇE METROPOL</t>
  </si>
  <si>
    <t>181.075.006</t>
  </si>
  <si>
    <t>MAVİBAHÇE PAYECARD</t>
  </si>
  <si>
    <t>181.090</t>
  </si>
  <si>
    <t>TRUMP TOWER GELİR TAHAKKUKLARI</t>
  </si>
  <si>
    <t>181.090.001</t>
  </si>
  <si>
    <t>TRUMP TOWER MULTİNET</t>
  </si>
  <si>
    <t>181.090.002</t>
  </si>
  <si>
    <t>TRUMP TOWER SODEXO</t>
  </si>
  <si>
    <t>181.090.003</t>
  </si>
  <si>
    <t>TRUMP TOWER TİCKET</t>
  </si>
  <si>
    <t>181.090.004</t>
  </si>
  <si>
    <t>TRUMP TOWER SETCARD</t>
  </si>
  <si>
    <t>181.090.005</t>
  </si>
  <si>
    <t>TRUMP TOWER METROPOL</t>
  </si>
  <si>
    <t>181.090.006</t>
  </si>
  <si>
    <t>TRUMP TOWER PAYECARD</t>
  </si>
  <si>
    <t>181.110</t>
  </si>
  <si>
    <t>OLİVİUM GELİR TAHAKKUKLARI</t>
  </si>
  <si>
    <t>181.110.001</t>
  </si>
  <si>
    <t>OLİVİUM MULTİNET</t>
  </si>
  <si>
    <t>181.110.002</t>
  </si>
  <si>
    <t>OLİVİUM SODEXO</t>
  </si>
  <si>
    <t>181.110.003</t>
  </si>
  <si>
    <t>OLİVİUM TİCKET</t>
  </si>
  <si>
    <t>181.110.004</t>
  </si>
  <si>
    <t>OLİVİUM SETCARD</t>
  </si>
  <si>
    <t>181.110.005</t>
  </si>
  <si>
    <t>OLİVİUM METROPOL</t>
  </si>
  <si>
    <t>181.110.006</t>
  </si>
  <si>
    <t>OLİVİUM PAYECARD</t>
  </si>
  <si>
    <t>181.115</t>
  </si>
  <si>
    <t>KARTAL KOÇTAŞ GELİR TAHAKKUKLARI</t>
  </si>
  <si>
    <t>181.115.001</t>
  </si>
  <si>
    <t>KARTAL KOÇTAŞ MULTİNET</t>
  </si>
  <si>
    <t>181.115.002</t>
  </si>
  <si>
    <t>KARTAL KOÇTAŞ SODEXO</t>
  </si>
  <si>
    <t>181.115.003</t>
  </si>
  <si>
    <t>KARTAL KOÇTAŞ TİCKET</t>
  </si>
  <si>
    <t>181.115.004</t>
  </si>
  <si>
    <t>KARTAL KOÇTAŞ SETCARD</t>
  </si>
  <si>
    <t>181.115.005</t>
  </si>
  <si>
    <t>KARTAL KOÇTAŞ METROPOL</t>
  </si>
  <si>
    <t>181.115.006</t>
  </si>
  <si>
    <t>KARTAL KOÇTAŞ PAYECARD</t>
  </si>
  <si>
    <t>181.115.011</t>
  </si>
  <si>
    <t>KARTAL KOÇTAŞ YEMEK SEPETİ CÜZDAN</t>
  </si>
  <si>
    <t>181.135</t>
  </si>
  <si>
    <t>ANKARA KIZILAY CADDE GELİR TAHAKKUKLARI</t>
  </si>
  <si>
    <t>181.135.001</t>
  </si>
  <si>
    <t>ANKARA KIZILAY CADDE MULTİNET</t>
  </si>
  <si>
    <t>181.135.002</t>
  </si>
  <si>
    <t>ANKARA KIZILAY CADDE SODEXO</t>
  </si>
  <si>
    <t>181.135.003</t>
  </si>
  <si>
    <t>ANKARA KIZILAY CADDE TİCKET</t>
  </si>
  <si>
    <t>181.135.004</t>
  </si>
  <si>
    <t>ANKARA KIZILAY CADDE SETCARD</t>
  </si>
  <si>
    <t>181.135.005</t>
  </si>
  <si>
    <t>ANKARA KIZILAY CADDE METROPOL</t>
  </si>
  <si>
    <t>181.135.006</t>
  </si>
  <si>
    <t>ANKARA KIZILAY CADDE PAYECARD</t>
  </si>
  <si>
    <t>181.150</t>
  </si>
  <si>
    <t>İSTİNYE PARK GELİR TAHAKKUKLARI</t>
  </si>
  <si>
    <t>181.150.001</t>
  </si>
  <si>
    <t>İSTİNYE PARK MULTİNET</t>
  </si>
  <si>
    <t>181.150.002</t>
  </si>
  <si>
    <t>İSTİNYE PARK SODEXO</t>
  </si>
  <si>
    <t>181.150.003</t>
  </si>
  <si>
    <t>İSTİNYE PARK TİCKET</t>
  </si>
  <si>
    <t>181.150.004</t>
  </si>
  <si>
    <t>İSTİNYE PARK SETCARD</t>
  </si>
  <si>
    <t>181.150.005</t>
  </si>
  <si>
    <t>İSTİNYE PARK METROPOL</t>
  </si>
  <si>
    <t>181.150.006</t>
  </si>
  <si>
    <t>İSTİNYE PARK PAYECARD</t>
  </si>
  <si>
    <t>181.165</t>
  </si>
  <si>
    <t>34 CİTYS İSTANBUL GELİR TAHAKKUKLARI</t>
  </si>
  <si>
    <t>181.165.001</t>
  </si>
  <si>
    <t>34 CİTYS İSTANBUL MULTİNET</t>
  </si>
  <si>
    <t>181.165.002</t>
  </si>
  <si>
    <t>34 CİTYS İSTANBUL SODEXO</t>
  </si>
  <si>
    <t>181.165.003</t>
  </si>
  <si>
    <t>34 CİTYS İSTANBUL TİCKET</t>
  </si>
  <si>
    <t>181.165.004</t>
  </si>
  <si>
    <t>34 CİTYS İSTANBUL SETCARD</t>
  </si>
  <si>
    <t>181.165.005</t>
  </si>
  <si>
    <t>34 CİTYS İSTANBUL METROPOL</t>
  </si>
  <si>
    <t>181.165.007</t>
  </si>
  <si>
    <t>34 CİTYS İSTANBUL PAYECARD</t>
  </si>
  <si>
    <t>181.170</t>
  </si>
  <si>
    <t>PALLADIUM GELİR TAHAKKUKLARI</t>
  </si>
  <si>
    <t>181.170.001</t>
  </si>
  <si>
    <t>PALLADIUM MULTİNET</t>
  </si>
  <si>
    <t>181.170.002</t>
  </si>
  <si>
    <t>PALLADIUM SODEXO</t>
  </si>
  <si>
    <t>181.170.003</t>
  </si>
  <si>
    <t>PALLADIUM TİCKET</t>
  </si>
  <si>
    <t>181.170.004</t>
  </si>
  <si>
    <t>PALLADIUM SETCARD</t>
  </si>
  <si>
    <t>181.170.005</t>
  </si>
  <si>
    <t>PALLADIUM METROPOL</t>
  </si>
  <si>
    <t>181.170.006</t>
  </si>
  <si>
    <t>PALLADIUM PAYECARD</t>
  </si>
  <si>
    <t>181.175</t>
  </si>
  <si>
    <t>İZMİR HATAY CADDE GELİR TAHAKKUKLARI</t>
  </si>
  <si>
    <t>181.175.001</t>
  </si>
  <si>
    <t>İZMİR HATAY CADDE MULTİNET</t>
  </si>
  <si>
    <t>181.175.002</t>
  </si>
  <si>
    <t>İZMİR HATAY CADDE SODEXO</t>
  </si>
  <si>
    <t>181.175.003</t>
  </si>
  <si>
    <t>İZMİR HATAY CADDE TİCKET</t>
  </si>
  <si>
    <t>181.175.004</t>
  </si>
  <si>
    <t>İZMİR HATAY CADDE SETCARD</t>
  </si>
  <si>
    <t>181.175.005</t>
  </si>
  <si>
    <t>İZMİR HATAY CADDE METROPOL</t>
  </si>
  <si>
    <t>181.175.006</t>
  </si>
  <si>
    <t>İZMİR HATAY CADDE PAYECARD</t>
  </si>
  <si>
    <t>181.195</t>
  </si>
  <si>
    <t>İZMİR GİRNE CADDE GELİR TAHAKKUKLARI</t>
  </si>
  <si>
    <t>181.195.001</t>
  </si>
  <si>
    <t>İZMİR GİRNE CADDE MULTİNET</t>
  </si>
  <si>
    <t>181.195.002</t>
  </si>
  <si>
    <t>İZMİR GİRNE CADDE SODEXO</t>
  </si>
  <si>
    <t>181.195.003</t>
  </si>
  <si>
    <t>İZMİR GİRNE CADDE TİCKET</t>
  </si>
  <si>
    <t>181.195.004</t>
  </si>
  <si>
    <t>İZMİR GİRNE CADDE SETCARD</t>
  </si>
  <si>
    <t>181.195.005</t>
  </si>
  <si>
    <t>İZMİR GİRNE CADDE METROPOL</t>
  </si>
  <si>
    <t>181.195.006</t>
  </si>
  <si>
    <t>İZMİR GİRNE CADDE PAYECARD</t>
  </si>
  <si>
    <t>181.196</t>
  </si>
  <si>
    <t>CEVAHİR AVM  GELİR TAHAKKUKLARI</t>
  </si>
  <si>
    <t>181.196.001</t>
  </si>
  <si>
    <t>CEVAHİR AVM MULTİNET</t>
  </si>
  <si>
    <t>181.196.002</t>
  </si>
  <si>
    <t>CEVAHİR AVM SODEXO</t>
  </si>
  <si>
    <t>181.196.003</t>
  </si>
  <si>
    <t>CEVAHİR AVM TİCKET</t>
  </si>
  <si>
    <t>181.196.004</t>
  </si>
  <si>
    <t>CEVAHİR AVM SETCARD</t>
  </si>
  <si>
    <t>181.196.005</t>
  </si>
  <si>
    <t>CEVAHİR AVM METROPOL</t>
  </si>
  <si>
    <t>181.196.006</t>
  </si>
  <si>
    <t>CEVAHİR AVM PAYECARD</t>
  </si>
  <si>
    <t>181.197</t>
  </si>
  <si>
    <t>ANATOLIUM GELİR TAHAKKUKLARI</t>
  </si>
  <si>
    <t>181.197.001</t>
  </si>
  <si>
    <t>ANOTOLIUM MULTİNET</t>
  </si>
  <si>
    <t>181.197.002</t>
  </si>
  <si>
    <t>ANOTOLIUM SODEXO</t>
  </si>
  <si>
    <t>181.197.003</t>
  </si>
  <si>
    <t>ANOTOLIUM TİCKET</t>
  </si>
  <si>
    <t>181.197.004</t>
  </si>
  <si>
    <t>ANOTOLIUM SETCARD</t>
  </si>
  <si>
    <t>181.197.005</t>
  </si>
  <si>
    <t>ANOTOLIUM METROPOL</t>
  </si>
  <si>
    <t>181.197.006</t>
  </si>
  <si>
    <t>ANOTOLIUM PAYECARD</t>
  </si>
  <si>
    <t>181.198</t>
  </si>
  <si>
    <t>LÜLEBURGAZ 39 BURDA AVM GELİR TAHAKKUKLARI</t>
  </si>
  <si>
    <t>181.198.001</t>
  </si>
  <si>
    <t>LÜLEBURGAZ 39 BURDA AVM MULTİNET</t>
  </si>
  <si>
    <t>181.198.002</t>
  </si>
  <si>
    <t>LÜLEBURGAZ 39 BURDA AVM SODEXO</t>
  </si>
  <si>
    <t>181.198.003</t>
  </si>
  <si>
    <t>LÜLEBURGAZ 39 BURDA AVM TİCKET</t>
  </si>
  <si>
    <t>181.198.004</t>
  </si>
  <si>
    <t>LÜLEBURGAZ 39 BURDA AVM SETCARD</t>
  </si>
  <si>
    <t>181.198.005</t>
  </si>
  <si>
    <t>LÜLEBURGAZ 39 BURDA AVM METROPOL</t>
  </si>
  <si>
    <t>181.198.006</t>
  </si>
  <si>
    <t>LÜLEBURGAZ 39 BURDA AVM PAYECARD</t>
  </si>
  <si>
    <t>181.199</t>
  </si>
  <si>
    <t>34 GOP GELİR TAHAKKUKLARI</t>
  </si>
  <si>
    <t>181.199.001</t>
  </si>
  <si>
    <t>34 GOP MULTİNET</t>
  </si>
  <si>
    <t>181.199.002</t>
  </si>
  <si>
    <t>34 GOP SODEXO</t>
  </si>
  <si>
    <t>181.199.003</t>
  </si>
  <si>
    <t>34 GOP TİCKET</t>
  </si>
  <si>
    <t>181.199.004</t>
  </si>
  <si>
    <t>34 GOP SETCARD</t>
  </si>
  <si>
    <t>181.199.005</t>
  </si>
  <si>
    <t>34 GOP METROPOL</t>
  </si>
  <si>
    <t>181.199.006</t>
  </si>
  <si>
    <t>34 GOP PAYECARD</t>
  </si>
  <si>
    <t>181.200</t>
  </si>
  <si>
    <t>MALTEPE PARK CARREFOUR GELİR TAHAKKUKLARI</t>
  </si>
  <si>
    <t>181.200.001</t>
  </si>
  <si>
    <t>MALTEPE PARK CARREFOUR MULTİNET</t>
  </si>
  <si>
    <t>181.200.002</t>
  </si>
  <si>
    <t>MALTEPE PARK CARREFOUR SODEXO</t>
  </si>
  <si>
    <t>181.200.003</t>
  </si>
  <si>
    <t>MALTEPE PARK CARREFOUR TİCKET</t>
  </si>
  <si>
    <t>181.200.004</t>
  </si>
  <si>
    <t>MALTEPE PARK CARREFOUR SETCARD</t>
  </si>
  <si>
    <t>181.200.005</t>
  </si>
  <si>
    <t>MALTEPE PARK CARREFOUR METROPOL</t>
  </si>
  <si>
    <t>181.200.006</t>
  </si>
  <si>
    <t>MALTEPE PARK CARREFOUR PAYECARD</t>
  </si>
  <si>
    <t>181.202</t>
  </si>
  <si>
    <t>BAHÇEŞEHİR CADDE GELİR TAHAKKUKLARI</t>
  </si>
  <si>
    <t>181.202.001</t>
  </si>
  <si>
    <t>BAHÇEŞEHİR CADDE MULTİNET</t>
  </si>
  <si>
    <t>181.202.002</t>
  </si>
  <si>
    <t>BAHÇEŞEHİR CADDE SODEXO</t>
  </si>
  <si>
    <t>181.202.003</t>
  </si>
  <si>
    <t>BAHÇEŞEHİR CADDE TİCKET</t>
  </si>
  <si>
    <t>181.202.004</t>
  </si>
  <si>
    <t>BAHÇEŞEHİR CADDE SETCARD</t>
  </si>
  <si>
    <t>181.202.005</t>
  </si>
  <si>
    <t>BAHÇEŞEHİR CADDE METROPOL</t>
  </si>
  <si>
    <t>181.204</t>
  </si>
  <si>
    <t>AXİS AVM GELİR TAHAKKUKLARI</t>
  </si>
  <si>
    <t>181.204.001</t>
  </si>
  <si>
    <t>AXİS AVM MULTİNET</t>
  </si>
  <si>
    <t>181.204.002</t>
  </si>
  <si>
    <t>AXİS AVM SODEXO</t>
  </si>
  <si>
    <t>181.204.003</t>
  </si>
  <si>
    <t>AXİS AVM TİCKET</t>
  </si>
  <si>
    <t>181.204.004</t>
  </si>
  <si>
    <t>AXİS AVM SETCARD</t>
  </si>
  <si>
    <t>181.204.005</t>
  </si>
  <si>
    <t>AXİS AVM METROPOL</t>
  </si>
  <si>
    <t>181.204.007</t>
  </si>
  <si>
    <t>AXİS AVM PAYECARD</t>
  </si>
  <si>
    <t>181.206</t>
  </si>
  <si>
    <t>VIAPORT AVM GELİR TAHAKKUKLARI</t>
  </si>
  <si>
    <t>181.206.001</t>
  </si>
  <si>
    <t>VİAPORT AVM MULTİNET</t>
  </si>
  <si>
    <t>181.206.002</t>
  </si>
  <si>
    <t>VİAPORT AVM SODEXO</t>
  </si>
  <si>
    <t>181.206.003</t>
  </si>
  <si>
    <t>VİAPORT AVM TİCKET</t>
  </si>
  <si>
    <t>181.206.004</t>
  </si>
  <si>
    <t>VİAPORT AVM SETCARD</t>
  </si>
  <si>
    <t>181.206.005</t>
  </si>
  <si>
    <t>VİAPORT AVM METROPOL</t>
  </si>
  <si>
    <t>181.206.006</t>
  </si>
  <si>
    <t>VİAPORT AVM PAYECARD</t>
  </si>
  <si>
    <t>181.207</t>
  </si>
  <si>
    <t>BEYLİKDÜZÜ MİGROS AVM GELİR TAHAKKUKLARI</t>
  </si>
  <si>
    <t>181.207.001</t>
  </si>
  <si>
    <t>BEYLİKDÜZÜ MİGROS AVM MULTİNET</t>
  </si>
  <si>
    <t>181.207.002</t>
  </si>
  <si>
    <t>BEYLİKDÜZÜ MİGROS AVM SODEXO</t>
  </si>
  <si>
    <t>181.207.003</t>
  </si>
  <si>
    <t>BEYLİKDÜZÜ MİGROS AVM TİCKET</t>
  </si>
  <si>
    <t>181.207.004</t>
  </si>
  <si>
    <t>BEYLİKDÜZÜ MİGROS AVM SETCARD</t>
  </si>
  <si>
    <t>181.207.005</t>
  </si>
  <si>
    <t>BEYLİKDÜZÜ MİGROS AVM METROPOL</t>
  </si>
  <si>
    <t>181.207.006</t>
  </si>
  <si>
    <t>BEYLİKDÜZÜ MİGROS AVM PAYECARD</t>
  </si>
  <si>
    <t>181.207.007</t>
  </si>
  <si>
    <t>BEYLİKDÜZÜ MİGROS AVM MİGROS</t>
  </si>
  <si>
    <t>181.208</t>
  </si>
  <si>
    <t>HİSTORİA AVM GELİR TAHAKKUKLARI</t>
  </si>
  <si>
    <t>181.208.001</t>
  </si>
  <si>
    <t>HİSTORİA AVM MULTİNET</t>
  </si>
  <si>
    <t>181.208.002</t>
  </si>
  <si>
    <t>HİSTORİA AVM SODEXO</t>
  </si>
  <si>
    <t>181.208.003</t>
  </si>
  <si>
    <t>HİSTORİA AVM TİCKET</t>
  </si>
  <si>
    <t>181.208.004</t>
  </si>
  <si>
    <t>HİSTORİA AVM SETCARD</t>
  </si>
  <si>
    <t>181.208.005</t>
  </si>
  <si>
    <t>HİSTORİA AVM METROPOL</t>
  </si>
  <si>
    <t>181.209</t>
  </si>
  <si>
    <t>MARMARAPARK GELİR TAHAKKUKLARI</t>
  </si>
  <si>
    <t>181.209.001</t>
  </si>
  <si>
    <t>MARMARAPARK AVM MULTİNET</t>
  </si>
  <si>
    <t>181.209.002</t>
  </si>
  <si>
    <t>MARMARAPARK AVM SODEXO</t>
  </si>
  <si>
    <t>181.209.003</t>
  </si>
  <si>
    <t>MARMARAPARK AVM TİCKET</t>
  </si>
  <si>
    <t>181.209.004</t>
  </si>
  <si>
    <t>MARMARAPARK AVM SETCARD</t>
  </si>
  <si>
    <t>181.209.005</t>
  </si>
  <si>
    <t>MARMARAPARK AVM METROPOL</t>
  </si>
  <si>
    <t>181.209.006</t>
  </si>
  <si>
    <t>MARMARAPARK AVM PAYECARD</t>
  </si>
  <si>
    <t>181.210</t>
  </si>
  <si>
    <t>İZMİR OPTIMUM AVM GELİR TAHAKKUKLARI</t>
  </si>
  <si>
    <t>181.210.001</t>
  </si>
  <si>
    <t>İZMİR OPTIMUM AVM MULTİNET</t>
  </si>
  <si>
    <t>181.210.002</t>
  </si>
  <si>
    <t>İZMİR OPTIMUM AVM SODEXO</t>
  </si>
  <si>
    <t>181.210.003</t>
  </si>
  <si>
    <t>İZMİR OPTIMUM AVM TİCKET</t>
  </si>
  <si>
    <t>181.210.004</t>
  </si>
  <si>
    <t>İZMİR OPTIMUM AVM SETCARD</t>
  </si>
  <si>
    <t>181.210.005</t>
  </si>
  <si>
    <t>İZMİR OPTIMUM AVM METROPOL</t>
  </si>
  <si>
    <t>181.211</t>
  </si>
  <si>
    <t>ANKARA ANTARES AVM GELİR TAHAKKUKLARI</t>
  </si>
  <si>
    <t>181.211.001</t>
  </si>
  <si>
    <t>ANKARA ANTARES AVM MULTİNET</t>
  </si>
  <si>
    <t>181.211.002</t>
  </si>
  <si>
    <t>ANKARA ANTARES AVM SODEXO</t>
  </si>
  <si>
    <t>181.211.003</t>
  </si>
  <si>
    <t>ANKARA ANTARES AVM TİCKET</t>
  </si>
  <si>
    <t>181.211.004</t>
  </si>
  <si>
    <t>ANKARA ANTARES AVM SETCARD</t>
  </si>
  <si>
    <t>181.211.005</t>
  </si>
  <si>
    <t>ANKARA ANTARES AVM METROPOL</t>
  </si>
  <si>
    <t>181.211.006</t>
  </si>
  <si>
    <t>ANKARA ANTARES AVM PAYECARD</t>
  </si>
  <si>
    <t>181.211.007</t>
  </si>
  <si>
    <t>ANKARA ANTARES AVM YEMEK SEPETİ CÜZDAN</t>
  </si>
  <si>
    <t>181.212</t>
  </si>
  <si>
    <t>ANKARA 7.CADDE GELİR TAHAKKUKLARI</t>
  </si>
  <si>
    <t>181.212.001</t>
  </si>
  <si>
    <t>ANKARA 7.CADDE MULTİNET</t>
  </si>
  <si>
    <t>181.212.002</t>
  </si>
  <si>
    <t>ANKARA 7.CADDE SODEXO</t>
  </si>
  <si>
    <t>181.212.003</t>
  </si>
  <si>
    <t>ANKARA 7.CADDE TİCKET</t>
  </si>
  <si>
    <t>181.212.004</t>
  </si>
  <si>
    <t>ANKARA 7.CADDE SETCARD</t>
  </si>
  <si>
    <t>181.212.005</t>
  </si>
  <si>
    <t>ANKARA 7.CADDE METROPOL</t>
  </si>
  <si>
    <t>181.212.006</t>
  </si>
  <si>
    <t>ANKARA 7.CADDE PAYECARD</t>
  </si>
  <si>
    <t>181.212.007</t>
  </si>
  <si>
    <t>ANKARA 7.CADDE YEMEK SEPETİ CÜZDAN</t>
  </si>
  <si>
    <t>181.213</t>
  </si>
  <si>
    <t>BİZ CEVAHİR GELİR TAHAKKUKLARI</t>
  </si>
  <si>
    <t>181.213.001</t>
  </si>
  <si>
    <t>BİZ CEVAHİR MULTİNET</t>
  </si>
  <si>
    <t>181.213.002</t>
  </si>
  <si>
    <t>BİZ CEVAHİR SODEXO</t>
  </si>
  <si>
    <t>181.213.003</t>
  </si>
  <si>
    <t>BİZ CEVAHİR TİCKET</t>
  </si>
  <si>
    <t>181.213.004</t>
  </si>
  <si>
    <t>BİZ CEVAHİR SETCARD</t>
  </si>
  <si>
    <t>181.213.005</t>
  </si>
  <si>
    <t>BİZ CEVAHİR METROPOL</t>
  </si>
  <si>
    <t>181.214</t>
  </si>
  <si>
    <t>ORJİN MASLAK GELİR TAHAKKUKLARI</t>
  </si>
  <si>
    <t>181.214.001</t>
  </si>
  <si>
    <t>ORJİN MASLAK MULTİNET</t>
  </si>
  <si>
    <t>181.214.002</t>
  </si>
  <si>
    <t>ORJİN MASLAK SODEXO</t>
  </si>
  <si>
    <t>181.214.003</t>
  </si>
  <si>
    <t>ORJİN MASLAK TİCKET</t>
  </si>
  <si>
    <t>181.214.004</t>
  </si>
  <si>
    <t>ORJİN MASLAK SETCARD</t>
  </si>
  <si>
    <t>181.214.005</t>
  </si>
  <si>
    <t>ORJİN MASLAK METROPOL</t>
  </si>
  <si>
    <t>181.215</t>
  </si>
  <si>
    <t>06 GORDİON GELİR TAHAKKUKLARI</t>
  </si>
  <si>
    <t>181.215.001</t>
  </si>
  <si>
    <t>06 GORDİON MULTİNET</t>
  </si>
  <si>
    <t>181.215.002</t>
  </si>
  <si>
    <t>06 GORDİON SODEXO</t>
  </si>
  <si>
    <t>181.215.003</t>
  </si>
  <si>
    <t>06 GORDİON TİCKET</t>
  </si>
  <si>
    <t>181.215.004</t>
  </si>
  <si>
    <t>06 GORDİON SETCARD</t>
  </si>
  <si>
    <t>181.215.005</t>
  </si>
  <si>
    <t>06 GORDİON METROPOL</t>
  </si>
  <si>
    <t>181.215.006</t>
  </si>
  <si>
    <t>06 GORDİON PAYECARD</t>
  </si>
  <si>
    <t>181.216</t>
  </si>
  <si>
    <t>BURSA ATABULVARI GELİR TAHAKKUKLARI</t>
  </si>
  <si>
    <t>181.216.001</t>
  </si>
  <si>
    <t>BURSA ATABULVARI MULTİNET</t>
  </si>
  <si>
    <t>181.216.002</t>
  </si>
  <si>
    <t>BURSA ATABULVARI SODEXO</t>
  </si>
  <si>
    <t>181.216.003</t>
  </si>
  <si>
    <t>BURSA ATABULVARI TİCKET</t>
  </si>
  <si>
    <t>181.216.004</t>
  </si>
  <si>
    <t>BURSA ATABULVARI SETCARD</t>
  </si>
  <si>
    <t>181.216.005</t>
  </si>
  <si>
    <t>BURSA ATABULVARI METROPOL</t>
  </si>
  <si>
    <t>181.216.006</t>
  </si>
  <si>
    <t>BURSA ATABULVARI PAYECARD</t>
  </si>
  <si>
    <t>181.217</t>
  </si>
  <si>
    <t>PİYALEPAŞA AVM GELİR TAHAKKUKLARI</t>
  </si>
  <si>
    <t>181.217.001</t>
  </si>
  <si>
    <t>PİYALEPAŞA AVM MULTİNET</t>
  </si>
  <si>
    <t>181.217.002</t>
  </si>
  <si>
    <t>PİYALEPAŞA AVM SODEXO</t>
  </si>
  <si>
    <t>181.217.003</t>
  </si>
  <si>
    <t>PİYALEPAŞA AVM TİCKET</t>
  </si>
  <si>
    <t>181.217.004</t>
  </si>
  <si>
    <t>PİYALEPAŞA AVM SETCARD</t>
  </si>
  <si>
    <t>181.217.005</t>
  </si>
  <si>
    <t>PİYALEPAŞA AVM METROPOL</t>
  </si>
  <si>
    <t>181.217.009</t>
  </si>
  <si>
    <t>PİYALEPAŞA AVM KUPON</t>
  </si>
  <si>
    <t>181.219</t>
  </si>
  <si>
    <t>BURSA ANATOLIUM AVM GELİR TAHAKKUKLARI</t>
  </si>
  <si>
    <t>181.219.001</t>
  </si>
  <si>
    <t>BURSA ANATOLIUM AVM MULTİNET</t>
  </si>
  <si>
    <t>181.219.002</t>
  </si>
  <si>
    <t>BURSA ANATOLIUM AVM SODEXO</t>
  </si>
  <si>
    <t>181.219.003</t>
  </si>
  <si>
    <t>BURSA ANATOLIUM AVM TİCKET</t>
  </si>
  <si>
    <t>181.219.004</t>
  </si>
  <si>
    <t>BURSA ANATOLIUM AVM SETCARD</t>
  </si>
  <si>
    <t>181.219.005</t>
  </si>
  <si>
    <t>BURSA ANATOLIUM AVM METROPOL</t>
  </si>
  <si>
    <t>181.219.006</t>
  </si>
  <si>
    <t>BURSA ANATOLIUM AVM PAYECARD</t>
  </si>
  <si>
    <t>181.220</t>
  </si>
  <si>
    <t>35 KARŞIYAKA GELİR TAHAKKUKLARI</t>
  </si>
  <si>
    <t>181.220.001</t>
  </si>
  <si>
    <t>35 KARŞIYAKA MULTİNET</t>
  </si>
  <si>
    <t>181.220.002</t>
  </si>
  <si>
    <t>35 KARŞIYAKA SODEXO</t>
  </si>
  <si>
    <t>181.220.003</t>
  </si>
  <si>
    <t>35 KARŞIYAKA TİCKET</t>
  </si>
  <si>
    <t>181.220.004</t>
  </si>
  <si>
    <t>35 KARŞIYAKA SETCARD</t>
  </si>
  <si>
    <t>181.220.005</t>
  </si>
  <si>
    <t>35 KARŞIYAKA METROPOL</t>
  </si>
  <si>
    <t>181.220.006</t>
  </si>
  <si>
    <t>35 KARŞIYAKA PAYECARD</t>
  </si>
  <si>
    <t>181.221</t>
  </si>
  <si>
    <t>BURSA BALAT TURKUAZ PLAZA GELİR TAHAKKUKLARI</t>
  </si>
  <si>
    <t>181.221.001</t>
  </si>
  <si>
    <t>BURSA BALAT TURKUAZ PLAZA MULTİNET</t>
  </si>
  <si>
    <t>181.221.002</t>
  </si>
  <si>
    <t>BURSA BALAT TURKUAZ PLAZA SODEXO</t>
  </si>
  <si>
    <t>181.221.003</t>
  </si>
  <si>
    <t>BURSA BALAT TURKUAZ PLAZA TİCKET</t>
  </si>
  <si>
    <t>181.221.004</t>
  </si>
  <si>
    <t>BURSA BALAT TURKUAZ PLAZA SETCARD</t>
  </si>
  <si>
    <t>181.221.005</t>
  </si>
  <si>
    <t>BURSA BALAT TURKUAZ PLAZA METROPOL</t>
  </si>
  <si>
    <t>181.221.006</t>
  </si>
  <si>
    <t>BURSA BALAT TURKUAZ PLAZA PAYECARD</t>
  </si>
  <si>
    <t>181.222</t>
  </si>
  <si>
    <t>BALIKESİR TİCARET MERKEZİ GELİR TAHAKKUKLARI</t>
  </si>
  <si>
    <t>181.222.001</t>
  </si>
  <si>
    <t>BALIKESİR TİCARET MERKEZİ MULTİNET</t>
  </si>
  <si>
    <t>181.222.002</t>
  </si>
  <si>
    <t>BALIKESİR TİCARET MERKEZİ SODEXO</t>
  </si>
  <si>
    <t>181.222.003</t>
  </si>
  <si>
    <t>BALIKESİR TİCARET MERKEZİ TİCKET</t>
  </si>
  <si>
    <t>181.222.004</t>
  </si>
  <si>
    <t>BALIKESİR TİCARET MERKEZİ SETCARD</t>
  </si>
  <si>
    <t>181.222.005</t>
  </si>
  <si>
    <t>BALIKESİR TİCARET MERKEZİ METROPOL</t>
  </si>
  <si>
    <t>181.222.006</t>
  </si>
  <si>
    <t>BALIKESİR TİCARET MERKEZİ PAYECARD</t>
  </si>
  <si>
    <t>181.223</t>
  </si>
  <si>
    <t>BURSA DOWNTOWN GELİR TAHAKKUKLARI</t>
  </si>
  <si>
    <t>181.223.001</t>
  </si>
  <si>
    <t>BURSA DOWNTOWN MULTİNET</t>
  </si>
  <si>
    <t>181.223.002</t>
  </si>
  <si>
    <t>BURSA DOWNTOWN SODEXO</t>
  </si>
  <si>
    <t>181.223.003</t>
  </si>
  <si>
    <t>BURSA DOWNTOWN TİCKET</t>
  </si>
  <si>
    <t>181.223.004</t>
  </si>
  <si>
    <t>BURSA DOWNTOWN SETCARD</t>
  </si>
  <si>
    <t>181.223.005</t>
  </si>
  <si>
    <t>BURSA DOWNTOWN METROPOL</t>
  </si>
  <si>
    <t>181.223.006</t>
  </si>
  <si>
    <t>BURSA DOWNTOWN PAYECARD</t>
  </si>
  <si>
    <t>181.224</t>
  </si>
  <si>
    <t>İSTANBUL ARENAPARK GELİR TAHAKKUKLARI</t>
  </si>
  <si>
    <t>181.224.001</t>
  </si>
  <si>
    <t>İSTANBUL ARENAPARK MULTİNET</t>
  </si>
  <si>
    <t>181.224.002</t>
  </si>
  <si>
    <t>İSTANBUL ARENAPARK SODEXO</t>
  </si>
  <si>
    <t>181.224.003</t>
  </si>
  <si>
    <t>İSTANBUL ARENAPARK TİCKET</t>
  </si>
  <si>
    <t>181.224.004</t>
  </si>
  <si>
    <t>İSTANBUL ARENAPARK SETCARD</t>
  </si>
  <si>
    <t>181.224.005</t>
  </si>
  <si>
    <t>İSTANBUL ARENAPARK METROPOL</t>
  </si>
  <si>
    <t>181.225</t>
  </si>
  <si>
    <t>DEPOSİTE AVM GELİR TAHAKKUKLARI</t>
  </si>
  <si>
    <t>181.225.001</t>
  </si>
  <si>
    <t>DEPOSİTE AVM MULTİNET</t>
  </si>
  <si>
    <t>181.225.002</t>
  </si>
  <si>
    <t>DEPOSİTE AVM SODEXO</t>
  </si>
  <si>
    <t>181.225.003</t>
  </si>
  <si>
    <t>DEPOSİTE AVM TİCKET</t>
  </si>
  <si>
    <t>181.225.004</t>
  </si>
  <si>
    <t>DEPOSİTE AVM SETCARD</t>
  </si>
  <si>
    <t>181.225.005</t>
  </si>
  <si>
    <t>DEPOSİTE AVM METROPOL</t>
  </si>
  <si>
    <t>181.226</t>
  </si>
  <si>
    <t>ANKARA GİMSA AVM GELİR TAHAKKUKLARI</t>
  </si>
  <si>
    <t>181.226.001</t>
  </si>
  <si>
    <t>ANKARA GİMSA AVM MULTİNET</t>
  </si>
  <si>
    <t>181.226.002</t>
  </si>
  <si>
    <t>ANKARA GİMSA AVM SODEXO</t>
  </si>
  <si>
    <t>181.226.003</t>
  </si>
  <si>
    <t>ANKARA GİMSA AVM TİCKET</t>
  </si>
  <si>
    <t>181.226.004</t>
  </si>
  <si>
    <t>ANKARA GİMSA AVM SETCARD</t>
  </si>
  <si>
    <t>181.226.005</t>
  </si>
  <si>
    <t>ANKARA GİMSA AVM METROPOL</t>
  </si>
  <si>
    <t>181.226.006</t>
  </si>
  <si>
    <t>ANKARA GİMSA AVM PAYECARD</t>
  </si>
  <si>
    <t>181.227</t>
  </si>
  <si>
    <t>BURSA FSM DELUXE GELİR TAHAKKUKLARI</t>
  </si>
  <si>
    <t>181.227.001</t>
  </si>
  <si>
    <t>BURSA FSM DELUXE MULTİNET</t>
  </si>
  <si>
    <t>181.227.002</t>
  </si>
  <si>
    <t>BURSA FSM DELUXE SODEXO</t>
  </si>
  <si>
    <t>181.227.003</t>
  </si>
  <si>
    <t>BURSA FSM DELUXE TİCKET</t>
  </si>
  <si>
    <t>181.227.004</t>
  </si>
  <si>
    <t>BURSA FSM DELUXE SETCARD</t>
  </si>
  <si>
    <t>181.227.005</t>
  </si>
  <si>
    <t>BURSA FSM DELUXE METROPOL</t>
  </si>
  <si>
    <t>191.005</t>
  </si>
  <si>
    <t>ALIŞLARDA ÖDENEN KDV</t>
  </si>
  <si>
    <t>191.005.001</t>
  </si>
  <si>
    <t>% 1 İNDİRİLECEK KDV.</t>
  </si>
  <si>
    <t>191.005.008</t>
  </si>
  <si>
    <t>% 10 İNDİRİLECEK KDV.</t>
  </si>
  <si>
    <t>191.005.018</t>
  </si>
  <si>
    <t>%20 İNDİRİLECEK KDV.</t>
  </si>
  <si>
    <t>191.010</t>
  </si>
  <si>
    <t>SATIŞLARDAN İADE ALINAN KDV HESABI</t>
  </si>
  <si>
    <t>191.010.001</t>
  </si>
  <si>
    <t>%01 SATIŞLARDAN İADE AL.KDV</t>
  </si>
  <si>
    <t>191.010.008</t>
  </si>
  <si>
    <t>%10 SATIŞLARDAN İADE AL.KDV</t>
  </si>
  <si>
    <t>191.010.018</t>
  </si>
  <si>
    <t>%20 SATIŞLARDAN İADE AL.KDV</t>
  </si>
  <si>
    <t>191.011</t>
  </si>
  <si>
    <t>SATIŞLARDAN İADE ALINAN FİYAT FARKI  KDV HESABI</t>
  </si>
  <si>
    <t>191.011.001</t>
  </si>
  <si>
    <t>%01 SATIŞLARDAN İADE FİYAT FARKI KDV</t>
  </si>
  <si>
    <t>191.011.018</t>
  </si>
  <si>
    <t>%20 SATIŞLARDAN İADE FARKI KDV</t>
  </si>
  <si>
    <t>191.012</t>
  </si>
  <si>
    <t>S.S TEVKİFATLI İNDİRİLECEK KDV</t>
  </si>
  <si>
    <t>191.012.001</t>
  </si>
  <si>
    <t>193.005</t>
  </si>
  <si>
    <t>PEŞİN ÖDENEN VERGİ VE FONLAR</t>
  </si>
  <si>
    <t>193.005.215</t>
  </si>
  <si>
    <t>K. GEÇİCİ VERGİ</t>
  </si>
  <si>
    <t>193.006</t>
  </si>
  <si>
    <t>VIOP PEŞİN ÖDENEN VERGİ VE FONLAR</t>
  </si>
  <si>
    <t>193.006.002</t>
  </si>
  <si>
    <t>İŞ YATIRIM PEŞİN ÖDENEN VERGİ VE FONLAR</t>
  </si>
  <si>
    <t>193.010</t>
  </si>
  <si>
    <t>MEVDUAT PEŞİN ÖDENEN VERGİ VE FONLAR</t>
  </si>
  <si>
    <t>193.010.001</t>
  </si>
  <si>
    <t>GARANTİ BANKASI  PEŞİN ÖDENEN VERGİ VE FONLAR</t>
  </si>
  <si>
    <t>193.010.002</t>
  </si>
  <si>
    <t>YAPIKREDİ BANKASI  PEŞİN ÖDENEN VERGİ VE FONLAR</t>
  </si>
  <si>
    <t>193.010.003</t>
  </si>
  <si>
    <t>İŞ BANKASI PEŞİN ÖDENEN VERGİ VE FONLAR</t>
  </si>
  <si>
    <t>193.010.007</t>
  </si>
  <si>
    <t>AKBANK  PEŞİN ÖDENEN VERGİ VE FONLAR</t>
  </si>
  <si>
    <t>193.010.009</t>
  </si>
  <si>
    <t>QNB FİNANSBANK  PEŞİN ÖDENEN VERGİ VE FONLAR</t>
  </si>
  <si>
    <t>193.010.010</t>
  </si>
  <si>
    <t>VAKIFBANK  PEŞİN ÖDENEN VERGİ VE FONLAR</t>
  </si>
  <si>
    <t>193.010.012</t>
  </si>
  <si>
    <t>ZİRAAT BANKASI PEŞİN ÖDENEN VERGİ VE FONLAR</t>
  </si>
  <si>
    <t>193.010.014</t>
  </si>
  <si>
    <t>HALKBANK PEŞİN ÖDENEN VERGİ VE FONLAR</t>
  </si>
  <si>
    <t>195.001</t>
  </si>
  <si>
    <t>195.001.001</t>
  </si>
  <si>
    <t>PERSONEL İŞ AVANSLARI</t>
  </si>
  <si>
    <t>196.200</t>
  </si>
  <si>
    <t>PERSONEL AVASLARI</t>
  </si>
  <si>
    <t>196.200.001</t>
  </si>
  <si>
    <t>MERKEZ,ŞUBELER VE ŞEKERPINAR PERSONEL MAAŞ AVANSLARI</t>
  </si>
  <si>
    <t>196.200.002</t>
  </si>
  <si>
    <t>YEMEK ÇEKİ VE YAN HAK KESİNTİLERİ</t>
  </si>
  <si>
    <t>196.200.003</t>
  </si>
  <si>
    <t>PERSONEL DİĞER HAKLAR (A101/ÇİKOLATA)</t>
  </si>
  <si>
    <t>196.200.004</t>
  </si>
  <si>
    <t>PERSONEL TRAFİK CEZALARI</t>
  </si>
  <si>
    <t>196.200.005</t>
  </si>
  <si>
    <t>PERSONEL ÖZEL SAĞLIK VE FERDİ KAZA POLİÇELERİ</t>
  </si>
  <si>
    <t>196.200.008</t>
  </si>
  <si>
    <t>PERSONEL İŞ AVANSI KESİNTİLERİ</t>
  </si>
  <si>
    <t>196.200.009</t>
  </si>
  <si>
    <t>PERSONEL ZİMMET KESİNTİLERİ</t>
  </si>
  <si>
    <t>196.200.011</t>
  </si>
  <si>
    <t>PERSONEL İZİN KARŞILIĞI MAAŞ KESİNTİ</t>
  </si>
  <si>
    <t>196.200.013</t>
  </si>
  <si>
    <t>EK KESİNTİ</t>
  </si>
  <si>
    <t>196.200.014</t>
  </si>
  <si>
    <t>PERSONEL TAŞINMA YARDIMI</t>
  </si>
  <si>
    <t>196.200.015</t>
  </si>
  <si>
    <t>PERSONEL ZİMMET ÖDEMESİ</t>
  </si>
  <si>
    <t>196.200.018</t>
  </si>
  <si>
    <t>PERSONEL CEP TELEFONU KESİNTİSİ</t>
  </si>
  <si>
    <t>196.200.020</t>
  </si>
  <si>
    <t>PERSONEL EĞİTİM KESİNTİSİ</t>
  </si>
  <si>
    <t>198.002</t>
  </si>
  <si>
    <t>YANSITILACAK HARCAMALAR</t>
  </si>
  <si>
    <t>198.002.001</t>
  </si>
  <si>
    <t>226.001</t>
  </si>
  <si>
    <t>226.001.001</t>
  </si>
  <si>
    <t>226.001.002</t>
  </si>
  <si>
    <t>VERİLEN DEPOZİTO VE TEMİNATLAR (ÇEK KARŞILIĞI)</t>
  </si>
  <si>
    <t>232.001</t>
  </si>
  <si>
    <t>232.001.001</t>
  </si>
  <si>
    <t>GAGAWA LLC</t>
  </si>
  <si>
    <t>232.001.004</t>
  </si>
  <si>
    <t>GGAWA SPAIN S.L.</t>
  </si>
  <si>
    <t>232.001.005</t>
  </si>
  <si>
    <t>GAGAWA INC</t>
  </si>
  <si>
    <t>232.001.006</t>
  </si>
  <si>
    <t>FAT FİNGER A.Ş.</t>
  </si>
  <si>
    <t>232.001.007</t>
  </si>
  <si>
    <t>GAGAWA GERMANY</t>
  </si>
  <si>
    <t>245.001</t>
  </si>
  <si>
    <t>245.001.006</t>
  </si>
  <si>
    <t>GAGAWA SPAIN S.L</t>
  </si>
  <si>
    <t>245.001.007</t>
  </si>
  <si>
    <t>245.001.008</t>
  </si>
  <si>
    <t>FAT FINGER</t>
  </si>
  <si>
    <t>245.001.009</t>
  </si>
  <si>
    <t>GAGAWA FRANCE</t>
  </si>
  <si>
    <t>245.001.010</t>
  </si>
  <si>
    <t>245.001.900</t>
  </si>
  <si>
    <t>BAĞLI ORTAKLIKLAR ENFLASYON DÜZELTME HESABI GAGAWA SPAIN S.L</t>
  </si>
  <si>
    <t>245.001.901</t>
  </si>
  <si>
    <t>BAĞLI ORTAKLIKLAR ENFLASYON DÜZELTME HESABI GAGAWA INC</t>
  </si>
  <si>
    <t>245.001.902</t>
  </si>
  <si>
    <t>BAĞLI ORTAKLIKLAR ENFLASYON DÜZELTME HESABI FAT FİNGER</t>
  </si>
  <si>
    <t>245.001.903</t>
  </si>
  <si>
    <t>BAĞLI ORTAKLIKLAR ENFLASYON DÜZELTME HESABI GAGAWA FRANCE</t>
  </si>
  <si>
    <t>245.001.904</t>
  </si>
  <si>
    <t>BAĞLI ORTAKLIKLAR ENFLASYON DÜZELTME HESABI GAGAWA GERMANY</t>
  </si>
  <si>
    <t>252.005</t>
  </si>
  <si>
    <t>252.005.730</t>
  </si>
  <si>
    <t>ANKARA FABRİKA</t>
  </si>
  <si>
    <t>252.005.900</t>
  </si>
  <si>
    <t>BİNALAR ENFLASYON DÜZELTME FARKI HESABI</t>
  </si>
  <si>
    <t>253.005</t>
  </si>
  <si>
    <t>253.005.730</t>
  </si>
  <si>
    <t>TESİS, MAKİNE VE CİHAZLAR İMALAT</t>
  </si>
  <si>
    <t>253.005.760</t>
  </si>
  <si>
    <t>TESİS, MAKİNE VE CİHAZLAR ŞUBELER</t>
  </si>
  <si>
    <t>253.005.770</t>
  </si>
  <si>
    <t>TESİS, MAKİNE VE CİHAZLAR MERKEZ OFİS</t>
  </si>
  <si>
    <t>253.005.900</t>
  </si>
  <si>
    <t>TESİS, MAKİNE VE CİHAZLAR ENFLASYON DÜZELTME FARKI HESABI</t>
  </si>
  <si>
    <t>253.503</t>
  </si>
  <si>
    <t>253.503.760</t>
  </si>
  <si>
    <t>İZMİR OPTIMUM TESİS, MAKİNE VE CİHAZLAR</t>
  </si>
  <si>
    <t>254.770</t>
  </si>
  <si>
    <t>254.770.001</t>
  </si>
  <si>
    <t>BİNEK OTOLAR</t>
  </si>
  <si>
    <t>254.770.900</t>
  </si>
  <si>
    <t>TAŞITLAR ENFLASYON DÜZELTME HESABI</t>
  </si>
  <si>
    <t>255.001</t>
  </si>
  <si>
    <t>BİLGİ İŞLEM DEMİRBAŞLAR</t>
  </si>
  <si>
    <t>255.001.002</t>
  </si>
  <si>
    <t>DEMİRBAŞLAR MERKEZ PAZARLANA</t>
  </si>
  <si>
    <t>255.005</t>
  </si>
  <si>
    <t>255.005.730</t>
  </si>
  <si>
    <t>DEMİRBAŞLAR İMALAT</t>
  </si>
  <si>
    <t>255.005.760</t>
  </si>
  <si>
    <t>DEMİRBAŞLAR ŞUBELER</t>
  </si>
  <si>
    <t>255.005.770</t>
  </si>
  <si>
    <t>DEMİRBAŞLAR MERKEZ OFİS</t>
  </si>
  <si>
    <t>255.005.900</t>
  </si>
  <si>
    <t>DEMİRBAŞLAR ENFLASYON DÜZELTME FARKLARI</t>
  </si>
  <si>
    <t>255.502</t>
  </si>
  <si>
    <t>255.502.760</t>
  </si>
  <si>
    <t>KEREM RESTAURANT DEMİRBAŞLAR</t>
  </si>
  <si>
    <t>255.503</t>
  </si>
  <si>
    <t>255.503.760</t>
  </si>
  <si>
    <t>İZMİR OPTIMUM  DEMİRBAŞLAR</t>
  </si>
  <si>
    <t>255.504</t>
  </si>
  <si>
    <t>255.504.760</t>
  </si>
  <si>
    <t>FARALİA TURİZM DEMİRBAŞLAR</t>
  </si>
  <si>
    <t>257.010</t>
  </si>
  <si>
    <t>BİRİKMİŞ AMORTİSMANLAR</t>
  </si>
  <si>
    <t>257.010.252</t>
  </si>
  <si>
    <t>BİNALAR AMORTİSMANI</t>
  </si>
  <si>
    <t>257.010.253</t>
  </si>
  <si>
    <t>MAKİNE VE CİHAZLAR AMORTİSMANI</t>
  </si>
  <si>
    <t>257.010.254</t>
  </si>
  <si>
    <t>257.010.255</t>
  </si>
  <si>
    <t>257.010.900</t>
  </si>
  <si>
    <t>BİRİKMİŞ AMORTİSMANLAR ENFLASYON DÜZELTME HESABI</t>
  </si>
  <si>
    <t>257.502</t>
  </si>
  <si>
    <t>257.502.255</t>
  </si>
  <si>
    <t>KEREM RESTAURANT BİRİKMİŞ AMORTİSMANLAR DEMİRBAŞLAR</t>
  </si>
  <si>
    <t>257.503</t>
  </si>
  <si>
    <t>257.503.253</t>
  </si>
  <si>
    <t>İZMİR OPTİMUM BİRİKMİŞ AMORTİSMANLAR TESİS MAKİNE CİHAZ</t>
  </si>
  <si>
    <t>257.503.255</t>
  </si>
  <si>
    <t>İZMİR OPTİMUM BİRİKMİŞ AMORTİSMANLAR DEMİRBAŞLAR</t>
  </si>
  <si>
    <t>257.504</t>
  </si>
  <si>
    <t>257.504.255</t>
  </si>
  <si>
    <t>FARALİA TURİZM BİRİKMİŞ AMORTİSMANLAR DEMİRBAŞLAR</t>
  </si>
  <si>
    <t>258.003</t>
  </si>
  <si>
    <t>258.003.250</t>
  </si>
  <si>
    <t>YAPILMAKTA OLAN YATIRIMLAR - ARSALAR</t>
  </si>
  <si>
    <t>258.003.252</t>
  </si>
  <si>
    <t xml:space="preserve">YAPILMAKTA OLAN YATIRIMLAR - BİNALAR </t>
  </si>
  <si>
    <t>258.003.253</t>
  </si>
  <si>
    <t>YAPILMAKTA OLAN YATIRIMLAR - TESİS, MAKİNE VE CİHAZLAR</t>
  </si>
  <si>
    <t>258.003.254</t>
  </si>
  <si>
    <t xml:space="preserve">YAPILMAKTA OLAN YATIRIMLAR - TAŞITLAR
</t>
  </si>
  <si>
    <t>258.003.255</t>
  </si>
  <si>
    <t>YAPILMAKTA OLAN YATIRIMLAR - DEMİRBAŞLAR</t>
  </si>
  <si>
    <t>258.003.260</t>
  </si>
  <si>
    <t>YAPILMAKTA OLAN YATIRIMLAR - HAKLAR</t>
  </si>
  <si>
    <t>258.003.261</t>
  </si>
  <si>
    <t>YAPILMAKTA OLAN YATIRIMLAR - ŞEREFİYE</t>
  </si>
  <si>
    <t>258.003.264</t>
  </si>
  <si>
    <t>YAPILMAKTA OLAN YATIRIMLAR - ÖZEL MALİYETLER</t>
  </si>
  <si>
    <t>258.003.900</t>
  </si>
  <si>
    <t>YAPILMAKTA OLAN YATIRIMLAR ENFLASYON DÜZELTME HESABI</t>
  </si>
  <si>
    <t>258.007</t>
  </si>
  <si>
    <t>İNŞAAT BÜTÇE DIŞI</t>
  </si>
  <si>
    <t>258.007.001</t>
  </si>
  <si>
    <t>İNŞAAT BÜTÇE DIŞI HARCAMALAR</t>
  </si>
  <si>
    <t>258.007.255</t>
  </si>
  <si>
    <t>İNŞAAT BÜTÇE DIŞI HARCAMALAR DEMİRBAŞLAR</t>
  </si>
  <si>
    <t>258.007.260</t>
  </si>
  <si>
    <t>İNŞAAT BÜTÇE DIŞI HARCAMALAR HAKLAR</t>
  </si>
  <si>
    <t>258.008</t>
  </si>
  <si>
    <t>ŞUBE PERİYODİK BAKIM</t>
  </si>
  <si>
    <t>258.008.700</t>
  </si>
  <si>
    <t>259.001</t>
  </si>
  <si>
    <t>259.001.002</t>
  </si>
  <si>
    <t>ANKARA ÜRETİM VERİLEN AVANSLAR</t>
  </si>
  <si>
    <t>259.001.005</t>
  </si>
  <si>
    <t>ŞUBE ALIM AVANSLARI</t>
  </si>
  <si>
    <t>259.001.900</t>
  </si>
  <si>
    <t>VERİLEN AVANSLAR ENFLASYON DÜZELTME HESABI</t>
  </si>
  <si>
    <t>259.100</t>
  </si>
  <si>
    <t>259.100.001</t>
  </si>
  <si>
    <t>İNŞAATLAR İÇİN VERİLEN SİPARİŞ AVANSLARI (ŞUBELERİMİZ)</t>
  </si>
  <si>
    <t>259.100.002</t>
  </si>
  <si>
    <t>İNŞAATLAR İÇİN VERİLEN SİPARİŞ AVANSLARI (BAYİLER)</t>
  </si>
  <si>
    <t>260.005</t>
  </si>
  <si>
    <t>260.005.730</t>
  </si>
  <si>
    <t>HAKLAR İMALAT</t>
  </si>
  <si>
    <t>260.005.760</t>
  </si>
  <si>
    <t>HAKLAR ŞUBELER</t>
  </si>
  <si>
    <t>260.005.770</t>
  </si>
  <si>
    <t>HAKLAR MERKEZ</t>
  </si>
  <si>
    <t>260.005.900</t>
  </si>
  <si>
    <t>HAKLAR ENFLASYON DÜZELTME HESABI</t>
  </si>
  <si>
    <t>261.005</t>
  </si>
  <si>
    <t>261.005.044</t>
  </si>
  <si>
    <t>ŞEREFİYE BEDELLERİ</t>
  </si>
  <si>
    <t>261.005.045</t>
  </si>
  <si>
    <t xml:space="preserve">ARENAPARK ŞEREFİYE </t>
  </si>
  <si>
    <t>261.005.900</t>
  </si>
  <si>
    <t>ŞEREFİYE ENFLASYON DÜZELTME HESABI</t>
  </si>
  <si>
    <t>262.005</t>
  </si>
  <si>
    <t>262.005.760</t>
  </si>
  <si>
    <t>KURULUŞ VE ÖRGÜTLENME GİDERLERİ ŞUBELER</t>
  </si>
  <si>
    <t>262.005.770</t>
  </si>
  <si>
    <t>KURULUŞ VE ÖRGÜTLENME GİDERLERİ MERKEZ</t>
  </si>
  <si>
    <t>262.005.900</t>
  </si>
  <si>
    <t>KURULUŞ VE ÖRGÜTLENME GİDERLERİ ENFLASYON DÜZELTME HESABI</t>
  </si>
  <si>
    <t>264.005</t>
  </si>
  <si>
    <t>264.005.760</t>
  </si>
  <si>
    <t>ÖZEL MALİYETLER ŞUBELER</t>
  </si>
  <si>
    <t>264.005.770</t>
  </si>
  <si>
    <t>ÖZEL MALİYETLER MERKEZ OFİS</t>
  </si>
  <si>
    <t>264.005.900</t>
  </si>
  <si>
    <t>ÖZEL MALİYETLER ENFLASYON DÜZELTME HESABI</t>
  </si>
  <si>
    <t>264.502</t>
  </si>
  <si>
    <t>264.502.760</t>
  </si>
  <si>
    <t>KEREM RESTAURANT ÖZEL MALİYETLER</t>
  </si>
  <si>
    <t>264.503</t>
  </si>
  <si>
    <t>264.503.760</t>
  </si>
  <si>
    <t>İZMİR OPTIMUM ÖZEL MALİYETLER</t>
  </si>
  <si>
    <t>264.504</t>
  </si>
  <si>
    <t>264.504.760</t>
  </si>
  <si>
    <t>FARALİA TURİZM ÖZEL MALİYETLER</t>
  </si>
  <si>
    <t>268.005</t>
  </si>
  <si>
    <t>268.005.260</t>
  </si>
  <si>
    <t>268.005.261</t>
  </si>
  <si>
    <t>ŞEREFİYE AMORTİSMALARI</t>
  </si>
  <si>
    <t>268.005.262</t>
  </si>
  <si>
    <t>KURULUŞ VE ÖRGÜTLENME GİDERLERİ AMORTİSMANI</t>
  </si>
  <si>
    <t>268.005.264</t>
  </si>
  <si>
    <t>268.005.900</t>
  </si>
  <si>
    <t>BİRİKMİŞ AMORTİSMAN ENFLASYIN DÜZELTME HESABI</t>
  </si>
  <si>
    <t>268.502</t>
  </si>
  <si>
    <t>268.502.264</t>
  </si>
  <si>
    <t>KEREM RESTAURANT BİRİKMİŞ AMORTİSMANLAR ÖZEL MALİYETLER</t>
  </si>
  <si>
    <t>268.503</t>
  </si>
  <si>
    <t>268.503.264</t>
  </si>
  <si>
    <t>İZMİR OPTIMUM BİRİKMİŞ AMORTİSMANLAR ÖZEL MALİYETLER</t>
  </si>
  <si>
    <t>268.504</t>
  </si>
  <si>
    <t>268.504.264</t>
  </si>
  <si>
    <t>FARALİA TURİZM BİRİKMİŞ AMORTİSMANLAR ÖZEL MALİYETLER</t>
  </si>
  <si>
    <t>280.005</t>
  </si>
  <si>
    <t>280.005.005</t>
  </si>
  <si>
    <t>300.005</t>
  </si>
  <si>
    <t>300.005.002</t>
  </si>
  <si>
    <t>YAPI VE  KREDİ BANKASI DBS KREDİSİ</t>
  </si>
  <si>
    <t>300.005.004</t>
  </si>
  <si>
    <t>GARANTİ BANKASI DBS KREDİSİ</t>
  </si>
  <si>
    <t>300.005.010</t>
  </si>
  <si>
    <t>QNB FİNANSBANK  DBS KREDİSİ</t>
  </si>
  <si>
    <t>300.005.040</t>
  </si>
  <si>
    <t>GARANTİ BANKASI ROTATİF KREDİ</t>
  </si>
  <si>
    <t>300.005.047</t>
  </si>
  <si>
    <t>DOĞAN YATIRIM BANKASI ROTATİF KREDİ</t>
  </si>
  <si>
    <t>300.005.056</t>
  </si>
  <si>
    <t>INGBANK ROTATİF KREDİ</t>
  </si>
  <si>
    <t>300.005.061</t>
  </si>
  <si>
    <t>HALKBANK  ROTATİF KREDİ</t>
  </si>
  <si>
    <t>300.005.078</t>
  </si>
  <si>
    <t>VAKIFBANK İSTİHDAM TAKSİTLİ ODAKLI İŞLETME KREDİSİ</t>
  </si>
  <si>
    <t>300.005.115</t>
  </si>
  <si>
    <t>QNB FİNANSBANK 13.700.000 TL KREDİ</t>
  </si>
  <si>
    <t>300.005.120</t>
  </si>
  <si>
    <t>QNB FİNANSBANK 8.000.000 TL TAKSİTLİ KREDİ</t>
  </si>
  <si>
    <t>300.005.129</t>
  </si>
  <si>
    <t>İŞ BANKASI TAKSİTLİ KREDİ 5M</t>
  </si>
  <si>
    <t>300.005.130</t>
  </si>
  <si>
    <t>İŞ BANKASI TAKSİTLİ KREDİ OCTAVİA</t>
  </si>
  <si>
    <t>300.005.134</t>
  </si>
  <si>
    <t>ALBARAKA TÜRK KATILIM BANKASI AROLEZ TAKSİTLİ KREDİ (1133-341782)</t>
  </si>
  <si>
    <t>300.005.137</t>
  </si>
  <si>
    <t>İŞ BANKASI TAKSİTLİ KREDİ (9 M)</t>
  </si>
  <si>
    <t>300.005.139</t>
  </si>
  <si>
    <t>QNB FİNANSBANK TAKSİTLİ TİCARİ KREDİ 3.500.000 TL</t>
  </si>
  <si>
    <t>300.005.140</t>
  </si>
  <si>
    <t>QNB FİNANSBANK TAKSİTLİ TİCARİ KREDİ 9.500.000 TL</t>
  </si>
  <si>
    <t>300.005.151</t>
  </si>
  <si>
    <t>AKBANK TAKSİTLİ ARAÇ KREDİSİ 3 ADET KONA</t>
  </si>
  <si>
    <t>300.005.155</t>
  </si>
  <si>
    <t>DOĞAN YATIRIM BANKASI 00100-LO-23061401210 REFERANSLI KREDI TESISI 60M</t>
  </si>
  <si>
    <t>300.005.157</t>
  </si>
  <si>
    <t>ZİRAAT BANKASI 5.000.000 TL ÇEK KARŞILIĞI ROTATİF KREDİ</t>
  </si>
  <si>
    <t>300.005.158</t>
  </si>
  <si>
    <t>ZİRAAT BANKASI 73153364-1051 2.000.000 TL KREDI KULLANDIRIM</t>
  </si>
  <si>
    <t>300.005.160</t>
  </si>
  <si>
    <t>EMLAKKATILIM GEDİK TAVUKÇULUK KREDİSİ</t>
  </si>
  <si>
    <t>300.005.161</t>
  </si>
  <si>
    <t>QNB FİNANSBANK KREDİ 74306/10M</t>
  </si>
  <si>
    <t>300.005.162</t>
  </si>
  <si>
    <t>QNB FİNANSBANK KREDİ 74307/10M</t>
  </si>
  <si>
    <t>300.005.163</t>
  </si>
  <si>
    <t>VAKIFBANK KREDİ ROTATİF 2,9M</t>
  </si>
  <si>
    <t>300.005.164</t>
  </si>
  <si>
    <t>AKBANK SPOT KREDİ 15M</t>
  </si>
  <si>
    <t>300.005.165</t>
  </si>
  <si>
    <t>İŞ BANKASI SPOT KREDİ 7.5M</t>
  </si>
  <si>
    <t>300.005.166</t>
  </si>
  <si>
    <t>TEB KREDİ 118495998 / 10 M</t>
  </si>
  <si>
    <t>300.005.168</t>
  </si>
  <si>
    <t>TEB KREDİ 118582106 / 5 M</t>
  </si>
  <si>
    <t>300.005.169</t>
  </si>
  <si>
    <t>EMLAK KATILIM KREDİ 5M(GEDİK PİLİÇ)</t>
  </si>
  <si>
    <t>300.005.170</t>
  </si>
  <si>
    <t>ALBARAKA KREDİ 4M(GEDİK PİLİÇ)</t>
  </si>
  <si>
    <t>300.005.171</t>
  </si>
  <si>
    <t>EMLAK KATILIM KREDİ 2,5M(GEDİK PİLİÇ)</t>
  </si>
  <si>
    <t>300.005.172</t>
  </si>
  <si>
    <t>KUVEYTTÜRK KREDİ 9,3M(GEDİK TAVUKÇULUK)</t>
  </si>
  <si>
    <t>300.005.173</t>
  </si>
  <si>
    <t>BURGANBANK 10M ROTATİF KREDİ</t>
  </si>
  <si>
    <t>300.005.174</t>
  </si>
  <si>
    <t>QNB FİNANSBANK KREDİ 190M</t>
  </si>
  <si>
    <t>300.005.175</t>
  </si>
  <si>
    <t>GARANTİ BANKASI ARAÇ KREDİSİ 46M</t>
  </si>
  <si>
    <t>300.005.176</t>
  </si>
  <si>
    <t>ALBARAKA KREDİ (GEDİK PİLİÇ) 9M</t>
  </si>
  <si>
    <t>300.005.177</t>
  </si>
  <si>
    <t>TEB KREDİ 12739217 / 2.5 M</t>
  </si>
  <si>
    <t>300.005.178</t>
  </si>
  <si>
    <t>FİBABANKA KREDİ 24052787930 / 20 M</t>
  </si>
  <si>
    <t>300.005.179</t>
  </si>
  <si>
    <t>VAKIFBANK KREDİ 6500898631 / 12.1 M</t>
  </si>
  <si>
    <t>300.005.180</t>
  </si>
  <si>
    <t>BURGANBANK 10M SPOT KREDİ</t>
  </si>
  <si>
    <t>300.005.181</t>
  </si>
  <si>
    <t>TÜRKİYE FİNANS KREDİ (6.1M)</t>
  </si>
  <si>
    <t>300.005.182</t>
  </si>
  <si>
    <t>FİBABANK KREDİ 15M</t>
  </si>
  <si>
    <t>300.005.183</t>
  </si>
  <si>
    <t>GARANTİ BANKASI KREDİ 53,3M</t>
  </si>
  <si>
    <t>309.001</t>
  </si>
  <si>
    <t>ŞİRKET KREDİ KARTLARI</t>
  </si>
  <si>
    <t>309.001.001</t>
  </si>
  <si>
    <t>GARANTİ BANKASI ŞİRKET KREDİ KARTI 2017 (İ.ŞENEL)</t>
  </si>
  <si>
    <t>309.001.003</t>
  </si>
  <si>
    <t>GARANTİ BANKASI ŞİRKET KREDİ KARTI 0028-3013 (LATİF A)</t>
  </si>
  <si>
    <t>309.001.006</t>
  </si>
  <si>
    <t>GARANTİ BANKASI ŞİRKET KREDİ KARTI 1016-7019 (V.MUMCU)</t>
  </si>
  <si>
    <t>309.001.007</t>
  </si>
  <si>
    <t>GARANTİ BANKASI ŞİRKET KREDİ KARTI 1013 (ARDA CİNGÖZ)</t>
  </si>
  <si>
    <t>309.001.011</t>
  </si>
  <si>
    <t>GARANTİ BANKASI ŞİRKET KREDİ KARTI AMEX 2016 (V.MUMCU)</t>
  </si>
  <si>
    <t>309.001.012</t>
  </si>
  <si>
    <t>GARANTİ BANKASI ŞİRKET KREDİ KARTI 5013 (ERHAN KARAKOÇ)</t>
  </si>
  <si>
    <t>309.001.013</t>
  </si>
  <si>
    <t>GARANTİ BANKASI ŞİRKET KREDİ KARTI 6011 (EBRU ANILDI)</t>
  </si>
  <si>
    <t>309.001.014</t>
  </si>
  <si>
    <t>GARANTİ BANKASI ŞİRKET KREDİ KARTI 7011 (EMİN BADEM)</t>
  </si>
  <si>
    <t>309.001.015</t>
  </si>
  <si>
    <t>GARANTİ BANKASI ŞİRKET KREDİ KARTI 6018 (CEYLAN ÖZMEN)</t>
  </si>
  <si>
    <t>309.001.016</t>
  </si>
  <si>
    <t>GARANTİ BANKASI ŞİRKET KREDİ KARTI 3010 (FUNDA TOPAL)</t>
  </si>
  <si>
    <t>309.001.018</t>
  </si>
  <si>
    <t>GARANTİ BANKASI ŞİRKET KREDİ KARTI AMEX 019 (ARDA CİNGÖZ)</t>
  </si>
  <si>
    <t>309.001.019</t>
  </si>
  <si>
    <t>GARANTİ BANKASI ŞİRKET KREDİ KARTI 3018 (MÜRŞİT AKKAYA)</t>
  </si>
  <si>
    <t>309.001.020</t>
  </si>
  <si>
    <t>GARANTİ BANKASI ŞİRKET KREDİ KARTI 3026 (DORUK MANZAK)</t>
  </si>
  <si>
    <t>309.001.021</t>
  </si>
  <si>
    <t>GARANTİ BANKASI ŞİRKET KREDİ KARTI 6016 (ERHAN KARAKOÇ)</t>
  </si>
  <si>
    <t>309.001.022</t>
  </si>
  <si>
    <t>GARANTİ BANKASI ŞİRKET KREDİ KARTI 023 AMEX (DORUK MANZAK)</t>
  </si>
  <si>
    <t>309.001.023</t>
  </si>
  <si>
    <t>GARANTİ BANKASI ŞİRKET KREDİ KARTI 3023 (DORUK MANZAK)</t>
  </si>
  <si>
    <t>309.001.024</t>
  </si>
  <si>
    <t>GARANTİ BANKASI ŞİRKET KREDİ KARTI 3015 (MÜRŞİT AKKAYA)</t>
  </si>
  <si>
    <t>309.001.025</t>
  </si>
  <si>
    <t>GARANTİ BANKASI ŞİRKET KREDİ KARTI 0039  (CEYLAN ÖZMEN)</t>
  </si>
  <si>
    <t>320.005</t>
  </si>
  <si>
    <t>SATICILAR HESABI</t>
  </si>
  <si>
    <t>320.005.005</t>
  </si>
  <si>
    <t>AVM TEDARİKÇİLER</t>
  </si>
  <si>
    <t>MERKEZ TEDARİKÇİLER</t>
  </si>
  <si>
    <t>320.005.015</t>
  </si>
  <si>
    <t>ŞUBE TEDARİKÇİLER</t>
  </si>
  <si>
    <t>321.001</t>
  </si>
  <si>
    <t>321.001.001</t>
  </si>
  <si>
    <t>VADESİ GELMEYEN VERİLEN ÇEKLER</t>
  </si>
  <si>
    <t>326.001</t>
  </si>
  <si>
    <t>326.001.004</t>
  </si>
  <si>
    <t>NOBLE AMBALAJ TEMİNAT</t>
  </si>
  <si>
    <t>329.001</t>
  </si>
  <si>
    <t>329.001.001</t>
  </si>
  <si>
    <t>DÜKKAN ALIŞ</t>
  </si>
  <si>
    <t>329.503</t>
  </si>
  <si>
    <t>DİĞER TİCARİ BORÇLAR</t>
  </si>
  <si>
    <t>329.503.001</t>
  </si>
  <si>
    <t>İZMİR OPTİMUM DİĞER TİCARİ BORÇLAR</t>
  </si>
  <si>
    <t>335.005</t>
  </si>
  <si>
    <t>335.005.005</t>
  </si>
  <si>
    <t>MERKEZ PERSONELİ MAAŞ ÖDEMELERİ</t>
  </si>
  <si>
    <t>335.005.006</t>
  </si>
  <si>
    <t>MERKEZ PERSONELİ KIDEM İHBAR ÖDEMELERİ</t>
  </si>
  <si>
    <t>335.005.011</t>
  </si>
  <si>
    <t>ŞUBE PERSONELİ KIDEM İHBAR ÖDEMELERİ</t>
  </si>
  <si>
    <t>335.006</t>
  </si>
  <si>
    <t>MAAŞ KESİNTİLERİ</t>
  </si>
  <si>
    <t>335.006.001</t>
  </si>
  <si>
    <t>PERSONEL İCRA KESİNTİ ÖDEMELERİ</t>
  </si>
  <si>
    <t>336.005</t>
  </si>
  <si>
    <t>DİĞER TEDARİKÇİLER</t>
  </si>
  <si>
    <t>336.005.003</t>
  </si>
  <si>
    <t>ANKARA FABRİKA İNŞAAT TEDARİKÇİLERİ</t>
  </si>
  <si>
    <t>336.005.005</t>
  </si>
  <si>
    <t>ŞUBE YATIRIM TEDARİKÇİLERİ</t>
  </si>
  <si>
    <t>336.005.006</t>
  </si>
  <si>
    <t>İSTANBUL FABRİKA YATIRIM TEDARİKÇİLERİ</t>
  </si>
  <si>
    <t>336.100</t>
  </si>
  <si>
    <t>DİĞER ÇEŞİTLİ BORÇLAR</t>
  </si>
  <si>
    <t>336.100.001</t>
  </si>
  <si>
    <t>340.001</t>
  </si>
  <si>
    <t>340.001.001</t>
  </si>
  <si>
    <t>349.001</t>
  </si>
  <si>
    <t>349.001.001</t>
  </si>
  <si>
    <t>349.001.002</t>
  </si>
  <si>
    <t>ALINAN DİĞER AVANSLAR (TEDARİKÇİLER)</t>
  </si>
  <si>
    <t>349.001.003</t>
  </si>
  <si>
    <t>BAYİ İNŞAAT AVANSLARI</t>
  </si>
  <si>
    <t>360.001</t>
  </si>
  <si>
    <t>KATMA DEĞER VERGİSİ</t>
  </si>
  <si>
    <t>360.001.001</t>
  </si>
  <si>
    <t>ÖDENECEK KATMA DEĞER VERGİSİ KDV</t>
  </si>
  <si>
    <t>360.001.003</t>
  </si>
  <si>
    <t>S.S.İLE ÖDENECEK TEVKİF EDİLEN KDV</t>
  </si>
  <si>
    <t>360.002</t>
  </si>
  <si>
    <t>STOPAJ VERGİ</t>
  </si>
  <si>
    <t>360.002.001</t>
  </si>
  <si>
    <t>STOPAJ GELİR VERGİSİ</t>
  </si>
  <si>
    <t>360.002.002</t>
  </si>
  <si>
    <t>STOPAJ DAMGA VERGİSİ</t>
  </si>
  <si>
    <t>360.002.008</t>
  </si>
  <si>
    <t>YILLARA YAYGIN İNŞAAT İŞLERİ STOPAJI</t>
  </si>
  <si>
    <t>360.002.021</t>
  </si>
  <si>
    <t>STOPAJ GELİR VERGİSİ AVUKAT SMM, DANIŞMANLIK, DİĞER</t>
  </si>
  <si>
    <t>360.002.041</t>
  </si>
  <si>
    <t>STOPAJ GELİR VERGİSİ İŞYERİ KİRA</t>
  </si>
  <si>
    <t>360.003</t>
  </si>
  <si>
    <t>GERİ KAZANIM KATILIM PAYI</t>
  </si>
  <si>
    <t>360.003.001</t>
  </si>
  <si>
    <t>GERİ KAZANIM KATILIM PAYI VERGİSİ GEKAP</t>
  </si>
  <si>
    <t>360.004</t>
  </si>
  <si>
    <t>KURUMLAR VERGİSİ</t>
  </si>
  <si>
    <t>360.004.001</t>
  </si>
  <si>
    <t>360.005</t>
  </si>
  <si>
    <t>SÖZLEŞME DAMGA VERGİLERİ</t>
  </si>
  <si>
    <t>360.005.001</t>
  </si>
  <si>
    <t>360.007</t>
  </si>
  <si>
    <t>ÖDENECEK KURUM GEÇİCİ VERGİ</t>
  </si>
  <si>
    <t>360.007.001</t>
  </si>
  <si>
    <t>361.001</t>
  </si>
  <si>
    <t>ÖDENECEK SOSYAL GÜVENLİK PRİMLERİ</t>
  </si>
  <si>
    <t>361.001.001</t>
  </si>
  <si>
    <t>ÖDENECEK SGK PRİMLERİ</t>
  </si>
  <si>
    <t>361.001.002</t>
  </si>
  <si>
    <t>ÖDENECEK SOSYAL GÜVENLİK DESTEKLEME PRİMLERİ (SGDP)</t>
  </si>
  <si>
    <t>361.001.006</t>
  </si>
  <si>
    <t>ÖDENECEK İŞSİZLİK SİGORTASI</t>
  </si>
  <si>
    <t>369.001</t>
  </si>
  <si>
    <t>369.001.001</t>
  </si>
  <si>
    <t>BİREYSEL EMEKLİLİK (BES) KESİNTİLERİ</t>
  </si>
  <si>
    <t>370.005</t>
  </si>
  <si>
    <t>370.005.005</t>
  </si>
  <si>
    <t>371.005</t>
  </si>
  <si>
    <t>371.005.005</t>
  </si>
  <si>
    <t>PEŞİN VERGİ</t>
  </si>
  <si>
    <t>379.001</t>
  </si>
  <si>
    <t>379.001.001</t>
  </si>
  <si>
    <t>GİDER KARŞILIKLARI</t>
  </si>
  <si>
    <t>379.001.003</t>
  </si>
  <si>
    <t>DİĞER GİDER KARŞILIKLARI</t>
  </si>
  <si>
    <t>379.001.004</t>
  </si>
  <si>
    <t>ÜCRET PRİM GİDER KARŞILIKLARI</t>
  </si>
  <si>
    <t>379.001.005</t>
  </si>
  <si>
    <t>BAYİ İNŞAAT HARCAMALARI  GİDER KARŞILIKLARI</t>
  </si>
  <si>
    <t>379.200</t>
  </si>
  <si>
    <t>AVM GİDER KARŞILIKLARI</t>
  </si>
  <si>
    <t>379.200.002</t>
  </si>
  <si>
    <t>AVM CİRO KİRA KARŞILIKLARI</t>
  </si>
  <si>
    <t>379.200.003</t>
  </si>
  <si>
    <t>AVM ORTAK ALAN KARŞILIKLARI</t>
  </si>
  <si>
    <t>379.200.004</t>
  </si>
  <si>
    <t>AVM ELEKTRİK KARŞILIKLARI</t>
  </si>
  <si>
    <t>379.200.005</t>
  </si>
  <si>
    <t>AVM SU KARŞILIKLARI</t>
  </si>
  <si>
    <t>379.200.006</t>
  </si>
  <si>
    <t>FRANCHİSE AVM KARŞILIKLARI</t>
  </si>
  <si>
    <t>379.200.007</t>
  </si>
  <si>
    <t>AVM DOĞALGAZ KARŞILIKLARI</t>
  </si>
  <si>
    <t>379.200.009</t>
  </si>
  <si>
    <t>YEMEK SEPETİ CÜZDAN GİDER KARŞILIKLARI</t>
  </si>
  <si>
    <t>379.200.011</t>
  </si>
  <si>
    <t>AVM DEPO KARŞILIKLARI</t>
  </si>
  <si>
    <t>379.200.012</t>
  </si>
  <si>
    <t>TRENDYOL GİDER KARŞILIKLARI-TANZİM</t>
  </si>
  <si>
    <t>379.201</t>
  </si>
  <si>
    <t>MERKEZ GİDER KARŞILIKLARI</t>
  </si>
  <si>
    <t>379.201.001</t>
  </si>
  <si>
    <t>PAZARLAMA GİDER KARŞILIKLARI</t>
  </si>
  <si>
    <t>379.201.005</t>
  </si>
  <si>
    <t>DANIŞMANLIK HİZMET GİDERLER KARŞILIĞI</t>
  </si>
  <si>
    <t>379.201.011</t>
  </si>
  <si>
    <t>TRENDYOLGO-MULTİNET GİDER KARŞILIKLARI</t>
  </si>
  <si>
    <t>379.201.012</t>
  </si>
  <si>
    <t>TRENDYOLGO-EDENRED GİDER KARŞILIKLARI</t>
  </si>
  <si>
    <t>379.201.013</t>
  </si>
  <si>
    <t>TRENDYOLGO-SODEXO GİDER KARŞILIKLARI</t>
  </si>
  <si>
    <t>379.203</t>
  </si>
  <si>
    <t>ŞUBELER GİDER KARŞILIKLARI</t>
  </si>
  <si>
    <t>379.203.001</t>
  </si>
  <si>
    <t>SODEXO GİDER KARŞILIKLARI</t>
  </si>
  <si>
    <t>379.203.002</t>
  </si>
  <si>
    <t>TİCKET GİDER KARŞILIKLARI</t>
  </si>
  <si>
    <t>379.203.003</t>
  </si>
  <si>
    <t>MULTİNET GİDER KARŞILIKLARI</t>
  </si>
  <si>
    <t>379.203.004</t>
  </si>
  <si>
    <t>METROPOL GİDER KARŞILIKLARI</t>
  </si>
  <si>
    <t>379.203.005</t>
  </si>
  <si>
    <t>SETCARD GİDER KARŞILIKLARI</t>
  </si>
  <si>
    <t>379.203.006</t>
  </si>
  <si>
    <t>SOFRA KURUMSAL GİDER KARŞILIKLARI</t>
  </si>
  <si>
    <t>379.204</t>
  </si>
  <si>
    <t>379.204.001</t>
  </si>
  <si>
    <t>ŞUBELER SU KARŞILIK</t>
  </si>
  <si>
    <t>379.204.002</t>
  </si>
  <si>
    <t>ŞUBELER ELEKTRİK GİDER KARŞILIĞI</t>
  </si>
  <si>
    <t>379.204.003</t>
  </si>
  <si>
    <t>ŞUBELER DOĞALGAZ GİDER KARŞILIĞI</t>
  </si>
  <si>
    <t>379.204.005</t>
  </si>
  <si>
    <t>ŞUBELER AVM TAŞIMA KARŞILIKLARI</t>
  </si>
  <si>
    <t>379.204.006</t>
  </si>
  <si>
    <t>ŞUBELER SİGORTA GİDER KARŞILIĞI</t>
  </si>
  <si>
    <t>379.204.007</t>
  </si>
  <si>
    <t>ŞUBELER GÜVENLİK GİDER KARŞILIĞI</t>
  </si>
  <si>
    <t>380.001</t>
  </si>
  <si>
    <t>380.001.001</t>
  </si>
  <si>
    <t>380.001.900</t>
  </si>
  <si>
    <t>GELECEK AYLARA AİT GELİRLER ENFLASYON DÜZELTME HESABI</t>
  </si>
  <si>
    <t>380.002</t>
  </si>
  <si>
    <t>GELECEK AYLARA AİT GELİRLER YURTDIŞI</t>
  </si>
  <si>
    <t>380.002.001</t>
  </si>
  <si>
    <t>GELECEK AYLARA AİT GELİRLER KIBRIS</t>
  </si>
  <si>
    <t>380.003</t>
  </si>
  <si>
    <t>GELECEK AYLARA AİT GELİRLER - BAYİ İNŞAAT YANSITMA GELİRLERİ</t>
  </si>
  <si>
    <t>380.003.001</t>
  </si>
  <si>
    <t>BAYİ İNŞAAT YANSITMA GELİRLERİ</t>
  </si>
  <si>
    <t>381.005</t>
  </si>
  <si>
    <t>381.005.001</t>
  </si>
  <si>
    <t>DOĞAN YATIRIM GİDER KARŞILIKLARI</t>
  </si>
  <si>
    <t>381.005.015</t>
  </si>
  <si>
    <t>TÜRKİYE FİNANS GİDER KARŞILIKLARI</t>
  </si>
  <si>
    <t>381.005.016</t>
  </si>
  <si>
    <t>QNB FİNANS BANK GİDER KARŞILIKLARI</t>
  </si>
  <si>
    <t>381.005.060</t>
  </si>
  <si>
    <t>GARANTİ BANKASI GİDER KARŞILIKLARI</t>
  </si>
  <si>
    <t>381.005.061</t>
  </si>
  <si>
    <t>İŞ BANKASI GİDER KARŞILIKLARI</t>
  </si>
  <si>
    <t>381.005.063</t>
  </si>
  <si>
    <t>AKBANK GİDER KARŞILIKLARI</t>
  </si>
  <si>
    <t>381.005.064</t>
  </si>
  <si>
    <t>TÜRK EKONOMİ BANKASI TEB</t>
  </si>
  <si>
    <t>381.005.067</t>
  </si>
  <si>
    <t>GARANTİ BANKASI  (ARAÇ İÇİN KULLANILAN KREDİ)</t>
  </si>
  <si>
    <t>381.005.068</t>
  </si>
  <si>
    <t>ING BANK</t>
  </si>
  <si>
    <t>381.005.069</t>
  </si>
  <si>
    <t>VAKIFBANK GİDER KARŞILIKLARI</t>
  </si>
  <si>
    <t>381.005.070</t>
  </si>
  <si>
    <t>HALKBANK GİDER KARŞILIKLARI</t>
  </si>
  <si>
    <t>381.005.076</t>
  </si>
  <si>
    <t>ALBARAKA KATILIM BANKASI</t>
  </si>
  <si>
    <t>381.005.082</t>
  </si>
  <si>
    <t>FİBABANK  GİDER KARŞILIKLARI</t>
  </si>
  <si>
    <t>381.005.083</t>
  </si>
  <si>
    <t>ZİRAAT BANKASI GİDER KARŞILIKLARI</t>
  </si>
  <si>
    <t>381.005.086</t>
  </si>
  <si>
    <t>KUVEYTTÜRK GİDER KARŞILIKLARI</t>
  </si>
  <si>
    <t>381.005.087</t>
  </si>
  <si>
    <t>EMLAK KATILIM K GİDER KARŞILIKLARI</t>
  </si>
  <si>
    <t>381.005.089</t>
  </si>
  <si>
    <t>BURGANBANK  GİDER KARŞILIKLARI</t>
  </si>
  <si>
    <t>381.006</t>
  </si>
  <si>
    <t>VİOP GİDER KARŞILIKLARI</t>
  </si>
  <si>
    <t>381.006.001</t>
  </si>
  <si>
    <t>391.005</t>
  </si>
  <si>
    <t>TAHSİL EDİLEN KDV HESABI</t>
  </si>
  <si>
    <t>391.005.001</t>
  </si>
  <si>
    <t>% 01 SATIŞ  KDV.</t>
  </si>
  <si>
    <t>391.005.008</t>
  </si>
  <si>
    <t>% 10 SATIŞ  KDV.</t>
  </si>
  <si>
    <t>391.005.018</t>
  </si>
  <si>
    <t>%20 SATIŞ  KDV.</t>
  </si>
  <si>
    <t>391.006</t>
  </si>
  <si>
    <t>S.S TEVKİFATLI ÖDENECEK KDV</t>
  </si>
  <si>
    <t>391.006.001</t>
  </si>
  <si>
    <t>391.010</t>
  </si>
  <si>
    <t>ALIŞ İADE EDİLEN KDV</t>
  </si>
  <si>
    <t>391.010.001</t>
  </si>
  <si>
    <t>% 01 ALIŞ İADE KDV</t>
  </si>
  <si>
    <t>391.010.008</t>
  </si>
  <si>
    <t>% 10 ALIŞ İADE KDV</t>
  </si>
  <si>
    <t>391.010.018</t>
  </si>
  <si>
    <t>%20 ALIŞ İADE KDV</t>
  </si>
  <si>
    <t>391.011</t>
  </si>
  <si>
    <t>ALIŞ İADE FİYAT FARKI  KDV</t>
  </si>
  <si>
    <t>391.011.001</t>
  </si>
  <si>
    <t>% 01 ALIŞ İADE FİYAT FARKI  KDV</t>
  </si>
  <si>
    <t>391.011.008</t>
  </si>
  <si>
    <t>% 10 ALIŞ İADE FİYAT FARKI  KDV</t>
  </si>
  <si>
    <t>391.011.018</t>
  </si>
  <si>
    <t>%20 ALIŞ İADE FİYAT FARKI  KDV</t>
  </si>
  <si>
    <t>391.012</t>
  </si>
  <si>
    <t>ZAYİ ÜRÜNLER</t>
  </si>
  <si>
    <t>391.012.003</t>
  </si>
  <si>
    <t>%20 ZAYİ ÜRÜNLER KDV</t>
  </si>
  <si>
    <t>391.015</t>
  </si>
  <si>
    <t>DİĞER KDV</t>
  </si>
  <si>
    <t>391.015.001</t>
  </si>
  <si>
    <t>DAHA ÖNCE İNDİRİM KONUSU YAPILAN KDV" NİN İLAVESİ</t>
  </si>
  <si>
    <t>391.050</t>
  </si>
  <si>
    <t>DEMİRBAŞ SATIŞ TAHSİL EDİLEN KDV HESABI</t>
  </si>
  <si>
    <t>391.050.001</t>
  </si>
  <si>
    <t>% 1 SATIŞ KDV HESABI</t>
  </si>
  <si>
    <t>391.050.018</t>
  </si>
  <si>
    <t>%20 SATIŞ KDV HESABI</t>
  </si>
  <si>
    <t>400.001</t>
  </si>
  <si>
    <t>400.001.007</t>
  </si>
  <si>
    <t>400.001.011</t>
  </si>
  <si>
    <t>400.001.015</t>
  </si>
  <si>
    <t>400.001.016</t>
  </si>
  <si>
    <t>426.005</t>
  </si>
  <si>
    <t>426.005.005</t>
  </si>
  <si>
    <t>GÜRBEYLER (ANTALYA MİGROS)</t>
  </si>
  <si>
    <t>426.005.010</t>
  </si>
  <si>
    <t>GÜRBEYLER (ANTALYA ÖZDİLEK)</t>
  </si>
  <si>
    <t>426.005.025</t>
  </si>
  <si>
    <t>IŞIK GIDA ALİ IŞIK AİRPORT 8800 USD 2016</t>
  </si>
  <si>
    <t>426.005.027</t>
  </si>
  <si>
    <t>MARKA RESTORAN BİLKENT ANKARA</t>
  </si>
  <si>
    <t>426.005.029</t>
  </si>
  <si>
    <t>SENİL TEKSTİL TİC.LTD.ŞTİ. GAZİANTEP ÜNİVERSİTE</t>
  </si>
  <si>
    <t>426.005.030</t>
  </si>
  <si>
    <t>ZEYREK KURUMSAL HİZMETLER ANONİM ŞİRKETİ</t>
  </si>
  <si>
    <t>480.001</t>
  </si>
  <si>
    <t>480.001.001</t>
  </si>
  <si>
    <t>480.001.900</t>
  </si>
  <si>
    <t>GELECEK YILLARA AİT GELİRLER ENFLASYON DÜZELTMESİ</t>
  </si>
  <si>
    <t>500.001</t>
  </si>
  <si>
    <t>A GRUBU HİSSE SENETLERİ</t>
  </si>
  <si>
    <t>500.001.003</t>
  </si>
  <si>
    <t>GLOBAL RESTAURANT INVESTMENTS S.A.R.L</t>
  </si>
  <si>
    <t>500.001.900</t>
  </si>
  <si>
    <t>SERMAYE ENFLASYON DÜZELTMESİ OLUMLU FARKLAR</t>
  </si>
  <si>
    <t>500.004</t>
  </si>
  <si>
    <t>B GRUBU HİSSE SENETLERİ</t>
  </si>
  <si>
    <t>500.004.001</t>
  </si>
  <si>
    <t>500.006</t>
  </si>
  <si>
    <t>C GRUBU HİSSE SENETLERİ</t>
  </si>
  <si>
    <t>500.006.001</t>
  </si>
  <si>
    <t>500.006.002</t>
  </si>
  <si>
    <t>AHMET FARALYALI</t>
  </si>
  <si>
    <t>500.006.003</t>
  </si>
  <si>
    <t>MURAT ERKURT</t>
  </si>
  <si>
    <t>500.006.004</t>
  </si>
  <si>
    <t>ORHAN AYANLAR</t>
  </si>
  <si>
    <t>500.006.005</t>
  </si>
  <si>
    <t>CENK ÇOŞKUNTÜRK</t>
  </si>
  <si>
    <t>500.006.006</t>
  </si>
  <si>
    <t>HALİT GÖRKEM OKTAY</t>
  </si>
  <si>
    <t>500.006.007</t>
  </si>
  <si>
    <t>BERTAN KARAİMER</t>
  </si>
  <si>
    <t>500.006.008</t>
  </si>
  <si>
    <t>İSMAİL TANIL</t>
  </si>
  <si>
    <t>500.006.009</t>
  </si>
  <si>
    <t>MURAT ONSEKİZOĞLU</t>
  </si>
  <si>
    <t>500.006.010</t>
  </si>
  <si>
    <t>ALPER ŞAR</t>
  </si>
  <si>
    <t>500.006.011</t>
  </si>
  <si>
    <t>SALİH KEÇOĞLU</t>
  </si>
  <si>
    <t>500.006.012</t>
  </si>
  <si>
    <t>BURCU YAR GÜNHAN</t>
  </si>
  <si>
    <t>500.006.013</t>
  </si>
  <si>
    <t>HASAN EMRE UYUMAZ</t>
  </si>
  <si>
    <t>500.006.014</t>
  </si>
  <si>
    <t>BERTAN İLBAK</t>
  </si>
  <si>
    <t>500.006.015</t>
  </si>
  <si>
    <t>BORA VOLKAN MUMCU</t>
  </si>
  <si>
    <t>502.001</t>
  </si>
  <si>
    <t>502.001.900</t>
  </si>
  <si>
    <t>SERMAYE DÜZELTMESİ OLUMLU FARKLARI (31/12/2023)</t>
  </si>
  <si>
    <t>540.005</t>
  </si>
  <si>
    <t>540.005.005</t>
  </si>
  <si>
    <t>1.TERTİP YEDEK AKÇELER</t>
  </si>
  <si>
    <t>540.005.010</t>
  </si>
  <si>
    <t>2.TERTİP YEDEK AKÇELER</t>
  </si>
  <si>
    <t>540.005.900</t>
  </si>
  <si>
    <t>YASAL YEDEKLER ENFLASYON DEĞERLEME FARKI</t>
  </si>
  <si>
    <t>549.001</t>
  </si>
  <si>
    <t>549.001.001</t>
  </si>
  <si>
    <t>İŞTİRAK SATIŞI GELİRLERİ BEYZADEM GIDA (2017)</t>
  </si>
  <si>
    <t>549.001.900</t>
  </si>
  <si>
    <t>ÖZEL FONLAR ENFLASYON DEĞERLEME FARKI HESABI</t>
  </si>
  <si>
    <t>570.005</t>
  </si>
  <si>
    <t>570.005.001</t>
  </si>
  <si>
    <t>570.005.002</t>
  </si>
  <si>
    <t>GEÇMİŞ YILLAR KARLARI ENFLASYON DÜZELTME</t>
  </si>
  <si>
    <t>600.005</t>
  </si>
  <si>
    <t>MERKEZ MUTFAK  SATIŞLARI</t>
  </si>
  <si>
    <t>600.007</t>
  </si>
  <si>
    <t>ANKARA ÜRETİM TESİSİ SATIŞLARI</t>
  </si>
  <si>
    <t>ŞUBE SATIŞLARI</t>
  </si>
  <si>
    <t>600.010.010</t>
  </si>
  <si>
    <t>% 10 KDV'Lİ SATIŞLAR VİALAND YİYECEK</t>
  </si>
  <si>
    <t>600.010.018</t>
  </si>
  <si>
    <t>% 0 KDV'Lİ SATIŞLAR VİALAND YİYECEK</t>
  </si>
  <si>
    <t>600.010.019</t>
  </si>
  <si>
    <t>% 0 KDV'Lİ SATIŞLAR MAVİBAHÇE YİYECEK</t>
  </si>
  <si>
    <t>600.010.020</t>
  </si>
  <si>
    <t>% 10 KDV'Lİ SATIŞLAR MAVİBAHÇE YİYECEK</t>
  </si>
  <si>
    <t>600.010.049</t>
  </si>
  <si>
    <t>% 0 KDV'Lİ SATIŞLAR 212 AVM  YİYECEK</t>
  </si>
  <si>
    <t>600.010.050</t>
  </si>
  <si>
    <t>% 10 KDV'Lİ SATIŞLAR 212 AVM  YİYECEK</t>
  </si>
  <si>
    <t>600.010.063</t>
  </si>
  <si>
    <t>%0  KDV'Lİ SATIŞLAR ANKARA OPTİMUM  YİYECEK</t>
  </si>
  <si>
    <t>600.010.065</t>
  </si>
  <si>
    <t>%10  KDV'Lİ SATIŞLAR ANKARA OPTİMUM  YİYECEK</t>
  </si>
  <si>
    <t>600.010.068</t>
  </si>
  <si>
    <t>%0  KDV'Lİ SATIŞLAR KORUPARK  YİYECEK</t>
  </si>
  <si>
    <t>600.010.070</t>
  </si>
  <si>
    <t>%10  KDV'Lİ SATIŞLAR KORUPARK  YİYECEK</t>
  </si>
  <si>
    <t>600.010.094</t>
  </si>
  <si>
    <t>%0  KDV'Lİ SATIŞLAR ANTALYA TERRACITY YİYECEK</t>
  </si>
  <si>
    <t>600.010.095</t>
  </si>
  <si>
    <t>%10  KDV'Lİ SATIŞLAR ANTALYA TERRACITY YİYECEK</t>
  </si>
  <si>
    <t>600.010.098</t>
  </si>
  <si>
    <t>%0  KDV'Lİ SATIŞLAR TRUMP YİYECEK</t>
  </si>
  <si>
    <t>600.010.100</t>
  </si>
  <si>
    <t>%10  KDV'Lİ SATIŞLAR TRUMP YİYECEK</t>
  </si>
  <si>
    <t>600.010.103</t>
  </si>
  <si>
    <t>%0  KDV'Lİ SATIŞLAR OLİVİUM YİYECEK</t>
  </si>
  <si>
    <t>600.010.105</t>
  </si>
  <si>
    <t>%10  KDV'Lİ SATIŞLAR OLİVİUM YİYECEK</t>
  </si>
  <si>
    <t>600.010.108</t>
  </si>
  <si>
    <t>%10  KDV'Lİ SATIŞLAR KARTAL KOÇTAŞ YİYECEK</t>
  </si>
  <si>
    <t>600.010.114</t>
  </si>
  <si>
    <t>%10  KDV'Lİ SATIŞLAR ANKARA KIZILAY YİYECEK</t>
  </si>
  <si>
    <t>600.010.129</t>
  </si>
  <si>
    <t>%10  KDV'Lİ SATIŞLAR İSTİNYE PARK YİYECEK</t>
  </si>
  <si>
    <t>600.010.138</t>
  </si>
  <si>
    <t>%0  KDV'Lİ SATIŞLAR KARTAL KOÇTAŞ YİYECEK</t>
  </si>
  <si>
    <t>600.010.139</t>
  </si>
  <si>
    <t>%0  KDV'Lİ SATIŞLAR ANKARA KIZILAY YİYECEK</t>
  </si>
  <si>
    <t>600.010.140</t>
  </si>
  <si>
    <t>%10  KDV'Lİ SATIŞLAR 34 CİTYS İSTANBUL YİYECEK</t>
  </si>
  <si>
    <t>600.010.143</t>
  </si>
  <si>
    <t>%10  KDV'Lİ SATIŞLAR PALLADIUM YİYECEK</t>
  </si>
  <si>
    <t>600.010.149</t>
  </si>
  <si>
    <t>%10  KDV'Lİ SATIŞLAR İZMİR HATAY CADDE YİYECEK</t>
  </si>
  <si>
    <t>600.010.158</t>
  </si>
  <si>
    <t>%10  KDV'Lİ SATIŞLAR İZMİR GİRNE CADDE YİYECEK</t>
  </si>
  <si>
    <t>600.010.161</t>
  </si>
  <si>
    <t>%10  KDV'Lİ SATIŞLAR CEVAHİR AVM YİYECEK</t>
  </si>
  <si>
    <t>600.010.164</t>
  </si>
  <si>
    <t>%10  KDV'Lİ SATIŞLAR ANATOLIUM AVM YİYECEK</t>
  </si>
  <si>
    <t>600.010.167</t>
  </si>
  <si>
    <t>%10  KDV'Lİ SATIŞLAR LÜLEBURGAZ 39 BURDA AVM YİYECEK</t>
  </si>
  <si>
    <t>600.010.170</t>
  </si>
  <si>
    <t>%10  KDV'Lİ SATIŞLAR 34 GOP YİYECEK</t>
  </si>
  <si>
    <t>600.010.173</t>
  </si>
  <si>
    <t>%10  KDV'Lİ SATIŞLAR MALTEPE PARK CARREFOUR YİYECEK</t>
  </si>
  <si>
    <t>600.010.179</t>
  </si>
  <si>
    <t>%10  KDV'Lİ SATIŞLAR BAHÇEŞEHİR CADDE YİYECEK</t>
  </si>
  <si>
    <t>600.010.182</t>
  </si>
  <si>
    <t>%10  KDV'Lİ SATIŞLAR SAPPHİRE AVM YİYECEK</t>
  </si>
  <si>
    <t>600.010.185</t>
  </si>
  <si>
    <t>%10  KDV'Lİ SATIŞLAR AXİS AVM YİYECEK</t>
  </si>
  <si>
    <t>600.010.191</t>
  </si>
  <si>
    <t>%10  KDV'Lİ SATIŞLAR VİAPORT AVM YİYCEK</t>
  </si>
  <si>
    <t>600.010.194</t>
  </si>
  <si>
    <t>%10  KDV'Lİ SATIŞLAR BEYLİKDÜZÜ MİGROS AVM YİYCEK</t>
  </si>
  <si>
    <t>600.010.197</t>
  </si>
  <si>
    <t>%10  KDV'Lİ SATIŞLAR HİSTORİA AVM YİYCEK</t>
  </si>
  <si>
    <t>600.010.200</t>
  </si>
  <si>
    <t>%10  KDV'Lİ SATIŞLAR MARMARAPARK AVM YİYCEK</t>
  </si>
  <si>
    <t>600.010.203</t>
  </si>
  <si>
    <t>%10  KDV'Lİ SATIŞLAR İZMİR OPTIMUM AVM YİYCEK</t>
  </si>
  <si>
    <t>600.010.206</t>
  </si>
  <si>
    <t>%10  KDV'Lİ SATIŞLAR ANKARA ANTARES AVM YİYCEK</t>
  </si>
  <si>
    <t>600.010.209</t>
  </si>
  <si>
    <t>%10  KDV'Lİ SATIŞLAR ANKARA 7.CADDE YİYECEK</t>
  </si>
  <si>
    <t>600.010.212</t>
  </si>
  <si>
    <t>%10  KDV'Lİ SATIŞLAR BİZ CEVAHİR YİYECEK</t>
  </si>
  <si>
    <t>600.010.215</t>
  </si>
  <si>
    <t>%10  KDV'Lİ SATIŞLAR ORJİN MASLAK YİYECEK</t>
  </si>
  <si>
    <t>600.010.218</t>
  </si>
  <si>
    <t>%10  KDV'Lİ SATIŞLAR 06 GORDİON YİYECEK</t>
  </si>
  <si>
    <t>600.010.221</t>
  </si>
  <si>
    <t>%10  KDV'Lİ SATIŞLAR BURSA ATABULVARI YİYECEK</t>
  </si>
  <si>
    <t>600.010.224</t>
  </si>
  <si>
    <t>%10  KDV'Lİ SATIŞLAR PİYALEPAŞA AVM YİYECEK</t>
  </si>
  <si>
    <t>600.010.227</t>
  </si>
  <si>
    <t>%10  KDV'Lİ SATIŞLAR BURSA ANATOLIUM YİYECEK</t>
  </si>
  <si>
    <t>600.010.233</t>
  </si>
  <si>
    <t>%10  KDV'Lİ SATIŞLAR 35 KARŞIYAKA YİYECEK</t>
  </si>
  <si>
    <t>600.010.236</t>
  </si>
  <si>
    <t>%10  KDV'Lİ SATIŞLAR BURSA BALAT TURKUAZ PLAZA YİYECEK</t>
  </si>
  <si>
    <t>600.010.239</t>
  </si>
  <si>
    <t>%0 KDV'Lİ SATIŞLAR 34 CİTYS İSTANBUL YİYECEK</t>
  </si>
  <si>
    <t>600.010.241</t>
  </si>
  <si>
    <t>%0  KDV'Lİ SATIŞLAR BURSA BALAT TURKUAZ PLAZA YİYECEK</t>
  </si>
  <si>
    <t>600.010.244</t>
  </si>
  <si>
    <t>%0  KDV'Lİ SATIŞLAR BURSA ATABULVARI YİYECEK</t>
  </si>
  <si>
    <t>600.010.246</t>
  </si>
  <si>
    <t>%0  KDV'Lİ SATIŞLAR ORJİN MASLAK YİYECEK</t>
  </si>
  <si>
    <t>600.010.247</t>
  </si>
  <si>
    <t>%0  KDV'Lİ SATIŞLAR BİZ CEVAHİR YİYECEK</t>
  </si>
  <si>
    <t>600.010.248</t>
  </si>
  <si>
    <t>%0  KDV'Lİ SATIŞLAR ANKARA 7.CADDE YİYECEK</t>
  </si>
  <si>
    <t>600.010.249</t>
  </si>
  <si>
    <t>%0  KDV'Lİ SATIŞLAR ANKARA ANTARES AVM YİYCEK</t>
  </si>
  <si>
    <t>600.010.252</t>
  </si>
  <si>
    <t>%0  KDV'Lİ SATIŞLAR HİSTORİA AVM YİYCEK</t>
  </si>
  <si>
    <t>600.010.253</t>
  </si>
  <si>
    <t>%0  KDV'Lİ SATIŞLAR BEYLİKDÜZÜ MİGROS AVM YİYCEK</t>
  </si>
  <si>
    <t>600.010.254</t>
  </si>
  <si>
    <t>%0  KDV'Lİ SATIŞLAR VİAPORT AVM YİYCEK</t>
  </si>
  <si>
    <t>600.010.255</t>
  </si>
  <si>
    <t>%0  KDV'Lİ SATIŞLAR AXİS AVM YİYECEK</t>
  </si>
  <si>
    <t>600.010.256</t>
  </si>
  <si>
    <t>%0  KDV'Lİ SATIŞLAR MALTEPE PARK CARREFOUR YİYECEK</t>
  </si>
  <si>
    <t>600.010.258</t>
  </si>
  <si>
    <t>%0  KDV'Lİ SATIŞLAR BAHÇEŞEHİR CADDE YİYECEK</t>
  </si>
  <si>
    <t>600.010.259</t>
  </si>
  <si>
    <t>%0  KDV'Lİ SATIŞLAR 34 GOP YİYECEK</t>
  </si>
  <si>
    <t>600.010.261</t>
  </si>
  <si>
    <t>%0  KDV'Lİ SATIŞLAR ANATOLIUM AVM YİYECEK</t>
  </si>
  <si>
    <t>600.010.264</t>
  </si>
  <si>
    <t>%0  KDV'Lİ SATIŞLAR PALLADIUM YİYECEK</t>
  </si>
  <si>
    <t>600.010.265</t>
  </si>
  <si>
    <t>%0  KDV'Lİ SATIŞLAR İZMİR GİRNE CADDE YİYECEK</t>
  </si>
  <si>
    <t>600.010.266</t>
  </si>
  <si>
    <t>%0  KDV'Lİ SATIŞLAR İZMİR HATAY CADDE YİYECEK</t>
  </si>
  <si>
    <t>600.010.267</t>
  </si>
  <si>
    <t>%0  KDV'Lİ SATIŞLAR PİYALEPAŞA AVM YİYECEK</t>
  </si>
  <si>
    <t>600.010.270</t>
  </si>
  <si>
    <t>%10  KDV'Lİ SATIŞLAR BALIKESİR TİCARET MERKEZİ YİYECEK</t>
  </si>
  <si>
    <t>600.010.272</t>
  </si>
  <si>
    <t>%10  KDV'Lİ SATIŞLAR LEZZET TIRI</t>
  </si>
  <si>
    <t>600.010.273</t>
  </si>
  <si>
    <t>%10  KDV'Lİ SATIŞLAR BURSA DOWNTOWN YİYECEK</t>
  </si>
  <si>
    <t>600.010.274</t>
  </si>
  <si>
    <t>%10  KDVLİ SATIŞLAR İSTANBUL ARENAPARK YİYECEK</t>
  </si>
  <si>
    <t>600.010.275</t>
  </si>
  <si>
    <t>%0  KDVLİ SATIŞLAR İSTANBUL ARENAPARK YİYECEK</t>
  </si>
  <si>
    <t>600.010.276</t>
  </si>
  <si>
    <t>%10  KDV'Lİ SATIŞLAR DEPOSİTE AVM YİYECEK</t>
  </si>
  <si>
    <t>600.010.277</t>
  </si>
  <si>
    <t>%0  KDV'Lİ SATIŞLAR BURSA DOWNTOWN YİYECEK</t>
  </si>
  <si>
    <t>600.010.278</t>
  </si>
  <si>
    <t>%0  KDV'Lİ SATIŞLAR DEPOSİTE OUTLET YİYECEK</t>
  </si>
  <si>
    <t>600.010.279</t>
  </si>
  <si>
    <t>%10  KDV'Lİ SATIŞLAR ANKARA GİMSA YİYECEK</t>
  </si>
  <si>
    <t>600.010.280</t>
  </si>
  <si>
    <t>%0  KDV'Lİ SATIŞLAR ANKARA GİMSA YİYECEK</t>
  </si>
  <si>
    <t>600.010.281</t>
  </si>
  <si>
    <t>%10  KDV'Lİ SATIŞLAR BURSA FSM DELUXE YİYECEK</t>
  </si>
  <si>
    <t>600.015</t>
  </si>
  <si>
    <t>FRANCHISE HİZMET GELİRLERİ</t>
  </si>
  <si>
    <t>600.015.005</t>
  </si>
  <si>
    <t>% 20 KDV FRANCHİSE BEDELİ</t>
  </si>
  <si>
    <t>600.015.010</t>
  </si>
  <si>
    <t>LOJİSTİK DAĞITIM GELİRLERİ %20 KDV</t>
  </si>
  <si>
    <t>600.015.016</t>
  </si>
  <si>
    <t>FRANCHISE CİRO PRİM GELİRLERİ %20 KDV</t>
  </si>
  <si>
    <t>600.015.020</t>
  </si>
  <si>
    <t>FRANCHISE REKLAM GELİRLERİ %20</t>
  </si>
  <si>
    <t>600.015.025</t>
  </si>
  <si>
    <t>%20 KDV  AÇILIŞ EĞİTİM DESTEK BEDELİ</t>
  </si>
  <si>
    <t>600.015.030</t>
  </si>
  <si>
    <t>%20 KDV DİĞER FRANCHISE GELİRLERİ</t>
  </si>
  <si>
    <t>600.020</t>
  </si>
  <si>
    <t>TEDARİKÇİ CİRO PRİM GELİRLERİ</t>
  </si>
  <si>
    <t>600.020.005</t>
  </si>
  <si>
    <t>COCA COLA CİRO PRİM GELİRLERİ % 10 KDV</t>
  </si>
  <si>
    <t>600.020.006</t>
  </si>
  <si>
    <t>COCA COLA CİRO PRİM GELİRLERİ % 20 KDV</t>
  </si>
  <si>
    <t>600.020.020</t>
  </si>
  <si>
    <t>FASDAT GIDA KOMİSYON GELİRLERİ %20 KDV</t>
  </si>
  <si>
    <t>600.020.031</t>
  </si>
  <si>
    <t xml:space="preserve">CİRO PRİM GELİRLERİ % 1 KDV </t>
  </si>
  <si>
    <t>600.020.041</t>
  </si>
  <si>
    <t>CİRO PRİM  GELİRLERİ %20 KDV</t>
  </si>
  <si>
    <t>600.020.051</t>
  </si>
  <si>
    <t>TEDARİKÇİ SPONSOR GELİRLERİ %20 KDV</t>
  </si>
  <si>
    <t>600.020.054</t>
  </si>
  <si>
    <t>EURO FRESH CİRO PRİM GELİRLERİ % 10 KDV</t>
  </si>
  <si>
    <t>600.020.057</t>
  </si>
  <si>
    <t>G2M CİRO PRİM GELİRLERİ %1 KDV</t>
  </si>
  <si>
    <t>600.020.058</t>
  </si>
  <si>
    <t>TEDARİKÇİ SPONSOR GELİRLERİ % 1 KDV</t>
  </si>
  <si>
    <t>601.002</t>
  </si>
  <si>
    <t>601.003</t>
  </si>
  <si>
    <t>YURTDIŞI FRANCHISE HİZMET GELİRLERİ</t>
  </si>
  <si>
    <t>601.003.003</t>
  </si>
  <si>
    <t>YURTDIŞI FRANCHISE BEDELİ %0 KDV Lİ</t>
  </si>
  <si>
    <t>601.004</t>
  </si>
  <si>
    <t>602.008</t>
  </si>
  <si>
    <t>602.008.005</t>
  </si>
  <si>
    <t>HİJYEN DENETİM HELİRLER %20 KDV Lİ</t>
  </si>
  <si>
    <t>602.008.016</t>
  </si>
  <si>
    <t>PAZARLAMA FAALİYETLERİNE KATILIM BEDELİ % 20 KDV</t>
  </si>
  <si>
    <t>602.008.018</t>
  </si>
  <si>
    <t>ATIK KAĞIT GELİRLERİ %0 KDV Lİ</t>
  </si>
  <si>
    <t>602.008.021</t>
  </si>
  <si>
    <t>ATIK YAĞ GELİRLERİ %20 KDV Lİ</t>
  </si>
  <si>
    <t>602.008.023</t>
  </si>
  <si>
    <t>İNŞAAT DANIŞMANLIK GELİRLERİ %20 KDV Lİ</t>
  </si>
  <si>
    <t>602.008.024</t>
  </si>
  <si>
    <t>YEMEK SEPETİ GELİRLERİ (VRM)</t>
  </si>
  <si>
    <t>602.008.025</t>
  </si>
  <si>
    <t>GETİR GELİRLERİ (VRM)</t>
  </si>
  <si>
    <t>602.008.026</t>
  </si>
  <si>
    <t>MİGROS YEMEK GELİRLERİ  (VRM)</t>
  </si>
  <si>
    <t>602.008.700</t>
  </si>
  <si>
    <t>ŞUBE PERİYODİK BAKIM %20</t>
  </si>
  <si>
    <t>602.009</t>
  </si>
  <si>
    <t>DEVLET ÜCRET DESTEK GELİRLERİ</t>
  </si>
  <si>
    <t>602.009.003</t>
  </si>
  <si>
    <t>MERKEZ SGK TEŞVİK GELİRLERİ 4857</t>
  </si>
  <si>
    <t>602.009.004</t>
  </si>
  <si>
    <t>MERKEZ SGK HAZİNE İNDİRİMİ 5510 (BORDRODA)</t>
  </si>
  <si>
    <t>602.009.009</t>
  </si>
  <si>
    <t>ŞUBELER ÜCRET DESTEK GELİRLERİ 6111</t>
  </si>
  <si>
    <t>602.009.011</t>
  </si>
  <si>
    <t>ŞUBELER SGK TEŞVİK GELİRLERİ 4857</t>
  </si>
  <si>
    <t>602.009.012</t>
  </si>
  <si>
    <t>ŞUBELER SGK HAZİNE İNDİRİMİ 5510 (BORDRODA)</t>
  </si>
  <si>
    <t>602.009.015</t>
  </si>
  <si>
    <t>ANKARA SGK TEŞVİK GELİRLERİ 4857</t>
  </si>
  <si>
    <t>602.009.016</t>
  </si>
  <si>
    <t>ANKARA SGK HAZİNE İNDİRİMİ 5510 (BORDRODA)</t>
  </si>
  <si>
    <t>YANSITMA GELİRLERİ</t>
  </si>
  <si>
    <t>602.010.004</t>
  </si>
  <si>
    <t>AVM DÜKKAN ASGARİ KİRA  (ANA KİRA) % 0  KDV</t>
  </si>
  <si>
    <t>602.010.005</t>
  </si>
  <si>
    <t>AVM DÜKKAN ASGARİ KİRA  (ANA KİRA) % 20 KDV</t>
  </si>
  <si>
    <t>602.010.007</t>
  </si>
  <si>
    <t>AVM DİĞER KİRA (TERAS, ORTAK ALAN VB.) KDV %20</t>
  </si>
  <si>
    <t>602.010.010</t>
  </si>
  <si>
    <t>AVM CİRO KİRA YANSITMA GELİRLERİ %20 KDV</t>
  </si>
  <si>
    <t>602.010.012</t>
  </si>
  <si>
    <t>AVM CİRO KİRA YANSITMA GELİRLERİ % 0  KDV</t>
  </si>
  <si>
    <t>602.010.015</t>
  </si>
  <si>
    <t>AVM DEPO KİRA YANSITMA GELİRLERİ %20 KDV</t>
  </si>
  <si>
    <t>602.010.016</t>
  </si>
  <si>
    <t>AVM ORTAK ALAN YANSITMA GELİRLERİ %20</t>
  </si>
  <si>
    <t>602.010.017</t>
  </si>
  <si>
    <t>AVM REKLAM TANITIM GELİRLERİ %20 KDV</t>
  </si>
  <si>
    <t>602.010.018</t>
  </si>
  <si>
    <t>AVM MUHTELİF GİDERLER %20 KDV</t>
  </si>
  <si>
    <t>602.010.020</t>
  </si>
  <si>
    <t>AVM TÜKETİM BEDELİ(ELEKTRİK, DOĞALGAZ ) %20 KDV</t>
  </si>
  <si>
    <t>602.010.021</t>
  </si>
  <si>
    <t>AVM TÜKETİM BEDELİ(SU VB)) %10 KDV</t>
  </si>
  <si>
    <t>602.010.024</t>
  </si>
  <si>
    <t>AVM MUHTELİF %0 KDV Lİ</t>
  </si>
  <si>
    <t>602.010.025</t>
  </si>
  <si>
    <t>İNŞAAT YANSITMA GELİRLERİ % 10 KDV</t>
  </si>
  <si>
    <t>602.010.028</t>
  </si>
  <si>
    <t>AVM AİDAT YANSITMA GELİRLERİ %0 KDV</t>
  </si>
  <si>
    <t>602.010.029</t>
  </si>
  <si>
    <t>AVM ORTAK ALAN YANSITMA GELİRLER  0 KDV Lİ</t>
  </si>
  <si>
    <t>602.010.030</t>
  </si>
  <si>
    <t>İNŞAAT YANSITMA GELİRLERİ %20 KDV</t>
  </si>
  <si>
    <t>602.010.035</t>
  </si>
  <si>
    <t>YEMEK SEPETİ YANSITMA GELİRLERİ %20 KDV</t>
  </si>
  <si>
    <t>602.010.039</t>
  </si>
  <si>
    <t>TRENDYOLGO YANSITMA GELİRİ %20 KDV Lİ</t>
  </si>
  <si>
    <t>602.010.040</t>
  </si>
  <si>
    <t>NAKLİYE LOJİSTİK YANSITMA GELİRLERİ %20 KDV</t>
  </si>
  <si>
    <t>602.010.041</t>
  </si>
  <si>
    <t>TRENDYOLGO YANSITMA GELİRİ %0 KDV Lİ</t>
  </si>
  <si>
    <t>602.010.042</t>
  </si>
  <si>
    <t>TRENDYOLGO-MULTİNET KOMİSYON YANSITMA GELİRİ %20 KDV Lİ</t>
  </si>
  <si>
    <t>602.010.045</t>
  </si>
  <si>
    <t>TEMİNAT MEKTUBU MASRAFI YANSITMA GELİRİ % 0 KDV</t>
  </si>
  <si>
    <t>602.010.047</t>
  </si>
  <si>
    <t>GETİR YANSITMA GELİRLERİ %20 KDV Lİ</t>
  </si>
  <si>
    <t>602.010.048</t>
  </si>
  <si>
    <t>TRENDYOLGO-MULTİNET CİRO YANSITMA GELİRİ %10 KDV Lİ</t>
  </si>
  <si>
    <t>602.010.049</t>
  </si>
  <si>
    <t>TRENDYOLGO-SODEXO KOMİSYON YANSITMA GELİRİ %20 KDV Lİ</t>
  </si>
  <si>
    <t>602.010.052</t>
  </si>
  <si>
    <t>TRENDYOLGO-EDENRED CİRO YANSITMA GELİRİ %10 KDV Lİ</t>
  </si>
  <si>
    <t>602.010.053</t>
  </si>
  <si>
    <t>TRENDYOLGO-SODEXO CİRO YANSITMA GELİRİ %10 KDV Lİ</t>
  </si>
  <si>
    <t>602.010.055</t>
  </si>
  <si>
    <t>VADE FARKI GELİRLERİ KDV %20</t>
  </si>
  <si>
    <t>602.010.056</t>
  </si>
  <si>
    <t>YEMEK BEDELİ YANSITMA GELİRİ %10 KDV</t>
  </si>
  <si>
    <t>602.010.058</t>
  </si>
  <si>
    <t>TRENDYOL-EDENRED KOMİSYON GELİRİ %20</t>
  </si>
  <si>
    <t>602.010.060</t>
  </si>
  <si>
    <t>FRANCHISE İŞYERİ SİGORTA YANSITMA GELİRLERİ % 0 KDV</t>
  </si>
  <si>
    <t>602.010.061</t>
  </si>
  <si>
    <t>MERKEZ OFİS KİRA YANSITMA % 20</t>
  </si>
  <si>
    <t>602.010.062</t>
  </si>
  <si>
    <t>DAMGA VERGİSİ YANSITMA BEDELİ %0</t>
  </si>
  <si>
    <t>602.010.063</t>
  </si>
  <si>
    <t>MERKEZ OFİS ORTAK ALAN YANSITMA % 20</t>
  </si>
  <si>
    <t>602.010.064</t>
  </si>
  <si>
    <t>MERKEZ OFİS ATIK SU YANSITMA % 10</t>
  </si>
  <si>
    <t>602.010.065</t>
  </si>
  <si>
    <t>MERKEZ OFİS ELEKTRİK YANSITMA % 20</t>
  </si>
  <si>
    <t>602.010.066</t>
  </si>
  <si>
    <t>MERKEZ OFİS MUTFAK GELİRLERİ YANSITMA % 20</t>
  </si>
  <si>
    <t>602.010.067</t>
  </si>
  <si>
    <t>MERKEZ OFİS MUTFAK GELİRLERİ YANSITMA % 10</t>
  </si>
  <si>
    <t>602.010.069</t>
  </si>
  <si>
    <t>MERKEZ OFİS ISITMA SOĞTMA YANSITMA % 20</t>
  </si>
  <si>
    <t>602.010.070</t>
  </si>
  <si>
    <t>MERKEZ OFİS MUTFAK GELİRLERİ YANSITMA % 1</t>
  </si>
  <si>
    <t>602.010.072</t>
  </si>
  <si>
    <t>Avm Tüketim Bedeli  Su Yansıtma % 1</t>
  </si>
  <si>
    <t>602.010.073</t>
  </si>
  <si>
    <t>MERKEZ OFİS DİĞER GELİRLER YANSITMA % 20</t>
  </si>
  <si>
    <t>602.010.075</t>
  </si>
  <si>
    <t>FERDİ KAZA VE TİCARİ PAKET YANSITMA GİELİRİ %0</t>
  </si>
  <si>
    <t>602.010.076</t>
  </si>
  <si>
    <t>PERSONEL İŞ GÜCÜ TEMİNİ YANSITMA %20</t>
  </si>
  <si>
    <t>602.010.077</t>
  </si>
  <si>
    <t>EĞİTİM GİDERLERİ YANSITMA  %20</t>
  </si>
  <si>
    <t>602.010.080</t>
  </si>
  <si>
    <t>MERKEZ OFİS SU YANSITMA %1</t>
  </si>
  <si>
    <t>602.010.082</t>
  </si>
  <si>
    <t>TÜKETİM BEDELİ (ELEKTRİK, DOĞALGAZ ) %20 Kdv</t>
  </si>
  <si>
    <t>602.010.084</t>
  </si>
  <si>
    <t>MUHTELİF GİDERLER YANSITMA % 0</t>
  </si>
  <si>
    <t>602.010.086</t>
  </si>
  <si>
    <t>MUHTELİF GİDERLER YANSITMA % 20</t>
  </si>
  <si>
    <t>602.010.091</t>
  </si>
  <si>
    <t>MİGROS YEMEK YANSITMA GELİRLERİ</t>
  </si>
  <si>
    <t>602.012</t>
  </si>
  <si>
    <t>YANSITILACAK İHRACAT GELİRLERİ</t>
  </si>
  <si>
    <t>602.012.003</t>
  </si>
  <si>
    <t>KIBRIS İHRACAT YANSITMA GELİRLERİ %20 KDV Lİ</t>
  </si>
  <si>
    <t>602.012.004</t>
  </si>
  <si>
    <t>KIBRIS İHRACAT YANSITMA GELİRLERİ %0  KDV Lİ</t>
  </si>
  <si>
    <t>602.020</t>
  </si>
  <si>
    <t>DİĞER STOK SATIŞLARI</t>
  </si>
  <si>
    <t>602.020.011</t>
  </si>
  <si>
    <t>DİĞER STOK VE HİZMET SATIŞLARI ŞUBELER % 20</t>
  </si>
  <si>
    <t>602.020.012</t>
  </si>
  <si>
    <t>DİĞER STOK VE HİZMET SATIŞLARI ŞUBELER % 10</t>
  </si>
  <si>
    <t>602.021</t>
  </si>
  <si>
    <t>İNŞAAT HİZMET GELİRLERİ</t>
  </si>
  <si>
    <t>602.021.001</t>
  </si>
  <si>
    <t xml:space="preserve">İNŞAAT HİZMET GELİRLERİ % 10 </t>
  </si>
  <si>
    <t>602.021.002</t>
  </si>
  <si>
    <t>İNŞAAT HİZMET GELİRLERİ %20</t>
  </si>
  <si>
    <t>602.021.003</t>
  </si>
  <si>
    <t>İNŞAAT HİZMET GELİRLERİ %0</t>
  </si>
  <si>
    <t>610.006</t>
  </si>
  <si>
    <t>610.020</t>
  </si>
  <si>
    <t>SATIŞTAN İADELER</t>
  </si>
  <si>
    <t>610.020.001</t>
  </si>
  <si>
    <t>REKLAM, DİĞER, PRİM BEDELİ   İADESİ %20 KDVLİ</t>
  </si>
  <si>
    <t>610.020.003</t>
  </si>
  <si>
    <t>FRANCHISE BEDELİ İADESİ %20 KDVLİ</t>
  </si>
  <si>
    <t>610.020.700</t>
  </si>
  <si>
    <t>İNŞAAT PERİYODİK BAKIM İADE</t>
  </si>
  <si>
    <t>612.001</t>
  </si>
  <si>
    <t>SATIŞ FİYAT FARKI (İADE)</t>
  </si>
  <si>
    <t>620.005</t>
  </si>
  <si>
    <t>İLK MADDE MALZEME</t>
  </si>
  <si>
    <t>620.005.900</t>
  </si>
  <si>
    <t>SATILAN MAMÜL MALİYETİ ENFLASYON DEĞERLEME</t>
  </si>
  <si>
    <t>620.010</t>
  </si>
  <si>
    <t>620.015</t>
  </si>
  <si>
    <t>SATILAN MAMUL MALİYETİ</t>
  </si>
  <si>
    <t>620.015.001</t>
  </si>
  <si>
    <t>SATILAN MAMUL MALİYETİ YİYECEK</t>
  </si>
  <si>
    <t>620.015.002</t>
  </si>
  <si>
    <t>SATILAN MAMUL MALİYETİ İÇECEK</t>
  </si>
  <si>
    <t>620.015.099</t>
  </si>
  <si>
    <t>SATILAN MAMUL MALİYETİ SARF</t>
  </si>
  <si>
    <t>620.019</t>
  </si>
  <si>
    <t>SATILAN MALIN MALİYETİ PAZARLAMA</t>
  </si>
  <si>
    <t>620.019.001</t>
  </si>
  <si>
    <t>SATILAN MALIN MALİYETİ LEZZET TIRI YİYECEK</t>
  </si>
  <si>
    <t>621.005</t>
  </si>
  <si>
    <t>SATILAN TİCARİ MAL MALİYETİ</t>
  </si>
  <si>
    <t>621.005.004</t>
  </si>
  <si>
    <t>SATILAN TİCARİ MAL MALİYETİ TEMİZLİK</t>
  </si>
  <si>
    <t>621.005.900</t>
  </si>
  <si>
    <t>SATILAN TİCARİ MAL MALİYETİ ENFLASYON DEĞERLEME</t>
  </si>
  <si>
    <t>621.006</t>
  </si>
  <si>
    <t>YURTDIŞI SATILAN MALIN MALİYETİ</t>
  </si>
  <si>
    <t>621.006.005</t>
  </si>
  <si>
    <t>YURTDIŞI SATILAN MALIN MALİYETİ AMERİKA</t>
  </si>
  <si>
    <t>621.008</t>
  </si>
  <si>
    <t>621.008.099</t>
  </si>
  <si>
    <t>SATILAN TİCARİ MAL MALİYETİ (ANKARA) YANSITMA</t>
  </si>
  <si>
    <t>621.011</t>
  </si>
  <si>
    <t>642.001</t>
  </si>
  <si>
    <t>642.001.001</t>
  </si>
  <si>
    <t>GARANTİ BANKASI FAİZ GELİRLERİ</t>
  </si>
  <si>
    <t>642.001.002</t>
  </si>
  <si>
    <t>YAPIKREDİ  BANKASI FAİZ GELİRLERİ</t>
  </si>
  <si>
    <t>642.001.003</t>
  </si>
  <si>
    <t>İŞ BANKASI BANKASI FAİZ GELİRLERİ</t>
  </si>
  <si>
    <t>642.001.005</t>
  </si>
  <si>
    <t>AKBANK FAİZ GELİRLERİ</t>
  </si>
  <si>
    <t>642.001.009</t>
  </si>
  <si>
    <t>QNB FİNANSBANK FAİZ GELİRLERİ</t>
  </si>
  <si>
    <t>642.001.010</t>
  </si>
  <si>
    <t>VAKIFBANK  FAİZ GELİRLERİ</t>
  </si>
  <si>
    <t>642.001.012</t>
  </si>
  <si>
    <t>ZİRAAT FAİZ GELİRLERİ</t>
  </si>
  <si>
    <t>642.001.014</t>
  </si>
  <si>
    <t>HALKBANK FAİZ GELİRLERİ</t>
  </si>
  <si>
    <t>642.002</t>
  </si>
  <si>
    <t>VADE FARKI GELİRLERİ</t>
  </si>
  <si>
    <t>642.002.001</t>
  </si>
  <si>
    <t>642.002.002</t>
  </si>
  <si>
    <t>ADAT HESAPLAMASI % 20 KDV</t>
  </si>
  <si>
    <t>642.003</t>
  </si>
  <si>
    <t>HAZİNE BONO GELİRLERİ</t>
  </si>
  <si>
    <t>642.003.001</t>
  </si>
  <si>
    <t>İŞ BANKASI HAZİNE BONO GELİRLERİ</t>
  </si>
  <si>
    <t>642.004</t>
  </si>
  <si>
    <t>FON GELİRLERİ</t>
  </si>
  <si>
    <t>642.004.004</t>
  </si>
  <si>
    <t>VAKIFBANK FON GELİRLERİ</t>
  </si>
  <si>
    <t>642.005</t>
  </si>
  <si>
    <t>VİOP GELİRLERİ</t>
  </si>
  <si>
    <t>642.005.002</t>
  </si>
  <si>
    <t>İŞ YATIRIM VİOP GELİRLERİ</t>
  </si>
  <si>
    <t>642.005.004</t>
  </si>
  <si>
    <t>İŞ YATIRIM TEMİNAT FON GELİRLERİ</t>
  </si>
  <si>
    <t>646.006</t>
  </si>
  <si>
    <t>KUR FARKI GELİRLERİ</t>
  </si>
  <si>
    <t>646.006.001</t>
  </si>
  <si>
    <t>649.001</t>
  </si>
  <si>
    <t>649.001.001</t>
  </si>
  <si>
    <t>656.006</t>
  </si>
  <si>
    <t>KUR FARKI ZARARLARI</t>
  </si>
  <si>
    <t>656.006.001</t>
  </si>
  <si>
    <t>ENFLASYON DÜZELTMESİ ZARARLARI (-)</t>
  </si>
  <si>
    <t>658.001</t>
  </si>
  <si>
    <t>658.001.001</t>
  </si>
  <si>
    <t>679.001</t>
  </si>
  <si>
    <t>679.001.001</t>
  </si>
  <si>
    <t>YUVARLAMA FARKI GELİRLERİ</t>
  </si>
  <si>
    <t>679.001.002</t>
  </si>
  <si>
    <t>DİĞER GELİRLER % 20</t>
  </si>
  <si>
    <t>679.001.003</t>
  </si>
  <si>
    <t>DİĞER GELİRLER % 0 KDV</t>
  </si>
  <si>
    <t>679.001.012</t>
  </si>
  <si>
    <t>VERGİYE TABİ OLMAYAN GELİR - İSTİSNA  (KV.%5 İNDİRİM)</t>
  </si>
  <si>
    <t>679.001.255</t>
  </si>
  <si>
    <t>DEMİRBAŞ SATIŞ KARLARI</t>
  </si>
  <si>
    <t>679.002</t>
  </si>
  <si>
    <t>679.002.002</t>
  </si>
  <si>
    <t>KASKO HASAR TAHSİLATLARI</t>
  </si>
  <si>
    <t>679.002.003</t>
  </si>
  <si>
    <t>679.002.004</t>
  </si>
  <si>
    <t>679.002.008</t>
  </si>
  <si>
    <t>DİĞER GELİRLER %10 KDV</t>
  </si>
  <si>
    <t>679.002.009</t>
  </si>
  <si>
    <t xml:space="preserve">VİOP DİĞER GELİRLER </t>
  </si>
  <si>
    <t>680.020</t>
  </si>
  <si>
    <t>AMORTİSMAN GİDERLERİ</t>
  </si>
  <si>
    <t>680.020.253</t>
  </si>
  <si>
    <t>680.020.255</t>
  </si>
  <si>
    <t>689.001</t>
  </si>
  <si>
    <t>KANUNEN KABUL EDİLMEYEN GİDERLER</t>
  </si>
  <si>
    <t>689.002</t>
  </si>
  <si>
    <t>MERKEZ TARAFINDAN KARŞILANAN KİRA-VADE-KUR FARKLAR</t>
  </si>
  <si>
    <t>689.002.002</t>
  </si>
  <si>
    <t>VİOP DİĞER GİDERLER</t>
  </si>
  <si>
    <t>689.002.003</t>
  </si>
  <si>
    <t>FORWARD DİĞER GİDERLER</t>
  </si>
  <si>
    <t>689.003</t>
  </si>
  <si>
    <t>689.003.001</t>
  </si>
  <si>
    <t>SABİT KIYMET SATIŞ ZARARI</t>
  </si>
  <si>
    <t>689.007</t>
  </si>
  <si>
    <t>689.009</t>
  </si>
  <si>
    <t>689.009.002</t>
  </si>
  <si>
    <t>KASKO HASAR GİDERLERİ</t>
  </si>
  <si>
    <t>689.010</t>
  </si>
  <si>
    <t>OLAĞANDIŞI GİDER VE ZARARLAR (-)</t>
  </si>
  <si>
    <t>689.010.001</t>
  </si>
  <si>
    <t>698.001</t>
  </si>
  <si>
    <t>698.001.001</t>
  </si>
  <si>
    <t>710.005</t>
  </si>
  <si>
    <t>İLK MADDE MALZEME MERKEZİ ÜRETİM</t>
  </si>
  <si>
    <t>710.010</t>
  </si>
  <si>
    <t>İLK MADDE MALZEME ŞUBELER</t>
  </si>
  <si>
    <t>710.010.001</t>
  </si>
  <si>
    <t>710.010.002</t>
  </si>
  <si>
    <t>710.010.003</t>
  </si>
  <si>
    <t>711.005</t>
  </si>
  <si>
    <t>711.010</t>
  </si>
  <si>
    <t>711.010.001</t>
  </si>
  <si>
    <t>711.010.002</t>
  </si>
  <si>
    <t>720.300</t>
  </si>
  <si>
    <t>İŞÇİ ÜCRET VE GİDERLERİ</t>
  </si>
  <si>
    <t>720.300.603</t>
  </si>
  <si>
    <t>721.099</t>
  </si>
  <si>
    <t>730.201</t>
  </si>
  <si>
    <t>PERSONEL İŞ GİDERLERİ</t>
  </si>
  <si>
    <t>730.201.004</t>
  </si>
  <si>
    <t>730.202</t>
  </si>
  <si>
    <t>IT GİDERLERİ</t>
  </si>
  <si>
    <t>730.202.004</t>
  </si>
  <si>
    <t>730.212</t>
  </si>
  <si>
    <t>DİĞER FABRİKA GİDERLERİ</t>
  </si>
  <si>
    <t>730.300</t>
  </si>
  <si>
    <t>730.300.002</t>
  </si>
  <si>
    <t>730.300.003</t>
  </si>
  <si>
    <t>730.300.606</t>
  </si>
  <si>
    <t>730.301</t>
  </si>
  <si>
    <t>730.302</t>
  </si>
  <si>
    <t>730.303</t>
  </si>
  <si>
    <t>KİRA GİDERLERİ</t>
  </si>
  <si>
    <t>730.304</t>
  </si>
  <si>
    <t>DANIŞMANLIK GİDERLERİ</t>
  </si>
  <si>
    <t>730.305</t>
  </si>
  <si>
    <t>MAKİNE KİRALAMA</t>
  </si>
  <si>
    <t>730.306</t>
  </si>
  <si>
    <t>OPERASYON GİDERLERİ</t>
  </si>
  <si>
    <t>730.307</t>
  </si>
  <si>
    <t>ARAÇ GİDERLERİ</t>
  </si>
  <si>
    <t>730.308</t>
  </si>
  <si>
    <t>730.309</t>
  </si>
  <si>
    <t>730.310</t>
  </si>
  <si>
    <t>GÜVENLİK GİDERLERİ</t>
  </si>
  <si>
    <t>730.311</t>
  </si>
  <si>
    <t>SİGORTA GİDERLERİ</t>
  </si>
  <si>
    <t>730.312</t>
  </si>
  <si>
    <t>730.312.013</t>
  </si>
  <si>
    <t>DEPO TAKİP GİDERLERİ</t>
  </si>
  <si>
    <t>730.313</t>
  </si>
  <si>
    <t>YEMEK &amp; MUTFAK GİDERİ</t>
  </si>
  <si>
    <t>730.350</t>
  </si>
  <si>
    <t>731.099</t>
  </si>
  <si>
    <t>740.002</t>
  </si>
  <si>
    <t>BAYİ İNŞAAT GİDERLERİ</t>
  </si>
  <si>
    <t>740.002.001</t>
  </si>
  <si>
    <t>740.008</t>
  </si>
  <si>
    <t>740.008.700</t>
  </si>
  <si>
    <t>760.001</t>
  </si>
  <si>
    <t>DAĞITIM (LOJİSTİK GİDERLER)</t>
  </si>
  <si>
    <t>760.001.050</t>
  </si>
  <si>
    <t>NAKLİYE ULAŞIM GİDERLERİ (FR BAYİLER)</t>
  </si>
  <si>
    <t>760.005</t>
  </si>
  <si>
    <t>PAZARLAMA SATIŞ GİDERLER</t>
  </si>
  <si>
    <t>760.005.021</t>
  </si>
  <si>
    <t>SPONSORLUK GİDERLERİ</t>
  </si>
  <si>
    <t>760.005.110</t>
  </si>
  <si>
    <t>PAZARLAMA GİDERİ</t>
  </si>
  <si>
    <t>760.005.137</t>
  </si>
  <si>
    <t>YÖNETİM BAYİ DESTEK GİDERİ</t>
  </si>
  <si>
    <t>760.005.206</t>
  </si>
  <si>
    <t>RADYO MEDYA</t>
  </si>
  <si>
    <t>760.005.216</t>
  </si>
  <si>
    <t>KURUMSAL SOSYAL SORUMLULUK</t>
  </si>
  <si>
    <t>760.005.232</t>
  </si>
  <si>
    <t>ARAŞTIRMA KALİTATİF</t>
  </si>
  <si>
    <t>760.005.234</t>
  </si>
  <si>
    <t>ARAŞTIRMA NEW BUSİNESS</t>
  </si>
  <si>
    <t>760.005.236</t>
  </si>
  <si>
    <t>TOPLANTI GİDERLERİ</t>
  </si>
  <si>
    <t>760.005.243</t>
  </si>
  <si>
    <t>AJANS WEB</t>
  </si>
  <si>
    <t>760.005.255</t>
  </si>
  <si>
    <t>760.005.264</t>
  </si>
  <si>
    <t>760.005.693</t>
  </si>
  <si>
    <t>ARAMA MOTORU OPTİMİZASYONU VE ANALİTİK</t>
  </si>
  <si>
    <t>760.010</t>
  </si>
  <si>
    <t>TD ŞUBE GİDERLERİ</t>
  </si>
  <si>
    <t>760.010.015</t>
  </si>
  <si>
    <t>760.010.016</t>
  </si>
  <si>
    <t>760.010.017</t>
  </si>
  <si>
    <t>760.010.022</t>
  </si>
  <si>
    <t>760.010.025</t>
  </si>
  <si>
    <t>TAMİR BAKIM GİDERLERİ</t>
  </si>
  <si>
    <t>760.010.030</t>
  </si>
  <si>
    <t>KARGO GİDERLERİ (MNG,YURTİÇİ)</t>
  </si>
  <si>
    <t>760.010.031</t>
  </si>
  <si>
    <t>760.010.034</t>
  </si>
  <si>
    <t>İLAÇLAMA VE TEMİZLİK GİDERLERİ TEVKİFATLI</t>
  </si>
  <si>
    <t>760.010.037</t>
  </si>
  <si>
    <t>İLAÇLAMA VE TEMİZLİK GİDERLERİ</t>
  </si>
  <si>
    <t>760.010.040</t>
  </si>
  <si>
    <t>760.010.041</t>
  </si>
  <si>
    <t>İŞ GÜVENLİĞİ  VE İŞ SAĞLIĞI GİDERLERİ</t>
  </si>
  <si>
    <t>760.010.046</t>
  </si>
  <si>
    <t>760.010.055</t>
  </si>
  <si>
    <t>760.010.060</t>
  </si>
  <si>
    <t>760.010.062</t>
  </si>
  <si>
    <t>760.010.065</t>
  </si>
  <si>
    <t>760.010.066</t>
  </si>
  <si>
    <t>760.010.070</t>
  </si>
  <si>
    <t>760.010.071</t>
  </si>
  <si>
    <t>YAKIT GİDERLERİ</t>
  </si>
  <si>
    <t>760.010.072</t>
  </si>
  <si>
    <t>PERSONEL GİYİM GİDERLERİ (MALİYET)</t>
  </si>
  <si>
    <t>760.010.074</t>
  </si>
  <si>
    <t>SARF MALZEMELERİ</t>
  </si>
  <si>
    <t>760.010.075</t>
  </si>
  <si>
    <t>POS MASRAFLARI (KREDİ KARTI) İNGENİCO İCİRO</t>
  </si>
  <si>
    <t>760.010.076</t>
  </si>
  <si>
    <t>760.010.080</t>
  </si>
  <si>
    <t>BANKA MASRAFLARI</t>
  </si>
  <si>
    <t>760.010.082</t>
  </si>
  <si>
    <t>BANKA TEMİNAT MEKTUBU MASRAFLARI</t>
  </si>
  <si>
    <t>760.010.083</t>
  </si>
  <si>
    <t>LEZZET TIRI GİDERLERİ</t>
  </si>
  <si>
    <t>760.010.085</t>
  </si>
  <si>
    <t>KART,KUPON,KOMİSYON GİDERLERİ</t>
  </si>
  <si>
    <t>760.010.090</t>
  </si>
  <si>
    <t>KIRTASİYE, MATBAA GİDERLERİ</t>
  </si>
  <si>
    <t>760.010.092</t>
  </si>
  <si>
    <t>REKLAM GİDERLERİ</t>
  </si>
  <si>
    <t>760.010.097</t>
  </si>
  <si>
    <t>MOTOR KURYE TAŞIMA HİZMET BEDELİ</t>
  </si>
  <si>
    <t>760.010.098</t>
  </si>
  <si>
    <t>PAKET KOMİSYON GİDERLERİ</t>
  </si>
  <si>
    <t>760.010.100</t>
  </si>
  <si>
    <t>AVM  DÜKKAN ASGARİ KİRA (ANA KİRA)</t>
  </si>
  <si>
    <t>760.010.103</t>
  </si>
  <si>
    <t>AVM ŞUBE DÜKKAN KİRA GİDERLERİ(STOPAJLI)</t>
  </si>
  <si>
    <t>760.010.105</t>
  </si>
  <si>
    <t>AVM CİRO KİRA GİDERLERİ %20 KDV</t>
  </si>
  <si>
    <t>760.010.106</t>
  </si>
  <si>
    <t>AVM DEPO STOPAJ KİRA GİDERİ</t>
  </si>
  <si>
    <t>760.010.107</t>
  </si>
  <si>
    <t>AVM AİDAT YANSITMA GİDERLERİ %0 KDV</t>
  </si>
  <si>
    <t>760.010.110</t>
  </si>
  <si>
    <t>AVM DEPO KİRA GİDERLERİ %20 KDV</t>
  </si>
  <si>
    <t>760.010.112</t>
  </si>
  <si>
    <t>AVM ORTAK ALAN %20 KDV</t>
  </si>
  <si>
    <t>760.010.115</t>
  </si>
  <si>
    <t>AVM ELEKTRİK GİDERLERİ</t>
  </si>
  <si>
    <t>760.010.116</t>
  </si>
  <si>
    <t>AVM GİDERLERİ VADE FARKLARI</t>
  </si>
  <si>
    <t>760.010.120</t>
  </si>
  <si>
    <t>AVM TÜKETİM BEDELİ (SU  VB.) %10 KDV</t>
  </si>
  <si>
    <t>760.010.125</t>
  </si>
  <si>
    <t>AVM REKLAM TANITIM GİDERLERİ %20</t>
  </si>
  <si>
    <t>760.010.126</t>
  </si>
  <si>
    <t>AVM DOĞALGAZ GİDERLERİ</t>
  </si>
  <si>
    <t>760.010.127</t>
  </si>
  <si>
    <t>AVM DİĞER GİDERLER</t>
  </si>
  <si>
    <t>760.010.170</t>
  </si>
  <si>
    <t>ŞUBELER NAKLİYE GİDERLERİ (NARLOG)</t>
  </si>
  <si>
    <t>760.010.173</t>
  </si>
  <si>
    <t>ŞUBELER NAKLİYE GİDERLERİ (AVM TAŞIMALAR)</t>
  </si>
  <si>
    <t>760.010.253</t>
  </si>
  <si>
    <t>760.010.255</t>
  </si>
  <si>
    <t>760.010.260</t>
  </si>
  <si>
    <t>760.010.261</t>
  </si>
  <si>
    <t>ŞEREFİYE AMORTİSMANI</t>
  </si>
  <si>
    <t>760.010.262</t>
  </si>
  <si>
    <t>760.010.264</t>
  </si>
  <si>
    <t>760.010.311</t>
  </si>
  <si>
    <t>AÇILIŞ ÖNCESİ KİRA GİDERLERİ</t>
  </si>
  <si>
    <t>760.010.312</t>
  </si>
  <si>
    <t>AÇILIŞ ÖNCESİ PERSONEL GİDERLERİ</t>
  </si>
  <si>
    <t>760.010.316</t>
  </si>
  <si>
    <t>AÇILIŞ ÖNCESİ DİĞER GİDERLER</t>
  </si>
  <si>
    <t>760.010.401</t>
  </si>
  <si>
    <t>760.010.403</t>
  </si>
  <si>
    <t>760.010.404</t>
  </si>
  <si>
    <t>760.010.601</t>
  </si>
  <si>
    <t>760.010.602</t>
  </si>
  <si>
    <t>760.010.604</t>
  </si>
  <si>
    <t>760.010.605</t>
  </si>
  <si>
    <t>760.010.606</t>
  </si>
  <si>
    <t>760.010.607</t>
  </si>
  <si>
    <t>760.010.608</t>
  </si>
  <si>
    <t>760.010.609</t>
  </si>
  <si>
    <t>760.010.612</t>
  </si>
  <si>
    <t>760.010.613</t>
  </si>
  <si>
    <t>760.010.614</t>
  </si>
  <si>
    <t>760.010.700</t>
  </si>
  <si>
    <t>760.050</t>
  </si>
  <si>
    <t>YANSITILACAK GİDERLER</t>
  </si>
  <si>
    <t>760.050.005</t>
  </si>
  <si>
    <t>AVM-CADDE DÜKKAN ASGARİ(ANA KİRA) YAN.BED.%20 KDV</t>
  </si>
  <si>
    <t>760.050.006</t>
  </si>
  <si>
    <t>KİRA GİDERLERİ YANSITMA(STOPAJLI)</t>
  </si>
  <si>
    <t>760.050.007</t>
  </si>
  <si>
    <t>AVM DİĞER KİRA (TERAS, ORTAK ALAN, VB.)   %20 KDV</t>
  </si>
  <si>
    <t>760.050.008</t>
  </si>
  <si>
    <t>AVM DÜKKAN KİRA GİDER (KDV.SİZ) 0 KDV.Lİ</t>
  </si>
  <si>
    <t>760.050.010</t>
  </si>
  <si>
    <t>AVM CİRO KİRA YANSITMA GİDERLERİ       %20 KDV</t>
  </si>
  <si>
    <t>760.050.011</t>
  </si>
  <si>
    <t>AVM CİRO KİRA YANSITMA GİDERLERİ       % 0  KDV</t>
  </si>
  <si>
    <t>760.050.015</t>
  </si>
  <si>
    <t>AVM DEPO KİRA  YANSITMAGİDERLERİ     %20 KDV</t>
  </si>
  <si>
    <t>760.050.016</t>
  </si>
  <si>
    <t>AVM ORTAK ALAN YANSITMA GİDERLERİ     %20 KDV</t>
  </si>
  <si>
    <t>760.050.018</t>
  </si>
  <si>
    <t>760.050.020</t>
  </si>
  <si>
    <t>AVM TÜKETİM BEDEL (ELEKTRİK, DOĞALGAZ)  %20 KDV</t>
  </si>
  <si>
    <t>760.050.021</t>
  </si>
  <si>
    <t>760.050.025</t>
  </si>
  <si>
    <t>AVM TÜKETİM BEDELİ( SU  V.B) %10 KDV</t>
  </si>
  <si>
    <t>760.050.028</t>
  </si>
  <si>
    <t>AVM REKLAM TANITIM GİDERLERİ  %20 KDV</t>
  </si>
  <si>
    <t>760.050.030</t>
  </si>
  <si>
    <t>İNŞAAT YANSITMA GİDERLERİ   %10 KDV</t>
  </si>
  <si>
    <t>760.050.032</t>
  </si>
  <si>
    <t>AMV MUHTELİF GİDERLER %0 KDV</t>
  </si>
  <si>
    <t>760.050.033</t>
  </si>
  <si>
    <t>AVM TÜKETİM BEDELİ( SU  V.B) %01 KDV</t>
  </si>
  <si>
    <t>760.050.035</t>
  </si>
  <si>
    <t>İNŞAAT YANSITMA GİDERLERİ  %20 KDV</t>
  </si>
  <si>
    <t>760.050.036</t>
  </si>
  <si>
    <t>AMV AİDAT YANSITMA GİDERLERİ %0 KDV</t>
  </si>
  <si>
    <t>760.050.040</t>
  </si>
  <si>
    <t>ÜRÜN HİZMET LOJİSTİK NAKLİYE GİDERİ  %20 KDV</t>
  </si>
  <si>
    <t>760.050.045</t>
  </si>
  <si>
    <t>YEMEK SEPETİ GİDERİ</t>
  </si>
  <si>
    <t>760.050.046</t>
  </si>
  <si>
    <t>GETİR YANSITMA GİDERİ</t>
  </si>
  <si>
    <t>760.050.047</t>
  </si>
  <si>
    <t>TRENDYOLGO YANSITMA GİDERİ</t>
  </si>
  <si>
    <t>760.050.048</t>
  </si>
  <si>
    <t>TRENDYOLGO YANSITMA GİDERİ %0</t>
  </si>
  <si>
    <t>760.050.049</t>
  </si>
  <si>
    <t>TRENDYOLGO - MULTİNET  KOMİSYON  GİDERİ %20</t>
  </si>
  <si>
    <t>760.050.050</t>
  </si>
  <si>
    <t>TEMİNAT MEKTUP GİDERİ BAYİLER</t>
  </si>
  <si>
    <t>760.050.051</t>
  </si>
  <si>
    <t>TRENDYOLGO - MULTİNET CİRO  GİDERİ %10</t>
  </si>
  <si>
    <t>760.050.052</t>
  </si>
  <si>
    <t>TRENDYOLGO - SODEXO  KOMİSYON  GİDERİ %20</t>
  </si>
  <si>
    <t>760.050.053</t>
  </si>
  <si>
    <t>MİGROS YEMEK KOMİSYON YANSITMA</t>
  </si>
  <si>
    <t>760.050.054</t>
  </si>
  <si>
    <t>TRENDYOLGO - EDENRED CİRO  GİDERİ %10</t>
  </si>
  <si>
    <t>760.050.055</t>
  </si>
  <si>
    <t>TRENDYOLGO - SODEXO CİRO  GİDERİ %10</t>
  </si>
  <si>
    <t>760.050.056</t>
  </si>
  <si>
    <t>TRENDYOLGO - EDENRED KOMİSYON YANSITMA GİDERİ %10</t>
  </si>
  <si>
    <t>760.050.061</t>
  </si>
  <si>
    <t>YEMEK BEDELİ (MÜŞTERİ ŞİKAYETİ)</t>
  </si>
  <si>
    <t>760.050.062</t>
  </si>
  <si>
    <t>VADE FARKI GİDERLERİ</t>
  </si>
  <si>
    <t>760.050.064</t>
  </si>
  <si>
    <t>KUR FARKI</t>
  </si>
  <si>
    <t>760.050.065</t>
  </si>
  <si>
    <t>EĞİTİM GİDERLERİ</t>
  </si>
  <si>
    <t>760.050.070</t>
  </si>
  <si>
    <t>FRANCHISE İŞYERİ SİGORTA YANSITMA GİDERLERİ</t>
  </si>
  <si>
    <t>760.050.071</t>
  </si>
  <si>
    <t>MERKEZ OFİS KİRA GİDERLERİ  YANSITMA %20</t>
  </si>
  <si>
    <t>760.050.072</t>
  </si>
  <si>
    <t>760.050.073</t>
  </si>
  <si>
    <t>MERKEZ OFİS ORTAK ALAN GİDERLERİ YANSITMA %20</t>
  </si>
  <si>
    <t>760.050.074</t>
  </si>
  <si>
    <t>MERKEZ OFİS ATIK SU GİDERLERİ YANSITMA % 10</t>
  </si>
  <si>
    <t>760.050.075</t>
  </si>
  <si>
    <t>MERKEZ OFİS ELEKTRİK GİDERLERİ YANSITMA %20</t>
  </si>
  <si>
    <t>760.050.076</t>
  </si>
  <si>
    <t>MERKEZ OFİS MUTFAK GİDERLERİ YANSITMA  %20</t>
  </si>
  <si>
    <t>760.050.077</t>
  </si>
  <si>
    <t>MERKEZ OFİS MUTFAK GİDERLERİ YANSITMA  % 10</t>
  </si>
  <si>
    <t>760.050.079</t>
  </si>
  <si>
    <t>MERKEZ OFİS ISITMA SOĞTMA GİDERLERİ  YANSITMA %20</t>
  </si>
  <si>
    <t>760.050.080</t>
  </si>
  <si>
    <t>MERKEZ OFİS MUTFAK GİDERLERİ YANSITMA  %1</t>
  </si>
  <si>
    <t>760.050.082</t>
  </si>
  <si>
    <t>MERKEZ OFİS SU GİDERLERİ YANSITMA % 1</t>
  </si>
  <si>
    <t>760.050.083</t>
  </si>
  <si>
    <t>MERKEZ OFİS DİĞER GİDERLER YANSITMA % 20</t>
  </si>
  <si>
    <t>760.050.084</t>
  </si>
  <si>
    <t>FERDİ KAZA VE TİCARİ PAKET SİGORTA YANSITMA GİDERİ</t>
  </si>
  <si>
    <t>760.050.088</t>
  </si>
  <si>
    <t>MUHTELİF GİDERLER % 20</t>
  </si>
  <si>
    <t>760.050.090</t>
  </si>
  <si>
    <t>MUHTELİF GİDERLER % 0</t>
  </si>
  <si>
    <t>760.052</t>
  </si>
  <si>
    <t>YANSITILACAK İHRACAT GİDERLERİ</t>
  </si>
  <si>
    <t>760.052.003</t>
  </si>
  <si>
    <t>KIBRIS İHRACAT YANSITMA GİDERLERİ %20  KDV Lİ</t>
  </si>
  <si>
    <t>760.101</t>
  </si>
  <si>
    <t>DIŞARIDAN SAĞLANAN HİZMETLER</t>
  </si>
  <si>
    <t>760.102</t>
  </si>
  <si>
    <t>760.103</t>
  </si>
  <si>
    <t>OPERASYONEL DENETİM GİDERLERİ</t>
  </si>
  <si>
    <t>760.104</t>
  </si>
  <si>
    <t>BAYİ GİDERLERİ</t>
  </si>
  <si>
    <t>760.104.104</t>
  </si>
  <si>
    <t>İNŞAAT HİZMET GİDERLERİ</t>
  </si>
  <si>
    <t>760.105</t>
  </si>
  <si>
    <t>760.105.003</t>
  </si>
  <si>
    <t>MERKEZ ÜRÜN GELİŞTİME TÜKETİM  GİDERLERİ</t>
  </si>
  <si>
    <t>760.106</t>
  </si>
  <si>
    <t>760.106.001</t>
  </si>
  <si>
    <t>760.107</t>
  </si>
  <si>
    <t>BİLGİ İŞLEM GİDERLERİ</t>
  </si>
  <si>
    <t>760.107.003</t>
  </si>
  <si>
    <t>760.110</t>
  </si>
  <si>
    <t>760.111</t>
  </si>
  <si>
    <t>VERGİ &amp; RESİM &amp; HARÇ</t>
  </si>
  <si>
    <t>760.112</t>
  </si>
  <si>
    <t>DİĞER GİDERLER</t>
  </si>
  <si>
    <t>760.113</t>
  </si>
  <si>
    <t>KULLANIM GİDERLERİ</t>
  </si>
  <si>
    <t>760.114</t>
  </si>
  <si>
    <t>ETKİNLİK GİDERLERİ</t>
  </si>
  <si>
    <t>760.114.002</t>
  </si>
  <si>
    <t>OPERASYON ETKİNLİK GİDERLERİ</t>
  </si>
  <si>
    <t>760.116</t>
  </si>
  <si>
    <t>760.117</t>
  </si>
  <si>
    <t>760.300</t>
  </si>
  <si>
    <t>760.301</t>
  </si>
  <si>
    <t>760.301.602</t>
  </si>
  <si>
    <t>770.001</t>
  </si>
  <si>
    <t>770.010</t>
  </si>
  <si>
    <t>DIŞARDAN SAĞLANAN FAYDA VE HİZMETLER</t>
  </si>
  <si>
    <t>770.010.115</t>
  </si>
  <si>
    <t>DAMGA VERGİSİ  GİDERLERİ</t>
  </si>
  <si>
    <t>770.020</t>
  </si>
  <si>
    <t>770.101</t>
  </si>
  <si>
    <t>770.101.001</t>
  </si>
  <si>
    <t>PAZAR ARAŞTIRMA GİDERLERİ</t>
  </si>
  <si>
    <t>770.102</t>
  </si>
  <si>
    <t>770.103</t>
  </si>
  <si>
    <t>770.103.003</t>
  </si>
  <si>
    <t>770.105</t>
  </si>
  <si>
    <t>770.106</t>
  </si>
  <si>
    <t>770.107</t>
  </si>
  <si>
    <t>770.107.005</t>
  </si>
  <si>
    <t>770.108</t>
  </si>
  <si>
    <t>770.109</t>
  </si>
  <si>
    <t>770.110</t>
  </si>
  <si>
    <t>770.111</t>
  </si>
  <si>
    <t>770.112</t>
  </si>
  <si>
    <t>770.112.005</t>
  </si>
  <si>
    <t>BANKA  GİDERLERİ</t>
  </si>
  <si>
    <t>770.113</t>
  </si>
  <si>
    <t>770.114</t>
  </si>
  <si>
    <t>770.115</t>
  </si>
  <si>
    <t>770.116</t>
  </si>
  <si>
    <t>770.117</t>
  </si>
  <si>
    <t>770.117.002</t>
  </si>
  <si>
    <t>TOPLANTI YEMEK GİDERLERİ</t>
  </si>
  <si>
    <t>780.005</t>
  </si>
  <si>
    <t>780.006</t>
  </si>
  <si>
    <t>780.008</t>
  </si>
  <si>
    <t>VADELİ İŞLEM OPSİYON PİYASASI FİNANSMAN GİDERLERİ</t>
  </si>
  <si>
    <t>780.010</t>
  </si>
  <si>
    <t>DBS MASRAFLARI</t>
  </si>
  <si>
    <t>780.020</t>
  </si>
  <si>
    <t>TAKSİTLİ KREDİ FİNANSMAN GİDERLERİ</t>
  </si>
  <si>
    <t>780.020.003</t>
  </si>
  <si>
    <t>TÜRKİYE FİNANSİ TAKSİTLİ KREDİ FİNANSMAN GİDERLERİ</t>
  </si>
  <si>
    <t>780.020.014</t>
  </si>
  <si>
    <t>DOĞAN YATIRIM TAKSİTLİ KREDİ FİNANSMAN GİDERİ</t>
  </si>
  <si>
    <t>780.020.017</t>
  </si>
  <si>
    <t>FİBA BANKASI  TAKSİTLİ KREDİ</t>
  </si>
  <si>
    <t>780.021</t>
  </si>
  <si>
    <t>TAKSİTSİZ KREDİ FİNANSMAN GİDERLERİ</t>
  </si>
  <si>
    <t>780.021.001</t>
  </si>
  <si>
    <t>GARANTİ BANKASI ROTATİF KREDİ FİNANSMAN GİDERLERİ</t>
  </si>
  <si>
    <t>780.021.004</t>
  </si>
  <si>
    <t>AKBANK  SPOT KREDİ FİNANSMAN GİDERLERİ</t>
  </si>
  <si>
    <t>780.021.007</t>
  </si>
  <si>
    <t>ING  BANKASI ROTATİF KREDİ FİNANSMAN GİDERLERİ</t>
  </si>
  <si>
    <t>780.021.014</t>
  </si>
  <si>
    <t>ING  BANKASI SPOT  KREDİ FİNANSMAN GİDERLERİ</t>
  </si>
  <si>
    <t>Enflasyon Düzeltmesi Zaraları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</si>
</sst>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₺_-;\-* #,##0.00\ _₺_-;_-* &quot;-&quot;??\ _₺_-;_-@_-"/>
    <numFmt numFmtId="165" formatCode="[$-41F]d\ mmmm\ yyyy;@"/>
    <numFmt numFmtId="166" formatCode="#,##0.0000"/>
    <numFmt numFmtId="167" formatCode="#,##0.00_ ;\-#,##0.00\ "/>
    <numFmt numFmtId="168" formatCode="_-* #,##0.00\ _T_L_-;\-* #,##0.00\ _T_L_-;_-* &quot;-&quot;??\ _T_L_-;_-@_-"/>
    <numFmt numFmtId="169" formatCode="#,##0.00;[Red]\(#,##0.00\)"/>
  </numFmts>
  <fonts count="37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color indexed="16"/>
      <name val="Tahoma"/>
      <family val="2"/>
      <charset val="162"/>
    </font>
    <font>
      <sz val="12"/>
      <name val="Tahoma"/>
      <family val="2"/>
      <charset val="162"/>
    </font>
    <font>
      <b/>
      <sz val="12"/>
      <color indexed="12"/>
      <name val="Tahoma"/>
      <family val="2"/>
      <charset val="162"/>
    </font>
    <font>
      <b/>
      <u/>
      <sz val="12"/>
      <color indexed="12"/>
      <name val="Tahoma"/>
      <family val="2"/>
      <charset val="162"/>
    </font>
    <font>
      <b/>
      <u/>
      <sz val="12"/>
      <color indexed="60"/>
      <name val="Tahoma"/>
      <family val="2"/>
      <charset val="162"/>
    </font>
    <font>
      <b/>
      <sz val="12"/>
      <color indexed="60"/>
      <name val="Tahoma"/>
      <family val="2"/>
      <charset val="162"/>
    </font>
    <font>
      <b/>
      <sz val="12"/>
      <name val="Tahoma"/>
      <family val="2"/>
      <charset val="162"/>
    </font>
    <font>
      <sz val="12"/>
      <color indexed="12"/>
      <name val="Tahoma"/>
      <family val="2"/>
      <charset val="162"/>
    </font>
    <font>
      <sz val="12"/>
      <color indexed="60"/>
      <name val="Tahoma"/>
      <family val="2"/>
      <charset val="162"/>
    </font>
    <font>
      <sz val="12"/>
      <color theme="1"/>
      <name val="Calibri"/>
      <family val="2"/>
      <charset val="162"/>
      <scheme val="minor"/>
    </font>
    <font>
      <sz val="12"/>
      <color indexed="63"/>
      <name val="Tahoma"/>
      <family val="2"/>
      <charset val="162"/>
    </font>
    <font>
      <sz val="8"/>
      <color rgb="FF7D99A3"/>
      <name val="Tahoma"/>
      <family val="2"/>
      <charset val="162"/>
    </font>
    <font>
      <sz val="8"/>
      <color rgb="FF7D99A3"/>
      <name val="Tahoma"/>
      <family val="2"/>
      <charset val="162"/>
    </font>
    <font>
      <sz val="12"/>
      <color rgb="FF000000"/>
      <name val="Tahoma"/>
      <family val="2"/>
      <charset val="162"/>
    </font>
    <font>
      <sz val="11"/>
      <name val="Calibri"/>
      <family val="2"/>
      <charset val="162"/>
    </font>
    <font>
      <sz val="11"/>
      <name val="Calibri"/>
      <family val="2"/>
      <charset val="162"/>
    </font>
    <font>
      <sz val="8"/>
      <name val="Calibri"/>
      <family val="2"/>
      <charset val="162"/>
      <scheme val="minor"/>
    </font>
    <font>
      <i/>
      <u/>
      <sz val="12"/>
      <color indexed="10"/>
      <name val="Tahoma"/>
      <family val="2"/>
      <charset val="162"/>
    </font>
    <font>
      <u/>
      <sz val="12"/>
      <color indexed="12"/>
      <name val="Tahoma"/>
      <family val="2"/>
      <charset val="162"/>
    </font>
    <font>
      <sz val="12"/>
      <color indexed="16"/>
      <name val="Tahoma"/>
      <family val="2"/>
      <charset val="162"/>
    </font>
    <font>
      <sz val="12"/>
      <color theme="5"/>
      <name val="Tahoma"/>
      <family val="2"/>
      <charset val="162"/>
    </font>
    <font>
      <sz val="12"/>
      <name val="Arial"/>
      <family val="2"/>
      <charset val="162"/>
    </font>
    <font>
      <i/>
      <sz val="12"/>
      <color indexed="12"/>
      <name val="Tahoma"/>
      <family val="2"/>
      <charset val="162"/>
    </font>
    <font>
      <i/>
      <sz val="12"/>
      <color indexed="57"/>
      <name val="Tahoma"/>
      <family val="2"/>
      <charset val="162"/>
    </font>
    <font>
      <sz val="9"/>
      <color rgb="FF000000"/>
      <name val="Tahoma"/>
      <family val="2"/>
      <charset val="162"/>
    </font>
    <font>
      <sz val="9"/>
      <color theme="1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sz val="14"/>
      <name val="Tahoma"/>
      <family val="2"/>
      <charset val="162"/>
    </font>
    <font>
      <sz val="11"/>
      <name val="Calibri"/>
      <family val="2"/>
      <charset val="162"/>
    </font>
    <font>
      <sz val="8"/>
      <color rgb="FF000000"/>
      <name val="Tahoma"/>
      <charset val="162"/>
    </font>
    <font>
      <sz val="11"/>
      <name val="Calibri"/>
      <charset val="1"/>
    </font>
    <font>
      <sz val="10"/>
      <name val="Arial Tur"/>
      <charset val="162"/>
    </font>
    <font>
      <b/>
      <sz val="11"/>
      <name val="Calibri"/>
      <family val="2"/>
      <charset val="162"/>
      <scheme val="minor"/>
    </font>
    <font>
      <sz val="10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A9A9A"/>
      </left>
      <right/>
      <top/>
      <bottom/>
      <diagonal/>
    </border>
  </borders>
  <cellStyleXfs count="4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7" fillId="0" borderId="0"/>
    <xf numFmtId="0" fontId="1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7" fillId="0" borderId="0"/>
    <xf numFmtId="0" fontId="31" fillId="0" borderId="0"/>
    <xf numFmtId="43" fontId="31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168" fontId="34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6">
    <xf numFmtId="0" fontId="0" fillId="0" borderId="0" xfId="0"/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5" fillId="0" borderId="0" xfId="1" applyNumberFormat="1" applyFont="1" applyAlignment="1">
      <alignment horizontal="right"/>
    </xf>
    <xf numFmtId="4" fontId="6" fillId="0" borderId="0" xfId="1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9" fillId="0" borderId="0" xfId="1" applyFont="1"/>
    <xf numFmtId="0" fontId="9" fillId="0" borderId="0" xfId="1" applyFont="1" applyAlignment="1">
      <alignment horizontal="center"/>
    </xf>
    <xf numFmtId="0" fontId="10" fillId="0" borderId="0" xfId="1" applyFont="1" applyAlignment="1">
      <alignment horizontal="right"/>
    </xf>
    <xf numFmtId="0" fontId="11" fillId="0" borderId="0" xfId="1" applyFont="1" applyAlignment="1">
      <alignment horizontal="right"/>
    </xf>
    <xf numFmtId="0" fontId="10" fillId="0" borderId="0" xfId="1" applyFont="1"/>
    <xf numFmtId="0" fontId="10" fillId="0" borderId="0" xfId="1" quotePrefix="1" applyFont="1" applyAlignment="1">
      <alignment horizontal="center"/>
    </xf>
    <xf numFmtId="4" fontId="5" fillId="0" borderId="0" xfId="1" applyNumberFormat="1" applyFont="1"/>
    <xf numFmtId="4" fontId="10" fillId="0" borderId="0" xfId="1" applyNumberFormat="1" applyFont="1"/>
    <xf numFmtId="0" fontId="11" fillId="0" borderId="0" xfId="1" applyFont="1"/>
    <xf numFmtId="49" fontId="12" fillId="0" borderId="0" xfId="0" applyNumberFormat="1" applyFont="1"/>
    <xf numFmtId="4" fontId="4" fillId="0" borderId="0" xfId="1" applyNumberFormat="1" applyFont="1"/>
    <xf numFmtId="14" fontId="11" fillId="0" borderId="0" xfId="1" applyNumberFormat="1" applyFont="1"/>
    <xf numFmtId="0" fontId="4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right"/>
    </xf>
    <xf numFmtId="4" fontId="4" fillId="0" borderId="0" xfId="1" applyNumberFormat="1" applyFont="1" applyAlignment="1">
      <alignment horizontal="right"/>
    </xf>
    <xf numFmtId="0" fontId="11" fillId="0" borderId="0" xfId="1" applyFont="1" applyAlignment="1">
      <alignment horizontal="center"/>
    </xf>
    <xf numFmtId="4" fontId="11" fillId="0" borderId="0" xfId="1" applyNumberFormat="1" applyFont="1"/>
    <xf numFmtId="0" fontId="5" fillId="0" borderId="0" xfId="1" applyFont="1" applyAlignment="1">
      <alignment horizontal="center"/>
    </xf>
    <xf numFmtId="0" fontId="13" fillId="0" borderId="0" xfId="1" applyFont="1"/>
    <xf numFmtId="164" fontId="4" fillId="0" borderId="0" xfId="2" applyFont="1"/>
    <xf numFmtId="0" fontId="4" fillId="0" borderId="0" xfId="1" applyFont="1" applyAlignment="1">
      <alignment horizontal="right"/>
    </xf>
    <xf numFmtId="165" fontId="5" fillId="0" borderId="5" xfId="1" applyNumberFormat="1" applyFont="1" applyBorder="1" applyAlignment="1">
      <alignment horizontal="right"/>
    </xf>
    <xf numFmtId="164" fontId="11" fillId="0" borderId="0" xfId="2" applyFont="1"/>
    <xf numFmtId="164" fontId="10" fillId="0" borderId="0" xfId="2" applyFont="1"/>
    <xf numFmtId="39" fontId="16" fillId="4" borderId="6" xfId="0" applyNumberFormat="1" applyFont="1" applyFill="1" applyBorder="1" applyAlignment="1">
      <alignment horizontal="right" vertical="top" wrapText="1"/>
    </xf>
    <xf numFmtId="0" fontId="5" fillId="0" borderId="1" xfId="1" applyFont="1" applyBorder="1" applyAlignment="1">
      <alignment horizontal="right"/>
    </xf>
    <xf numFmtId="0" fontId="8" fillId="0" borderId="2" xfId="1" applyFont="1" applyBorder="1" applyAlignment="1">
      <alignment horizontal="center"/>
    </xf>
    <xf numFmtId="0" fontId="5" fillId="0" borderId="2" xfId="1" applyFont="1" applyBorder="1"/>
    <xf numFmtId="0" fontId="5" fillId="0" borderId="2" xfId="1" applyFont="1" applyBorder="1" applyAlignment="1">
      <alignment horizontal="center"/>
    </xf>
    <xf numFmtId="4" fontId="5" fillId="0" borderId="3" xfId="1" applyNumberFormat="1" applyFont="1" applyBorder="1"/>
    <xf numFmtId="0" fontId="5" fillId="0" borderId="1" xfId="1" applyFont="1" applyBorder="1"/>
    <xf numFmtId="0" fontId="5" fillId="0" borderId="2" xfId="1" applyFont="1" applyBorder="1" applyAlignment="1">
      <alignment horizontal="right"/>
    </xf>
    <xf numFmtId="0" fontId="8" fillId="0" borderId="0" xfId="1" applyFont="1" applyAlignment="1">
      <alignment horizontal="center"/>
    </xf>
    <xf numFmtId="0" fontId="20" fillId="2" borderId="0" xfId="1" applyFont="1" applyFill="1" applyAlignment="1">
      <alignment horizontal="center"/>
    </xf>
    <xf numFmtId="4" fontId="21" fillId="2" borderId="0" xfId="1" applyNumberFormat="1" applyFont="1" applyFill="1" applyAlignment="1">
      <alignment horizontal="center"/>
    </xf>
    <xf numFmtId="4" fontId="6" fillId="0" borderId="0" xfId="1" applyNumberFormat="1" applyFont="1" applyAlignment="1">
      <alignment horizontal="center"/>
    </xf>
    <xf numFmtId="165" fontId="5" fillId="0" borderId="4" xfId="1" applyNumberFormat="1" applyFont="1" applyBorder="1" applyAlignment="1">
      <alignment horizontal="right"/>
    </xf>
    <xf numFmtId="0" fontId="11" fillId="0" borderId="0" xfId="1" quotePrefix="1" applyFont="1" applyAlignment="1">
      <alignment horizontal="center"/>
    </xf>
    <xf numFmtId="4" fontId="11" fillId="0" borderId="0" xfId="1" applyNumberFormat="1" applyFont="1" applyAlignment="1">
      <alignment horizontal="right"/>
    </xf>
    <xf numFmtId="4" fontId="22" fillId="0" borderId="0" xfId="1" applyNumberFormat="1" applyFont="1"/>
    <xf numFmtId="4" fontId="22" fillId="0" borderId="0" xfId="1" applyNumberFormat="1" applyFont="1" applyAlignment="1">
      <alignment horizontal="right"/>
    </xf>
    <xf numFmtId="0" fontId="23" fillId="0" borderId="0" xfId="1" applyFont="1" applyAlignment="1">
      <alignment horizontal="center"/>
    </xf>
    <xf numFmtId="4" fontId="23" fillId="0" borderId="0" xfId="1" applyNumberFormat="1" applyFont="1"/>
    <xf numFmtId="0" fontId="24" fillId="0" borderId="0" xfId="1" applyFont="1"/>
    <xf numFmtId="4" fontId="5" fillId="0" borderId="2" xfId="1" applyNumberFormat="1" applyFont="1" applyBorder="1"/>
    <xf numFmtId="4" fontId="25" fillId="0" borderId="0" xfId="1" applyNumberFormat="1" applyFont="1"/>
    <xf numFmtId="4" fontId="8" fillId="0" borderId="0" xfId="1" applyNumberFormat="1" applyFont="1"/>
    <xf numFmtId="166" fontId="26" fillId="3" borderId="0" xfId="1" applyNumberFormat="1" applyFont="1" applyFill="1"/>
    <xf numFmtId="4" fontId="25" fillId="3" borderId="0" xfId="1" applyNumberFormat="1" applyFont="1" applyFill="1"/>
    <xf numFmtId="166" fontId="25" fillId="3" borderId="0" xfId="1" applyNumberFormat="1" applyFont="1" applyFill="1"/>
    <xf numFmtId="0" fontId="25" fillId="3" borderId="0" xfId="1" applyFont="1" applyFill="1"/>
    <xf numFmtId="0" fontId="25" fillId="3" borderId="0" xfId="1" applyFont="1" applyFill="1" applyAlignment="1">
      <alignment horizontal="center"/>
    </xf>
    <xf numFmtId="164" fontId="28" fillId="0" borderId="0" xfId="2" applyFont="1" applyFill="1"/>
    <xf numFmtId="43" fontId="4" fillId="0" borderId="0" xfId="1" applyNumberFormat="1" applyFont="1"/>
    <xf numFmtId="43" fontId="11" fillId="0" borderId="0" xfId="1" applyNumberFormat="1" applyFont="1"/>
    <xf numFmtId="43" fontId="10" fillId="0" borderId="0" xfId="1" applyNumberFormat="1" applyFont="1"/>
    <xf numFmtId="0" fontId="28" fillId="0" borderId="0" xfId="0" applyFont="1"/>
    <xf numFmtId="39" fontId="27" fillId="0" borderId="7" xfId="0" applyNumberFormat="1" applyFont="1" applyBorder="1" applyAlignment="1">
      <alignment horizontal="right" vertical="top"/>
    </xf>
    <xf numFmtId="167" fontId="28" fillId="0" borderId="0" xfId="0" applyNumberFormat="1" applyFont="1"/>
    <xf numFmtId="164" fontId="4" fillId="0" borderId="0" xfId="2" applyFont="1" applyFill="1"/>
    <xf numFmtId="0" fontId="25" fillId="0" borderId="0" xfId="1" applyFont="1"/>
    <xf numFmtId="0" fontId="29" fillId="4" borderId="6" xfId="0" applyFont="1" applyFill="1" applyBorder="1" applyAlignment="1">
      <alignment horizontal="left" vertical="top"/>
    </xf>
    <xf numFmtId="39" fontId="29" fillId="4" borderId="6" xfId="0" applyNumberFormat="1" applyFont="1" applyFill="1" applyBorder="1" applyAlignment="1">
      <alignment horizontal="right" vertical="top"/>
    </xf>
    <xf numFmtId="0" fontId="10" fillId="5" borderId="0" xfId="1" applyFont="1" applyFill="1" applyAlignment="1">
      <alignment horizontal="right"/>
    </xf>
    <xf numFmtId="164" fontId="4" fillId="0" borderId="0" xfId="2" applyFont="1" applyAlignment="1">
      <alignment horizontal="center"/>
    </xf>
    <xf numFmtId="164" fontId="30" fillId="0" borderId="0" xfId="2" applyFont="1" applyAlignment="1">
      <alignment horizontal="center"/>
    </xf>
    <xf numFmtId="164" fontId="29" fillId="4" borderId="6" xfId="2" applyFont="1" applyFill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9" fontId="12" fillId="0" borderId="0" xfId="0" quotePrefix="1" applyNumberFormat="1" applyFont="1"/>
    <xf numFmtId="0" fontId="12" fillId="0" borderId="0" xfId="0" quotePrefix="1" applyFont="1"/>
    <xf numFmtId="0" fontId="12" fillId="0" borderId="0" xfId="0" quotePrefix="1" applyFont="1" applyAlignment="1">
      <alignment horizontal="left"/>
    </xf>
    <xf numFmtId="0" fontId="32" fillId="4" borderId="6" xfId="0" applyFont="1" applyFill="1" applyBorder="1" applyAlignment="1">
      <alignment horizontal="left" vertical="top"/>
    </xf>
    <xf numFmtId="43" fontId="32" fillId="4" borderId="6" xfId="41" applyFont="1" applyFill="1" applyBorder="1" applyAlignment="1">
      <alignment horizontal="right" vertical="top"/>
    </xf>
    <xf numFmtId="0" fontId="32" fillId="4" borderId="6" xfId="0" applyFont="1" applyFill="1" applyBorder="1" applyAlignment="1">
      <alignment horizontal="left" vertical="top" wrapText="1"/>
    </xf>
    <xf numFmtId="9" fontId="4" fillId="0" borderId="0" xfId="1" applyNumberFormat="1" applyFont="1" applyAlignment="1">
      <alignment horizontal="center"/>
    </xf>
    <xf numFmtId="169" fontId="35" fillId="0" borderId="17" xfId="42" applyNumberFormat="1" applyFont="1" applyFill="1" applyBorder="1" applyAlignment="1" applyProtection="1"/>
    <xf numFmtId="39" fontId="32" fillId="4" borderId="6" xfId="0" applyNumberFormat="1" applyFont="1" applyFill="1" applyBorder="1" applyAlignment="1">
      <alignment horizontal="right" vertical="top" wrapText="1"/>
    </xf>
    <xf numFmtId="0" fontId="0" fillId="7" borderId="0" xfId="0" applyFill="1"/>
    <xf numFmtId="167" fontId="0" fillId="0" borderId="0" xfId="0" applyNumberFormat="1"/>
    <xf numFmtId="0" fontId="32" fillId="4" borderId="0" xfId="0" applyFont="1" applyFill="1" applyAlignment="1">
      <alignment horizontal="left" vertical="top" wrapText="1"/>
    </xf>
    <xf numFmtId="39" fontId="32" fillId="4" borderId="0" xfId="0" applyNumberFormat="1" applyFont="1" applyFill="1" applyAlignment="1">
      <alignment horizontal="right" vertical="top" wrapText="1"/>
    </xf>
    <xf numFmtId="0" fontId="36" fillId="0" borderId="6" xfId="0" applyFont="1" applyBorder="1" applyAlignment="1">
      <alignment horizontal="left" vertical="top" wrapText="1"/>
    </xf>
    <xf numFmtId="0" fontId="32" fillId="6" borderId="6" xfId="0" applyFont="1" applyFill="1" applyBorder="1" applyAlignment="1">
      <alignment horizontal="left" vertical="top" wrapText="1"/>
    </xf>
    <xf numFmtId="39" fontId="32" fillId="6" borderId="6" xfId="0" applyNumberFormat="1" applyFont="1" applyFill="1" applyBorder="1" applyAlignment="1">
      <alignment horizontal="right" vertical="top" wrapText="1"/>
    </xf>
    <xf numFmtId="16" fontId="0" fillId="0" borderId="0" xfId="0" applyNumberFormat="1"/>
    <xf numFmtId="39" fontId="32" fillId="4" borderId="18" xfId="0" applyNumberFormat="1" applyFont="1" applyFill="1" applyBorder="1" applyAlignment="1">
      <alignment horizontal="right" vertical="top" wrapText="1"/>
    </xf>
    <xf numFmtId="0" fontId="3" fillId="0" borderId="0" xfId="1" applyFont="1" applyAlignment="1">
      <alignment horizontal="center"/>
    </xf>
  </cellXfs>
  <cellStyles count="44">
    <cellStyle name="Binlik Ayracı_Eylül_mali tablolar" xfId="42" xr:uid="{5CA3C803-E226-4122-948E-305C40D6C811}"/>
    <cellStyle name="Normal" xfId="0" builtinId="0"/>
    <cellStyle name="Normal 2" xfId="1" xr:uid="{00000000-0005-0000-0000-000001000000}"/>
    <cellStyle name="Normal 2 2" xfId="17" xr:uid="{00000000-0005-0000-0000-000002000000}"/>
    <cellStyle name="Normal 2 3" xfId="9" xr:uid="{00000000-0005-0000-0000-000003000000}"/>
    <cellStyle name="Normal 2 3 2" xfId="27" xr:uid="{0BEAC060-2914-48EE-B8F5-3085560826BC}"/>
    <cellStyle name="Normal 3" xfId="5" xr:uid="{00000000-0005-0000-0000-000004000000}"/>
    <cellStyle name="Normal 3 2" xfId="15" xr:uid="{00000000-0005-0000-0000-000005000000}"/>
    <cellStyle name="Normal 3 2 2" xfId="33" xr:uid="{D9C9963E-3B6B-4E69-997D-F4D69A98A67A}"/>
    <cellStyle name="Normal 3 3" xfId="11" xr:uid="{00000000-0005-0000-0000-000006000000}"/>
    <cellStyle name="Normal 3 3 2" xfId="29" xr:uid="{71A454E1-C1FD-4FC8-8C0D-35E88D38F172}"/>
    <cellStyle name="Normal 4" xfId="7" xr:uid="{00000000-0005-0000-0000-000007000000}"/>
    <cellStyle name="Normal 4 2" xfId="25" xr:uid="{CCF27F64-ABE3-48B3-B68C-4BB3D4D14847}"/>
    <cellStyle name="Normal 5" xfId="20" xr:uid="{FD06BC5B-3DA5-4C2F-8444-92AAD16DB9D3}"/>
    <cellStyle name="Normal 6" xfId="21" xr:uid="{D69217F3-5578-42DA-A67B-227DDE1BB3A3}"/>
    <cellStyle name="Normal 6 2" xfId="37" xr:uid="{9E873A95-C67C-42F4-9E7E-A3A6CF29FEEF}"/>
    <cellStyle name="Normal 7" xfId="38" xr:uid="{3A6F269A-3A93-42E4-AC75-A6D42C71E648}"/>
    <cellStyle name="Normal 8" xfId="40" xr:uid="{0E2D938B-0314-4668-A41C-D537F5955944}"/>
    <cellStyle name="Virgül" xfId="2" builtinId="3"/>
    <cellStyle name="Virgül 2" xfId="3" xr:uid="{00000000-0005-0000-0000-000009000000}"/>
    <cellStyle name="Virgül 2 2" xfId="8" xr:uid="{00000000-0005-0000-0000-00000A000000}"/>
    <cellStyle name="Virgül 2 2 2" xfId="26" xr:uid="{A89CF5CB-72AC-41F2-8BCA-357684831D7B}"/>
    <cellStyle name="Virgül 2 3" xfId="18" xr:uid="{00000000-0005-0000-0000-00000B000000}"/>
    <cellStyle name="Virgül 2 3 2" xfId="35" xr:uid="{93061E4F-EFB8-4F0C-9286-B0BC15337447}"/>
    <cellStyle name="Virgül 2 4" xfId="22" xr:uid="{13D37546-93E4-420E-82BD-AE035DFB9F76}"/>
    <cellStyle name="Virgül 3" xfId="4" xr:uid="{00000000-0005-0000-0000-00000C000000}"/>
    <cellStyle name="Virgül 3 2" xfId="16" xr:uid="{00000000-0005-0000-0000-00000D000000}"/>
    <cellStyle name="Virgül 3 2 2" xfId="34" xr:uid="{98C04ED9-9A21-47EE-AE21-AA76DD78B675}"/>
    <cellStyle name="Virgül 3 3" xfId="10" xr:uid="{00000000-0005-0000-0000-00000E000000}"/>
    <cellStyle name="Virgül 3 3 2" xfId="28" xr:uid="{9CC3C89D-28E6-404C-96B4-666FE0214A0A}"/>
    <cellStyle name="Virgül 3 4" xfId="23" xr:uid="{7244B4AE-2B61-4860-AD10-0E8EF8678DF7}"/>
    <cellStyle name="Virgül 4" xfId="6" xr:uid="{00000000-0005-0000-0000-00000F000000}"/>
    <cellStyle name="Virgül 4 2" xfId="19" xr:uid="{00000000-0005-0000-0000-000010000000}"/>
    <cellStyle name="Virgül 4 2 2" xfId="36" xr:uid="{46EA5167-D99D-4F11-AC30-5387BA06E0FD}"/>
    <cellStyle name="Virgül 4 3" xfId="12" xr:uid="{00000000-0005-0000-0000-000011000000}"/>
    <cellStyle name="Virgül 4 3 2" xfId="30" xr:uid="{79D25C6A-F1D1-41A4-A0A8-F729B53A74AE}"/>
    <cellStyle name="Virgül 4 4" xfId="24" xr:uid="{1414FBCB-4253-4A58-8751-DF89BADCDFBF}"/>
    <cellStyle name="Virgül 5" xfId="13" xr:uid="{00000000-0005-0000-0000-000012000000}"/>
    <cellStyle name="Virgül 5 2" xfId="31" xr:uid="{BB1C7F9A-CB07-48AA-95AE-F32DD7A40CFC}"/>
    <cellStyle name="Virgül 6" xfId="14" xr:uid="{00000000-0005-0000-0000-000013000000}"/>
    <cellStyle name="Virgül 6 2" xfId="32" xr:uid="{77BE0240-4B34-4E13-95DE-5FA294834C76}"/>
    <cellStyle name="Virgül 7" xfId="39" xr:uid="{B2371874-0F36-4E1F-B690-31A15B25C292}"/>
    <cellStyle name="Virgül 8" xfId="41" xr:uid="{5C5C4798-F914-4D09-90D0-71615441D3FA}"/>
    <cellStyle name="Virgül 9" xfId="43" xr:uid="{09C9899C-3D39-4902-B38A-164A431960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İrfan Büyükçolak" refreshedDate="45039.991405555556" createdVersion="8" refreshedVersion="8" minRefreshableVersion="3" recordCount="55" xr:uid="{07571A03-0009-4708-A8C6-601E7AEB6FF1}">
  <cacheSource type="worksheet">
    <worksheetSource ref="A1:H56" sheet="KKEG 140422"/>
  </cacheSource>
  <cacheFields count="8">
    <cacheField name="Hesap Kodu" numFmtId="0">
      <sharedItems/>
    </cacheField>
    <cacheField name="Hesap Adı" numFmtId="0">
      <sharedItems/>
    </cacheField>
    <cacheField name="Borç" numFmtId="39">
      <sharedItems containsSemiMixedTypes="0" containsString="0" containsNumber="1" minValue="48.59" maxValue="1490812.04"/>
    </cacheField>
    <cacheField name="Alacak" numFmtId="39">
      <sharedItems containsSemiMixedTypes="0" containsString="0" containsNumber="1" minValue="0" maxValue="544474.22"/>
    </cacheField>
    <cacheField name="Bakiye Borç" numFmtId="39">
      <sharedItems containsSemiMixedTypes="0" containsString="0" containsNumber="1" minValue="31.78" maxValue="946337.82"/>
    </cacheField>
    <cacheField name="Bakiye Alacak" numFmtId="39">
      <sharedItems containsSemiMixedTypes="0" containsString="0" containsNumber="1" containsInteger="1" minValue="0" maxValue="0"/>
    </cacheField>
    <cacheField name="Bakiye" numFmtId="39">
      <sharedItems containsSemiMixedTypes="0" containsString="0" containsNumber="1" minValue="31.78" maxValue="946337.82"/>
    </cacheField>
    <cacheField name="TÜR" numFmtId="1">
      <sharedItems containsMixedTypes="1" containsNumber="1" containsInteger="1" minValue="11" maxValue="40" count="7">
        <s v="DİĞER"/>
        <n v="11"/>
        <s v="BAĞIŞ"/>
        <s v="YENİDEN DEĞERLEME"/>
        <n v="40"/>
        <s v="Öİ"/>
        <s v="MT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681.002.001"/>
    <s v="ÖNCEKİ DÖNEME AİT GİDERLER KKEG"/>
    <n v="2109.98"/>
    <n v="0"/>
    <n v="2109.98"/>
    <n v="0"/>
    <n v="2109.98"/>
    <x v="0"/>
  </r>
  <r>
    <s v="689.001.004"/>
    <s v="VERGİ CEZALARI KKEG"/>
    <n v="1773.83"/>
    <n v="0"/>
    <n v="1773.83"/>
    <n v="0"/>
    <n v="1773.83"/>
    <x v="1"/>
  </r>
  <r>
    <s v="689.001.009"/>
    <s v="BAĞIŞ VE YARDIM GİDERLERİ KKEG"/>
    <n v="119689"/>
    <n v="0"/>
    <n v="119689"/>
    <n v="0"/>
    <n v="119689"/>
    <x v="2"/>
  </r>
  <r>
    <s v="689.001.015"/>
    <s v="YUVARLAMA FARKLARI KKEG"/>
    <n v="48.59"/>
    <n v="16.809999999999999"/>
    <n v="31.78"/>
    <n v="0"/>
    <n v="31.78"/>
    <x v="0"/>
  </r>
  <r>
    <s v="689.001.016"/>
    <s v="KANUNEN KABUL EDİLMEYEN GİDERLER KKEG"/>
    <n v="50850.34"/>
    <n v="0"/>
    <n v="50850.34"/>
    <n v="0"/>
    <n v="50850.34"/>
    <x v="0"/>
  </r>
  <r>
    <s v="689.001.023"/>
    <s v="SABİT KIYMET YEDİDEN DEĞERLEME 7326 KKEG"/>
    <n v="769795.12"/>
    <n v="0"/>
    <n v="769795.12"/>
    <n v="0"/>
    <n v="769795.12"/>
    <x v="3"/>
  </r>
  <r>
    <s v="689.001.254"/>
    <s v="ARAÇ GİDERLERİ AMORTİSMAN KKEG"/>
    <n v="1490812.04"/>
    <n v="544474.22"/>
    <n v="946337.82"/>
    <n v="0"/>
    <n v="946337.82"/>
    <x v="4"/>
  </r>
  <r>
    <s v="689.001.255"/>
    <s v="ARAÇ LASTİK GİDERLERİ KKEG"/>
    <n v="18436.75"/>
    <n v="8524.7900000000009"/>
    <n v="9911.9599999999991"/>
    <n v="0"/>
    <n v="9911.9599999999991"/>
    <x v="4"/>
  </r>
  <r>
    <s v="689.007.002"/>
    <s v="VUK- NA UYGUN BELGELENEMEYEN HARCAMALAR KKEG"/>
    <n v="2083.7600000000002"/>
    <n v="0"/>
    <n v="2083.7600000000002"/>
    <n v="0"/>
    <n v="2083.7600000000002"/>
    <x v="0"/>
  </r>
  <r>
    <s v="689.007.003"/>
    <s v="VERGİ CEZALARI KKEG"/>
    <n v="1398.08"/>
    <n v="274"/>
    <n v="1124.08"/>
    <n v="0"/>
    <n v="1124.08"/>
    <x v="1"/>
  </r>
  <r>
    <s v="689.007.004"/>
    <s v="İDARİ PARA CEZALARI KKEG"/>
    <n v="640.5"/>
    <n v="0"/>
    <n v="640.5"/>
    <n v="0"/>
    <n v="640.5"/>
    <x v="1"/>
  </r>
  <r>
    <s v="689.007.005"/>
    <s v="YUVARLAMA FARKLARI KKEG"/>
    <n v="932.67"/>
    <n v="7.0000000000000007E-2"/>
    <n v="932.6"/>
    <n v="0"/>
    <n v="932.6"/>
    <x v="0"/>
  </r>
  <r>
    <s v="689.007.006"/>
    <s v="KANUNEN KABUL EDİLMEYEN GİDERLER KKEG"/>
    <n v="322310.98"/>
    <n v="1220"/>
    <n v="321090.98"/>
    <n v="0"/>
    <n v="321090.98"/>
    <x v="0"/>
  </r>
  <r>
    <s v="689.007.007"/>
    <s v="TRAFİK CEZALARI KKEG"/>
    <n v="1521"/>
    <n v="0"/>
    <n v="1521"/>
    <n v="0"/>
    <n v="1521"/>
    <x v="1"/>
  </r>
  <r>
    <s v="689.007.008"/>
    <s v="ARAÇ GİDERLERİ KDVSİ KKEG"/>
    <n v="226579.06"/>
    <n v="23713.4"/>
    <n v="202865.66"/>
    <n v="0"/>
    <n v="202865.66"/>
    <x v="4"/>
  </r>
  <r>
    <s v="730.212.007"/>
    <s v="ÖZEL İLETİŞİM VERGİSİ KKEG"/>
    <n v="1981.8"/>
    <n v="0"/>
    <n v="1981.8"/>
    <n v="0"/>
    <n v="1981.8"/>
    <x v="5"/>
  </r>
  <r>
    <s v="730.307.018"/>
    <s v="FİLO GİDERLERİ - MTV KKEG"/>
    <n v="12911.7"/>
    <n v="0"/>
    <n v="12911.7"/>
    <n v="0"/>
    <n v="12911.7"/>
    <x v="6"/>
  </r>
  <r>
    <s v="730.307.116"/>
    <s v="FİLO GİDERLERİ - TRAFİK SİGORTASI KKEG"/>
    <n v="2297.81"/>
    <n v="0"/>
    <n v="2297.81"/>
    <n v="0"/>
    <n v="2297.81"/>
    <x v="4"/>
  </r>
  <r>
    <s v="730.307.117"/>
    <s v="FİLO GİDERLERİ - KASKO SİGORTA KKEG"/>
    <n v="5829.52"/>
    <n v="0"/>
    <n v="5829.52"/>
    <n v="0"/>
    <n v="5829.52"/>
    <x v="4"/>
  </r>
  <r>
    <s v="730.307.119"/>
    <s v="FİLO GİDERLERİ - BAKIM ONARIM KKEG"/>
    <n v="36673.949999999997"/>
    <n v="19304.86"/>
    <n v="17369.09"/>
    <n v="0"/>
    <n v="17369.09"/>
    <x v="4"/>
  </r>
  <r>
    <s v="730.307.120"/>
    <s v="ARAÇ YAKIT GİDERLERİ KKEG"/>
    <n v="97731.72"/>
    <n v="0"/>
    <n v="97731.72"/>
    <n v="0"/>
    <n v="97731.72"/>
    <x v="4"/>
  </r>
  <r>
    <s v="730.307.121"/>
    <s v="ARAÇ KİRA GİDERLERİ KKEG"/>
    <n v="41160"/>
    <n v="0"/>
    <n v="41160"/>
    <n v="0"/>
    <n v="41160"/>
    <x v="4"/>
  </r>
  <r>
    <s v="730.307.123"/>
    <s v="ARAÇ GİDERLERİ  - OTOPARK KKEG"/>
    <n v="180.86"/>
    <n v="0"/>
    <n v="180.86"/>
    <n v="0"/>
    <n v="180.86"/>
    <x v="4"/>
  </r>
  <r>
    <s v="730.307.124"/>
    <s v="ARAÇ GİDERLERİ  - HGS KKEG"/>
    <n v="8309.76"/>
    <n v="42.99"/>
    <n v="8266.77"/>
    <n v="0"/>
    <n v="8266.77"/>
    <x v="4"/>
  </r>
  <r>
    <s v="730.307.125"/>
    <s v="ARAÇ GİDERLERİ  - YIKAMA KKEG"/>
    <n v="274.98"/>
    <n v="0"/>
    <n v="274.98"/>
    <n v="0"/>
    <n v="274.98"/>
    <x v="4"/>
  </r>
  <r>
    <s v="730.307.126"/>
    <s v="ARAÇ DİĞER GİDERLERİ KKEG"/>
    <n v="2805.81"/>
    <n v="0"/>
    <n v="2805.81"/>
    <n v="0"/>
    <n v="2805.81"/>
    <x v="4"/>
  </r>
  <r>
    <s v="730.312.007"/>
    <s v="ÖZEL İLETİŞİM VERGİSİ KKEG"/>
    <n v="15669.9"/>
    <n v="0"/>
    <n v="15669.9"/>
    <n v="0"/>
    <n v="15669.9"/>
    <x v="5"/>
  </r>
  <r>
    <s v="760.010.130"/>
    <s v="ÖZEL İLETİŞİM VERGİSİ KKEG"/>
    <n v="3692.27"/>
    <n v="0"/>
    <n v="3692.27"/>
    <n v="0"/>
    <n v="3692.27"/>
    <x v="5"/>
  </r>
  <r>
    <s v="760.010.131"/>
    <s v="VERGİ-İDARİ PARA CEZALARI GECİKME FAİZLERİ KKEG"/>
    <n v="5987.31"/>
    <n v="0"/>
    <n v="5987.31"/>
    <n v="0"/>
    <n v="5987.31"/>
    <x v="1"/>
  </r>
  <r>
    <s v="760.010.132"/>
    <s v="VUK- NA UYGUN BELGELENEMEYEN HARCAMALAR KKEG"/>
    <n v="500"/>
    <n v="0"/>
    <n v="500"/>
    <n v="0"/>
    <n v="500"/>
    <x v="0"/>
  </r>
  <r>
    <s v="760.102.003"/>
    <s v="FİLO GİDERLERİ - MTV KKEG"/>
    <n v="82433.2"/>
    <n v="0"/>
    <n v="82433.2"/>
    <n v="0"/>
    <n v="82433.2"/>
    <x v="6"/>
  </r>
  <r>
    <s v="760.102.101"/>
    <s v="FİLO GİDERLERİ - TRAFİK SİGORTASI KKEG"/>
    <n v="22862.41"/>
    <n v="0"/>
    <n v="22862.41"/>
    <n v="0"/>
    <n v="22862.41"/>
    <x v="4"/>
  </r>
  <r>
    <s v="760.102.102"/>
    <s v="FİLO GİDERLERİ - KASKO SİGORTA KKEG"/>
    <n v="47115.89"/>
    <n v="0"/>
    <n v="47115.89"/>
    <n v="0"/>
    <n v="47115.89"/>
    <x v="4"/>
  </r>
  <r>
    <s v="760.102.104"/>
    <s v="FİLO GİDERLERİ - BAKIM ONARIM KKEG"/>
    <n v="116174.77"/>
    <n v="0"/>
    <n v="116174.77"/>
    <n v="0"/>
    <n v="116174.77"/>
    <x v="4"/>
  </r>
  <r>
    <s v="760.102.105"/>
    <s v="ARAÇ YAKIT GİDERLERİ KKEG"/>
    <n v="463389.82"/>
    <n v="0"/>
    <n v="463389.82"/>
    <n v="0"/>
    <n v="463389.82"/>
    <x v="4"/>
  </r>
  <r>
    <s v="760.102.106"/>
    <s v="ARAÇ KİRA GİDERLERİ KKEG"/>
    <n v="34611.839999999997"/>
    <n v="0"/>
    <n v="34611.839999999997"/>
    <n v="0"/>
    <n v="34611.839999999997"/>
    <x v="4"/>
  </r>
  <r>
    <s v="760.102.108"/>
    <s v="ARAÇ GİDERLERİ  - OTOPARK KKEG"/>
    <n v="16198.98"/>
    <n v="0"/>
    <n v="16198.98"/>
    <n v="0"/>
    <n v="16198.98"/>
    <x v="4"/>
  </r>
  <r>
    <s v="760.102.109"/>
    <s v="ARAÇ GİDERLERİ  - HGS KKEG"/>
    <n v="97255.7"/>
    <n v="686.79"/>
    <n v="96568.91"/>
    <n v="0"/>
    <n v="96568.91"/>
    <x v="4"/>
  </r>
  <r>
    <s v="760.102.110"/>
    <s v="ARAÇ GİDERLERİ  - YIKAMA KKEG"/>
    <n v="10148.17"/>
    <n v="22.97"/>
    <n v="10125.200000000001"/>
    <n v="0"/>
    <n v="10125.200000000001"/>
    <x v="4"/>
  </r>
  <r>
    <s v="760.102.199"/>
    <s v="ARAÇ DİĞER GİDERLERİ KKEG"/>
    <n v="3716.01"/>
    <n v="0"/>
    <n v="3716.01"/>
    <n v="0"/>
    <n v="3716.01"/>
    <x v="4"/>
  </r>
  <r>
    <s v="760.112.003"/>
    <s v="VUK- NA UYGUN BELGELENEMEYEN HARCAMALAR KKEG"/>
    <n v="2647.85"/>
    <n v="0"/>
    <n v="2647.85"/>
    <n v="0"/>
    <n v="2647.85"/>
    <x v="0"/>
  </r>
  <r>
    <s v="760.113.001"/>
    <s v="ÖZEL İLETİŞİM VERGİSİ KKEG"/>
    <n v="26521.66"/>
    <n v="0"/>
    <n v="26521.66"/>
    <n v="0"/>
    <n v="26521.66"/>
    <x v="5"/>
  </r>
  <r>
    <s v="770.102.003"/>
    <s v="FİLO GİDERLERİ - MTV KKEG"/>
    <n v="65603.600000000006"/>
    <n v="0"/>
    <n v="65603.600000000006"/>
    <n v="0"/>
    <n v="65603.600000000006"/>
    <x v="6"/>
  </r>
  <r>
    <s v="770.102.101"/>
    <s v="FİLO GİDERLERİ - TRAFİK SİGORTASI KKEG"/>
    <n v="18558.580000000002"/>
    <n v="47.03"/>
    <n v="18511.55"/>
    <n v="0"/>
    <n v="18511.55"/>
    <x v="4"/>
  </r>
  <r>
    <s v="770.102.102"/>
    <s v="FİLO GİDERLERİ - KASKO SİGORTA KKEG"/>
    <n v="31224.9"/>
    <n v="0"/>
    <n v="31224.9"/>
    <n v="0"/>
    <n v="31224.9"/>
    <x v="4"/>
  </r>
  <r>
    <s v="770.102.104"/>
    <s v="FİLO GİDERLERİ - BAKIM ONARIM KKEG"/>
    <n v="52136.84"/>
    <n v="203.37"/>
    <n v="51933.47"/>
    <n v="0"/>
    <n v="51933.47"/>
    <x v="4"/>
  </r>
  <r>
    <s v="770.102.105"/>
    <s v="ARAÇ YAKIT GİDERLERİ KKEG"/>
    <n v="231766.79"/>
    <n v="0"/>
    <n v="231766.79"/>
    <n v="0"/>
    <n v="231766.79"/>
    <x v="4"/>
  </r>
  <r>
    <s v="770.102.106"/>
    <s v="ARAÇ KİRA GİDERLERİ KKEG"/>
    <n v="91752.16"/>
    <n v="0"/>
    <n v="91752.16"/>
    <n v="0"/>
    <n v="91752.16"/>
    <x v="4"/>
  </r>
  <r>
    <s v="770.102.108"/>
    <s v="ARAÇ GİDERLERİ  - OTOPARK KKEG"/>
    <n v="4065.89"/>
    <n v="0"/>
    <n v="4065.89"/>
    <n v="0"/>
    <n v="4065.89"/>
    <x v="4"/>
  </r>
  <r>
    <s v="770.102.109"/>
    <s v="ARAÇ GİDERLERİ  - HGS KKEG"/>
    <n v="55120.33"/>
    <n v="280.37"/>
    <n v="54839.96"/>
    <n v="0"/>
    <n v="54839.96"/>
    <x v="4"/>
  </r>
  <r>
    <s v="770.102.110"/>
    <s v="ARAÇ GİDERLERİ  - YIKAMA KKEG"/>
    <n v="524.37"/>
    <n v="0"/>
    <n v="524.37"/>
    <n v="0"/>
    <n v="524.37"/>
    <x v="4"/>
  </r>
  <r>
    <s v="770.102.199"/>
    <s v="ARAÇ DİĞER GİDERLERİ KKEG"/>
    <n v="6056.78"/>
    <n v="0"/>
    <n v="6056.78"/>
    <n v="0"/>
    <n v="6056.78"/>
    <x v="4"/>
  </r>
  <r>
    <s v="770.112.003"/>
    <s v="VUK- NA UYGUN BELGELENEMEYEN HARCAMALAR KKEG"/>
    <n v="233648.77"/>
    <n v="4657.76"/>
    <n v="228991.01"/>
    <n v="0"/>
    <n v="228991.01"/>
    <x v="0"/>
  </r>
  <r>
    <s v="770.112.008"/>
    <s v="BAĞIŞ VE YARDIM GİDERLERİ KKEG"/>
    <n v="34000"/>
    <n v="0"/>
    <n v="34000"/>
    <n v="0"/>
    <n v="34000"/>
    <x v="2"/>
  </r>
  <r>
    <s v="770.113.001"/>
    <s v="ÖZEL İLETİŞİM VERGİSİ KKEG"/>
    <n v="29412.85"/>
    <n v="0"/>
    <n v="29412.85"/>
    <n v="0"/>
    <n v="29412.8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C809F-63B2-41CA-AAC6-1B3A3B1F0B24}" name="PivotTable1" cacheId="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C20" firstHeaderRow="1" firstDataRow="1" firstDataCol="0"/>
  <pivotFields count="8">
    <pivotField showAll="0"/>
    <pivotField showAll="0"/>
    <pivotField numFmtId="39" showAll="0"/>
    <pivotField numFmtId="39" showAll="0"/>
    <pivotField numFmtId="39" showAll="0"/>
    <pivotField numFmtId="39" showAll="0"/>
    <pivotField numFmtId="39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AB120"/>
  <sheetViews>
    <sheetView showGridLines="0" zoomScale="75" workbookViewId="0">
      <pane ySplit="10" topLeftCell="A11" activePane="bottomLeft" state="frozen"/>
      <selection activeCell="E52" sqref="E52"/>
      <selection pane="bottomLeft" activeCell="W35" sqref="W35"/>
    </sheetView>
  </sheetViews>
  <sheetFormatPr defaultColWidth="3.33203125" defaultRowHeight="15" x14ac:dyDescent="0.25"/>
  <cols>
    <col min="1" max="1" width="4.109375" style="1" bestFit="1" customWidth="1"/>
    <col min="2" max="2" width="4" style="12" bestFit="1" customWidth="1"/>
    <col min="3" max="3" width="3.6640625" style="26" bestFit="1" customWidth="1"/>
    <col min="4" max="4" width="50.109375" style="1" bestFit="1" customWidth="1"/>
    <col min="5" max="5" width="3.21875" style="22" customWidth="1"/>
    <col min="6" max="6" width="1.77734375" style="22" customWidth="1"/>
    <col min="7" max="7" width="24" style="20" customWidth="1"/>
    <col min="8" max="8" width="12.33203125" style="20" customWidth="1"/>
    <col min="9" max="9" width="6.33203125" style="1" customWidth="1"/>
    <col min="10" max="10" width="5.109375" style="1" customWidth="1"/>
    <col min="11" max="11" width="4.6640625" style="22" customWidth="1"/>
    <col min="12" max="12" width="55.88671875" style="1" bestFit="1" customWidth="1"/>
    <col min="13" max="13" width="4.33203125" style="18" hidden="1" customWidth="1"/>
    <col min="14" max="14" width="5.88671875" style="18" customWidth="1"/>
    <col min="15" max="15" width="22.44140625" style="20" bestFit="1" customWidth="1"/>
    <col min="16" max="16" width="16.5546875" style="1" bestFit="1" customWidth="1"/>
    <col min="17" max="17" width="16.6640625" style="1" bestFit="1" customWidth="1"/>
    <col min="18" max="19" width="3.33203125" style="1"/>
    <col min="20" max="20" width="20.109375" style="1" bestFit="1" customWidth="1"/>
    <col min="21" max="21" width="16.88671875" style="1" bestFit="1" customWidth="1"/>
    <col min="22" max="22" width="3.33203125" style="1"/>
    <col min="23" max="23" width="23.5546875" style="1" bestFit="1" customWidth="1"/>
    <col min="24" max="24" width="16.5546875" style="1" bestFit="1" customWidth="1"/>
    <col min="25" max="25" width="10.44140625" style="1" bestFit="1" customWidth="1"/>
    <col min="26" max="27" width="3.33203125" style="1"/>
    <col min="28" max="28" width="14.33203125" style="1" bestFit="1" customWidth="1"/>
    <col min="29" max="16384" width="3.33203125" style="1"/>
  </cols>
  <sheetData>
    <row r="4" spans="1:20" x14ac:dyDescent="0.25">
      <c r="A4" s="105" t="s">
        <v>982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1:20" s="2" customFormat="1" x14ac:dyDescent="0.25">
      <c r="A5" s="105" t="s">
        <v>0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</row>
    <row r="6" spans="1:20" x14ac:dyDescent="0.25">
      <c r="J6" s="12"/>
      <c r="K6" s="26"/>
      <c r="M6" s="26"/>
      <c r="N6" s="26"/>
    </row>
    <row r="7" spans="1:20" s="2" customFormat="1" x14ac:dyDescent="0.25">
      <c r="B7" s="36"/>
      <c r="C7" s="37"/>
      <c r="D7" s="38" t="s">
        <v>1</v>
      </c>
      <c r="E7" s="39"/>
      <c r="F7" s="39"/>
      <c r="G7" s="40"/>
      <c r="H7" s="16"/>
      <c r="I7" s="41"/>
      <c r="J7" s="42"/>
      <c r="K7" s="37"/>
      <c r="L7" s="38" t="s">
        <v>2</v>
      </c>
      <c r="M7" s="37"/>
      <c r="N7" s="37"/>
      <c r="O7" s="40"/>
    </row>
    <row r="8" spans="1:20" s="2" customFormat="1" x14ac:dyDescent="0.25">
      <c r="B8" s="8"/>
      <c r="C8" s="43"/>
      <c r="E8" s="28"/>
      <c r="F8" s="28"/>
      <c r="G8" s="16"/>
      <c r="H8" s="16"/>
      <c r="J8" s="8"/>
      <c r="K8" s="43"/>
      <c r="M8" s="43"/>
      <c r="N8" s="43"/>
      <c r="O8" s="16"/>
    </row>
    <row r="9" spans="1:20" s="3" customFormat="1" x14ac:dyDescent="0.25">
      <c r="C9" s="4"/>
      <c r="D9" s="44"/>
      <c r="G9" s="45"/>
      <c r="H9" s="45"/>
      <c r="K9" s="4"/>
      <c r="L9" s="5"/>
      <c r="M9" s="4"/>
      <c r="N9" s="4"/>
      <c r="O9" s="46"/>
    </row>
    <row r="10" spans="1:20" s="10" customFormat="1" x14ac:dyDescent="0.25">
      <c r="B10" s="8"/>
      <c r="C10" s="43"/>
      <c r="E10" s="11"/>
      <c r="F10" s="47"/>
      <c r="G10" s="47">
        <v>45473</v>
      </c>
      <c r="H10" s="6"/>
      <c r="J10" s="8"/>
      <c r="K10" s="43"/>
      <c r="M10" s="43"/>
      <c r="N10" s="47"/>
      <c r="O10" s="47">
        <v>45473</v>
      </c>
    </row>
    <row r="11" spans="1:20" s="10" customFormat="1" x14ac:dyDescent="0.25">
      <c r="B11" s="8"/>
      <c r="C11" s="43"/>
      <c r="E11" s="11"/>
      <c r="F11" s="6"/>
      <c r="G11" s="6"/>
      <c r="H11" s="6"/>
      <c r="J11" s="8"/>
      <c r="K11" s="43"/>
      <c r="M11" s="43"/>
      <c r="N11" s="6"/>
      <c r="O11" s="6"/>
    </row>
    <row r="12" spans="1:20" s="14" customFormat="1" x14ac:dyDescent="0.25">
      <c r="A12" s="2" t="s">
        <v>3</v>
      </c>
      <c r="B12" s="8"/>
      <c r="C12" s="28"/>
      <c r="D12" s="2" t="s">
        <v>4</v>
      </c>
      <c r="E12" s="28"/>
      <c r="F12" s="16"/>
      <c r="G12" s="16">
        <f>+G14+G22+G33+G41+G52+G55</f>
        <v>1289071319.7099998</v>
      </c>
      <c r="H12" s="16"/>
      <c r="I12" s="2" t="s">
        <v>5</v>
      </c>
      <c r="J12" s="8"/>
      <c r="K12" s="28"/>
      <c r="L12" s="2" t="s">
        <v>6</v>
      </c>
      <c r="M12" s="43"/>
      <c r="N12" s="16"/>
      <c r="O12" s="16">
        <f>+O14+O20+O27+O32+O36+O41+O47+O51</f>
        <v>1192069622.1199999</v>
      </c>
      <c r="P12" s="17"/>
    </row>
    <row r="13" spans="1:20" s="14" customFormat="1" x14ac:dyDescent="0.25">
      <c r="B13" s="12"/>
      <c r="C13" s="23"/>
      <c r="E13" s="23"/>
      <c r="F13" s="17"/>
      <c r="G13" s="17"/>
      <c r="H13" s="17"/>
      <c r="J13" s="12"/>
      <c r="K13" s="23"/>
      <c r="M13" s="26"/>
      <c r="N13" s="17"/>
      <c r="O13" s="17"/>
    </row>
    <row r="14" spans="1:20" s="14" customFormat="1" x14ac:dyDescent="0.25">
      <c r="B14" s="12" t="s">
        <v>7</v>
      </c>
      <c r="C14" s="26"/>
      <c r="D14" s="14" t="s">
        <v>8</v>
      </c>
      <c r="E14" s="15"/>
      <c r="F14" s="17"/>
      <c r="G14" s="16">
        <f>SUM(G15:G21)</f>
        <v>604756497.61999989</v>
      </c>
      <c r="H14" s="17"/>
      <c r="J14" s="12" t="s">
        <v>7</v>
      </c>
      <c r="K14" s="26"/>
      <c r="L14" s="14" t="s">
        <v>9</v>
      </c>
      <c r="M14" s="48"/>
      <c r="N14" s="17"/>
      <c r="O14" s="16">
        <f>SUM(O15:O18)</f>
        <v>575196298.16999996</v>
      </c>
    </row>
    <row r="15" spans="1:20" s="18" customFormat="1" ht="15.6" x14ac:dyDescent="0.3">
      <c r="B15" s="12"/>
      <c r="C15" s="26" t="s">
        <v>10</v>
      </c>
      <c r="D15" s="18" t="s">
        <v>11</v>
      </c>
      <c r="E15" s="19" t="s">
        <v>169</v>
      </c>
      <c r="F15" s="27"/>
      <c r="G15" s="27">
        <f>IFERROR(VLOOKUP(E15,'30.06.2024 Ana Hs.Mizanı S'!A:G,7,0),0)</f>
        <v>492417</v>
      </c>
      <c r="H15" s="27"/>
      <c r="J15" s="12"/>
      <c r="K15" s="26" t="s">
        <v>10</v>
      </c>
      <c r="L15" s="18" t="s">
        <v>12</v>
      </c>
      <c r="M15" s="19" t="s">
        <v>205</v>
      </c>
      <c r="N15" s="27"/>
      <c r="O15" s="27">
        <f>-IFERROR(VLOOKUP(M15,'30.06.2024 Ana Hs.Mizanı S'!A:G,7,0),0)</f>
        <v>574601378.80999994</v>
      </c>
    </row>
    <row r="16" spans="1:20" s="18" customFormat="1" ht="15.6" x14ac:dyDescent="0.3">
      <c r="B16" s="12"/>
      <c r="C16" s="26" t="s">
        <v>13</v>
      </c>
      <c r="D16" s="18" t="s">
        <v>14</v>
      </c>
      <c r="E16" s="19" t="s">
        <v>170</v>
      </c>
      <c r="F16" s="27"/>
      <c r="G16" s="27">
        <f>IFERROR(VLOOKUP(E16,'30.06.2024 Ana Hs.Mizanı S'!A:G,7,0),0)</f>
        <v>101184887.16</v>
      </c>
      <c r="H16" s="27"/>
      <c r="K16" s="26" t="s">
        <v>13</v>
      </c>
      <c r="L16" s="18" t="s">
        <v>15</v>
      </c>
      <c r="M16" s="19" t="s">
        <v>206</v>
      </c>
      <c r="N16" s="27"/>
      <c r="O16" s="27">
        <f>-IFERROR(VLOOKUP(M16,'30.06.2024 Ana Hs.Mizanı S'!A:G,7,0),0)</f>
        <v>0</v>
      </c>
      <c r="T16" s="27"/>
    </row>
    <row r="17" spans="2:23" s="18" customFormat="1" ht="15.6" x14ac:dyDescent="0.3">
      <c r="B17" s="12"/>
      <c r="C17" s="26" t="s">
        <v>16</v>
      </c>
      <c r="D17" s="18" t="s">
        <v>17</v>
      </c>
      <c r="E17" s="19" t="s">
        <v>171</v>
      </c>
      <c r="F17" s="27"/>
      <c r="G17" s="27">
        <f>IFERROR(VLOOKUP(E17,'30.06.2024 Ana Hs.Mizanı S'!A:G,7,0),0)</f>
        <v>370248146.14999998</v>
      </c>
      <c r="H17" s="27"/>
      <c r="J17" s="12"/>
      <c r="K17" s="26" t="s">
        <v>16</v>
      </c>
      <c r="L17" s="18" t="s">
        <v>18</v>
      </c>
      <c r="M17" s="19" t="s">
        <v>207</v>
      </c>
      <c r="N17" s="27"/>
      <c r="O17" s="27">
        <f>-IFERROR(VLOOKUP(M17,'30.06.2024 Ana Hs.Mizanı S'!A:G,7,0),0)</f>
        <v>0</v>
      </c>
    </row>
    <row r="18" spans="2:23" s="18" customFormat="1" ht="15.6" x14ac:dyDescent="0.3">
      <c r="B18" s="12"/>
      <c r="C18" s="26" t="s">
        <v>19</v>
      </c>
      <c r="D18" s="18" t="s">
        <v>20</v>
      </c>
      <c r="E18" s="19" t="s">
        <v>172</v>
      </c>
      <c r="F18" s="49"/>
      <c r="G18" s="27">
        <f>IFERROR(VLOOKUP(E18,'30.06.2024 Ana Hs.Mizanı S'!A:G,7,0),0)</f>
        <v>0</v>
      </c>
      <c r="H18" s="49"/>
      <c r="J18" s="12"/>
      <c r="K18" s="26" t="s">
        <v>19</v>
      </c>
      <c r="L18" s="18" t="s">
        <v>21</v>
      </c>
      <c r="M18" s="19" t="s">
        <v>208</v>
      </c>
      <c r="N18" s="27"/>
      <c r="O18" s="27">
        <f>-IFERROR(VLOOKUP(M18,'30.06.2024 Ana Hs.Mizanı S'!A:G,7,0),0)</f>
        <v>594919.36</v>
      </c>
    </row>
    <row r="19" spans="2:23" s="18" customFormat="1" ht="15.6" x14ac:dyDescent="0.3">
      <c r="B19" s="12"/>
      <c r="C19" s="26" t="s">
        <v>22</v>
      </c>
      <c r="D19" s="18" t="s">
        <v>23</v>
      </c>
      <c r="E19" s="19" t="s">
        <v>173</v>
      </c>
      <c r="F19" s="49"/>
      <c r="G19" s="27">
        <f>IFERROR(VLOOKUP(E19,'30.06.2024 Ana Hs.Mizanı S'!A:G,7,0),0)</f>
        <v>3498049.16</v>
      </c>
      <c r="H19" s="49"/>
      <c r="J19" s="12"/>
    </row>
    <row r="20" spans="2:23" s="18" customFormat="1" ht="15.6" x14ac:dyDescent="0.3">
      <c r="B20" s="12"/>
      <c r="C20" s="26" t="s">
        <v>33</v>
      </c>
      <c r="D20" s="18" t="s">
        <v>423</v>
      </c>
      <c r="E20" s="19" t="s">
        <v>419</v>
      </c>
      <c r="F20" s="27"/>
      <c r="G20" s="27">
        <f>IFERROR(VLOOKUP(E20,'30.06.2024 Ana Hs.Mizanı S'!A:G,7,0),0)</f>
        <v>71250608.709999993</v>
      </c>
      <c r="H20" s="27"/>
      <c r="J20" s="12" t="s">
        <v>24</v>
      </c>
      <c r="K20" s="26"/>
      <c r="L20" s="14" t="s">
        <v>25</v>
      </c>
      <c r="M20" s="48"/>
      <c r="N20" s="17"/>
      <c r="O20" s="16">
        <f>SUM(O22:O25)</f>
        <v>419188260.49999994</v>
      </c>
    </row>
    <row r="21" spans="2:23" s="18" customFormat="1" ht="15.6" x14ac:dyDescent="0.3">
      <c r="B21" s="12"/>
      <c r="C21" s="26" t="s">
        <v>35</v>
      </c>
      <c r="D21" s="18" t="s">
        <v>432</v>
      </c>
      <c r="E21" s="19" t="s">
        <v>430</v>
      </c>
      <c r="F21" s="27"/>
      <c r="G21" s="27">
        <f>IFERROR(VLOOKUP(E21,'30.06.2024 Ana Hs.Mizanı S'!A:G,7,0),0)</f>
        <v>58082389.439999998</v>
      </c>
      <c r="H21" s="27"/>
      <c r="J21" s="12"/>
      <c r="K21" s="26"/>
      <c r="L21" s="14"/>
      <c r="M21" s="48"/>
      <c r="N21" s="17"/>
      <c r="O21" s="16"/>
    </row>
    <row r="22" spans="2:23" s="18" customFormat="1" ht="15.6" x14ac:dyDescent="0.3">
      <c r="B22" s="12" t="s">
        <v>24</v>
      </c>
      <c r="C22" s="26"/>
      <c r="D22" s="14" t="s">
        <v>27</v>
      </c>
      <c r="E22" s="15"/>
      <c r="F22" s="17"/>
      <c r="G22" s="16">
        <f>SUM(G24:G31)</f>
        <v>349617507.88000005</v>
      </c>
      <c r="H22" s="17"/>
      <c r="J22" s="12"/>
      <c r="K22" s="26" t="s">
        <v>10</v>
      </c>
      <c r="L22" s="18" t="s">
        <v>28</v>
      </c>
      <c r="M22" s="19" t="s">
        <v>209</v>
      </c>
      <c r="N22" s="27"/>
      <c r="O22" s="27">
        <f>-IFERROR(VLOOKUP(M22,'30.06.2024 Ana Hs.Mizanı S'!A:G,7,0),0)</f>
        <v>294573461.33999997</v>
      </c>
      <c r="T22" s="27"/>
      <c r="U22" s="27"/>
      <c r="W22" s="27"/>
    </row>
    <row r="23" spans="2:23" s="18" customFormat="1" ht="15.6" x14ac:dyDescent="0.3">
      <c r="B23" s="12"/>
      <c r="C23" s="26"/>
      <c r="D23" s="14"/>
      <c r="E23" s="15"/>
      <c r="F23" s="17"/>
      <c r="G23" s="16"/>
      <c r="H23" s="17"/>
      <c r="J23" s="12"/>
      <c r="K23" s="26" t="s">
        <v>13</v>
      </c>
      <c r="L23" s="18" t="s">
        <v>418</v>
      </c>
      <c r="M23" s="19" t="s">
        <v>400</v>
      </c>
      <c r="N23" s="27"/>
      <c r="O23" s="27">
        <f>-IFERROR(VLOOKUP(M23,'30.06.2024 Ana Hs.Mizanı S'!A:G,7,0),0)</f>
        <v>124557433.13</v>
      </c>
    </row>
    <row r="24" spans="2:23" s="14" customFormat="1" ht="15.6" x14ac:dyDescent="0.3">
      <c r="B24" s="13"/>
      <c r="C24" s="26" t="s">
        <v>10</v>
      </c>
      <c r="D24" s="18" t="s">
        <v>29</v>
      </c>
      <c r="E24" s="19" t="s">
        <v>174</v>
      </c>
      <c r="F24" s="50"/>
      <c r="G24" s="27">
        <f>IFERROR(VLOOKUP(E24,'30.06.2024 Ana Hs.Mizanı S'!A:G,7,0),0)</f>
        <v>307502841.61000001</v>
      </c>
      <c r="H24" s="50"/>
      <c r="J24" s="13"/>
      <c r="K24" s="26" t="s">
        <v>16</v>
      </c>
      <c r="L24" s="18" t="s">
        <v>30</v>
      </c>
      <c r="M24" s="19" t="s">
        <v>282</v>
      </c>
      <c r="N24" s="27"/>
      <c r="O24" s="27">
        <f>-IFERROR(VLOOKUP(M24,'30.06.2024 Ana Hs.Mizanı S'!A:G,7,0),0)</f>
        <v>0</v>
      </c>
    </row>
    <row r="25" spans="2:23" s="18" customFormat="1" ht="15.6" x14ac:dyDescent="0.3">
      <c r="C25" s="26" t="s">
        <v>13</v>
      </c>
      <c r="D25" s="18" t="s">
        <v>278</v>
      </c>
      <c r="E25" s="19" t="s">
        <v>175</v>
      </c>
      <c r="F25" s="50"/>
      <c r="G25" s="27">
        <f>IFERROR(VLOOKUP(E25,'30.06.2024 Ana Hs.Mizanı S'!A:G,7,0),0)</f>
        <v>0</v>
      </c>
      <c r="H25" s="27"/>
      <c r="J25" s="13"/>
      <c r="K25" s="26" t="s">
        <v>19</v>
      </c>
      <c r="L25" s="18" t="s">
        <v>32</v>
      </c>
      <c r="M25" s="19" t="s">
        <v>210</v>
      </c>
      <c r="N25" s="27"/>
      <c r="O25" s="27">
        <f>-IFERROR(VLOOKUP(M25,'30.06.2024 Ana Hs.Mizanı S'!A:G,7,0),0)</f>
        <v>57366.03</v>
      </c>
      <c r="T25" s="33"/>
    </row>
    <row r="26" spans="2:23" s="18" customFormat="1" ht="15.6" x14ac:dyDescent="0.3">
      <c r="B26" s="13"/>
      <c r="C26" s="26" t="s">
        <v>16</v>
      </c>
      <c r="D26" s="18" t="s">
        <v>279</v>
      </c>
      <c r="E26" s="19" t="s">
        <v>280</v>
      </c>
      <c r="F26" s="50"/>
      <c r="G26" s="27">
        <f>IFERROR(VLOOKUP(E26,'30.06.2024 Ana Hs.Mizanı S'!A:G,7,0),0)</f>
        <v>0</v>
      </c>
      <c r="H26" s="27"/>
      <c r="J26" s="12"/>
      <c r="K26" s="26"/>
      <c r="M26" s="26"/>
      <c r="N26" s="20"/>
      <c r="O26" s="20"/>
      <c r="W26" s="27"/>
    </row>
    <row r="27" spans="2:23" s="18" customFormat="1" ht="15.6" x14ac:dyDescent="0.3">
      <c r="B27" s="13"/>
      <c r="C27" s="26" t="s">
        <v>19</v>
      </c>
      <c r="D27" s="18" t="s">
        <v>31</v>
      </c>
      <c r="E27" s="19" t="s">
        <v>176</v>
      </c>
      <c r="F27" s="27"/>
      <c r="G27" s="27">
        <f>IFERROR(VLOOKUP(E27,'30.06.2024 Ana Hs.Mizanı S'!A:G,7,0),0)</f>
        <v>38535728.109999999</v>
      </c>
      <c r="H27" s="51"/>
      <c r="J27" s="12" t="s">
        <v>26</v>
      </c>
      <c r="K27" s="26"/>
      <c r="L27" s="14" t="s">
        <v>37</v>
      </c>
      <c r="M27" s="48"/>
      <c r="N27" s="17"/>
      <c r="O27" s="16">
        <f>SUM(O28:O30)</f>
        <v>54058228.290000007</v>
      </c>
      <c r="W27" s="27"/>
    </row>
    <row r="28" spans="2:23" s="18" customFormat="1" ht="15.6" x14ac:dyDescent="0.3">
      <c r="B28" s="13"/>
      <c r="C28" s="26"/>
      <c r="E28" s="19"/>
      <c r="F28" s="27"/>
      <c r="G28" s="27"/>
      <c r="H28" s="51"/>
      <c r="J28" s="12"/>
      <c r="K28" s="26" t="s">
        <v>10</v>
      </c>
      <c r="L28" s="18" t="s">
        <v>298</v>
      </c>
      <c r="M28" s="87" t="s">
        <v>433</v>
      </c>
      <c r="N28" s="17"/>
      <c r="O28" s="27">
        <f>-IFERROR(VLOOKUP(M28,'30.06.2024 Ana Hs.Mizanı S'!A:G,7,0),0)</f>
        <v>0</v>
      </c>
      <c r="U28" s="65" t="s">
        <v>966</v>
      </c>
      <c r="W28" s="27">
        <f>O12+O55</f>
        <v>1204055364.5599999</v>
      </c>
    </row>
    <row r="29" spans="2:23" s="18" customFormat="1" ht="15.6" x14ac:dyDescent="0.3">
      <c r="B29" s="13"/>
      <c r="C29" s="26" t="s">
        <v>22</v>
      </c>
      <c r="D29" s="18" t="s">
        <v>34</v>
      </c>
      <c r="E29" s="19" t="s">
        <v>177</v>
      </c>
      <c r="F29" s="27"/>
      <c r="G29" s="27">
        <f>IFERROR(VLOOKUP(E29,'30.06.2024 Ana Hs.Mizanı S'!A:G,7,0),0)</f>
        <v>3578938.16</v>
      </c>
      <c r="H29" s="51"/>
      <c r="K29" s="26" t="s">
        <v>13</v>
      </c>
      <c r="L29" s="18" t="s">
        <v>40</v>
      </c>
      <c r="M29" s="19" t="s">
        <v>211</v>
      </c>
      <c r="N29" s="50"/>
      <c r="O29" s="27">
        <f>-IFERROR(VLOOKUP(M29,'30.06.2024 Ana Hs.Mizanı S'!A:G,7,0),0)</f>
        <v>27799645.260000002</v>
      </c>
      <c r="W29" s="27"/>
    </row>
    <row r="30" spans="2:23" ht="15.6" x14ac:dyDescent="0.3">
      <c r="C30" s="26" t="s">
        <v>33</v>
      </c>
      <c r="D30" s="18" t="s">
        <v>36</v>
      </c>
      <c r="E30" s="19" t="s">
        <v>264</v>
      </c>
      <c r="F30" s="51"/>
      <c r="G30" s="27">
        <f>IFERROR(VLOOKUP(E30,'30.06.2024 Ana Hs.Mizanı S'!A:G,7,0),0)</f>
        <v>0</v>
      </c>
      <c r="J30" s="13"/>
      <c r="K30" s="26" t="s">
        <v>16</v>
      </c>
      <c r="L30" s="18" t="s">
        <v>41</v>
      </c>
      <c r="M30" s="19" t="s">
        <v>283</v>
      </c>
      <c r="N30" s="50"/>
      <c r="O30" s="27">
        <f>-IFERROR(VLOOKUP(M30,'30.06.2024 Ana Hs.Mizanı S'!A:G,7,0),0)</f>
        <v>26258583.030000001</v>
      </c>
      <c r="W30" s="16"/>
    </row>
    <row r="31" spans="2:23" s="14" customFormat="1" ht="15.6" x14ac:dyDescent="0.3">
      <c r="C31" s="26" t="s">
        <v>35</v>
      </c>
      <c r="D31" s="18" t="s">
        <v>39</v>
      </c>
      <c r="E31" s="19" t="s">
        <v>265</v>
      </c>
      <c r="F31" s="51"/>
      <c r="G31" s="27">
        <f>IFERROR(VLOOKUP(E31,'30.06.2024 Ana Hs.Mizanı S'!A:G,7,0),0)</f>
        <v>0</v>
      </c>
      <c r="H31" s="17"/>
      <c r="J31" s="13"/>
      <c r="K31" s="26"/>
      <c r="L31" s="18"/>
      <c r="M31" s="48"/>
      <c r="N31" s="27"/>
      <c r="O31" s="27"/>
      <c r="P31" s="18"/>
      <c r="T31" s="17"/>
      <c r="U31" s="17"/>
    </row>
    <row r="32" spans="2:23" s="18" customFormat="1" x14ac:dyDescent="0.25">
      <c r="B32" s="12"/>
      <c r="C32" s="26"/>
      <c r="D32" s="1"/>
      <c r="E32" s="22"/>
      <c r="F32" s="20"/>
      <c r="G32" s="20"/>
      <c r="H32" s="50"/>
      <c r="J32" s="12" t="s">
        <v>42</v>
      </c>
      <c r="K32" s="26"/>
      <c r="L32" s="14" t="s">
        <v>45</v>
      </c>
      <c r="M32" s="26"/>
      <c r="N32" s="17"/>
      <c r="O32" s="16">
        <f>SUM(O33)+O34</f>
        <v>42945092.479999997</v>
      </c>
      <c r="U32" s="18" t="s">
        <v>967</v>
      </c>
      <c r="W32" s="33">
        <f>O69*1</f>
        <v>1653074870.3</v>
      </c>
    </row>
    <row r="33" spans="1:28" s="18" customFormat="1" ht="15.6" x14ac:dyDescent="0.3">
      <c r="B33" s="12" t="s">
        <v>26</v>
      </c>
      <c r="C33" s="26"/>
      <c r="D33" s="14" t="s">
        <v>43</v>
      </c>
      <c r="E33" s="23"/>
      <c r="F33" s="17"/>
      <c r="G33" s="16">
        <f>SUM(G34:G38)</f>
        <v>15380816.810000001</v>
      </c>
      <c r="H33" s="50"/>
      <c r="K33" s="26" t="s">
        <v>10</v>
      </c>
      <c r="L33" s="18" t="s">
        <v>47</v>
      </c>
      <c r="M33" s="19" t="s">
        <v>212</v>
      </c>
      <c r="N33" s="50"/>
      <c r="O33" s="27">
        <f>-IFERROR(VLOOKUP(M33,'30.06.2024 Ana Hs.Mizanı S'!A:G,7,0),0)</f>
        <v>3387942.73</v>
      </c>
      <c r="T33" s="27"/>
      <c r="W33" s="27"/>
    </row>
    <row r="34" spans="1:28" s="18" customFormat="1" ht="15.6" x14ac:dyDescent="0.3">
      <c r="B34" s="12"/>
      <c r="C34" s="26" t="s">
        <v>10</v>
      </c>
      <c r="D34" s="18" t="s">
        <v>296</v>
      </c>
      <c r="E34" s="87" t="s">
        <v>434</v>
      </c>
      <c r="F34" s="53"/>
      <c r="G34" s="27">
        <f>IFERROR(VLOOKUP(E34,'30.06.2024 Ana Hs.Mizanı S'!A:G,7,0),0)</f>
        <v>0</v>
      </c>
      <c r="H34" s="50"/>
      <c r="K34" s="26" t="s">
        <v>376</v>
      </c>
      <c r="L34" s="18" t="s">
        <v>377</v>
      </c>
      <c r="M34" s="19" t="s">
        <v>373</v>
      </c>
      <c r="N34" s="50"/>
      <c r="O34" s="27">
        <f>-IFERROR(VLOOKUP(M34,'30.06.2024 Ana Hs.Mizanı S'!A:G,7,0),0)</f>
        <v>39557149.75</v>
      </c>
      <c r="AB34" s="27"/>
    </row>
    <row r="35" spans="1:28" s="18" customFormat="1" ht="15.6" x14ac:dyDescent="0.3">
      <c r="B35" s="12"/>
      <c r="C35" s="26" t="s">
        <v>13</v>
      </c>
      <c r="D35" s="18" t="s">
        <v>44</v>
      </c>
      <c r="E35" s="19" t="s">
        <v>178</v>
      </c>
      <c r="F35" s="50"/>
      <c r="G35" s="27">
        <f>IFERROR(VLOOKUP(E35,'30.06.2024 Ana Hs.Mizanı S'!A:G,7,0),0)</f>
        <v>10070654.24</v>
      </c>
      <c r="H35" s="50"/>
      <c r="P35" s="1"/>
    </row>
    <row r="36" spans="1:28" ht="15.6" x14ac:dyDescent="0.3">
      <c r="C36" s="26" t="s">
        <v>16</v>
      </c>
      <c r="D36" s="18" t="s">
        <v>46</v>
      </c>
      <c r="E36" s="19" t="s">
        <v>179</v>
      </c>
      <c r="F36" s="50"/>
      <c r="G36" s="27">
        <f>IFERROR(VLOOKUP(E36,'30.06.2024 Ana Hs.Mizanı S'!A:G,7,0),0)</f>
        <v>5263163.95</v>
      </c>
      <c r="H36" s="50"/>
      <c r="J36" s="12" t="s">
        <v>53</v>
      </c>
      <c r="K36" s="26"/>
      <c r="L36" s="14" t="s">
        <v>51</v>
      </c>
      <c r="M36" s="26"/>
      <c r="N36" s="17"/>
      <c r="O36" s="16">
        <f>SUM(O37:O40)</f>
        <v>46549671.039999999</v>
      </c>
      <c r="P36" s="14"/>
      <c r="W36" s="20"/>
    </row>
    <row r="37" spans="1:28" ht="15.6" x14ac:dyDescent="0.3">
      <c r="C37" s="26" t="s">
        <v>19</v>
      </c>
      <c r="D37" s="18" t="s">
        <v>48</v>
      </c>
      <c r="E37" s="19" t="s">
        <v>266</v>
      </c>
      <c r="F37" s="50"/>
      <c r="G37" s="27">
        <f>IFERROR(VLOOKUP(E37,'30.06.2024 Ana Hs.Mizanı S'!A:G,7,0),0)</f>
        <v>143839.03</v>
      </c>
      <c r="H37" s="27"/>
      <c r="J37" s="13"/>
      <c r="K37" s="26" t="s">
        <v>10</v>
      </c>
      <c r="L37" s="18" t="s">
        <v>52</v>
      </c>
      <c r="M37" s="19" t="s">
        <v>213</v>
      </c>
      <c r="N37" s="27"/>
      <c r="O37" s="27">
        <f>-IFERROR(VLOOKUP(M37,'30.06.2024 Ana Hs.Mizanı S'!A:G,7,0),0)</f>
        <v>18410727.899999999</v>
      </c>
    </row>
    <row r="38" spans="1:28" ht="15.6" x14ac:dyDescent="0.3">
      <c r="A38" s="14"/>
      <c r="C38" s="26" t="s">
        <v>22</v>
      </c>
      <c r="D38" s="18" t="s">
        <v>49</v>
      </c>
      <c r="E38" s="19" t="s">
        <v>267</v>
      </c>
      <c r="F38" s="50"/>
      <c r="G38" s="27">
        <f>IFERROR(VLOOKUP(E38,'30.06.2024 Ana Hs.Mizanı S'!A:G,7,0),0)</f>
        <v>-96840.41</v>
      </c>
      <c r="H38" s="17"/>
      <c r="J38" s="13"/>
      <c r="K38" s="26" t="s">
        <v>13</v>
      </c>
      <c r="L38" s="18" t="s">
        <v>55</v>
      </c>
      <c r="M38" s="19" t="s">
        <v>214</v>
      </c>
      <c r="N38" s="27"/>
      <c r="O38" s="27">
        <f>-IFERROR(VLOOKUP(M38,'30.06.2024 Ana Hs.Mizanı S'!A:G,7,0),0)</f>
        <v>27869076.140000001</v>
      </c>
      <c r="AB38" s="20"/>
    </row>
    <row r="39" spans="1:28" s="14" customFormat="1" ht="15.6" x14ac:dyDescent="0.3">
      <c r="A39" s="18"/>
      <c r="B39" s="12"/>
      <c r="C39" s="26"/>
      <c r="D39" s="18"/>
      <c r="E39" s="26"/>
      <c r="F39" s="27"/>
      <c r="G39" s="27"/>
      <c r="H39" s="49"/>
      <c r="K39" s="26" t="s">
        <v>16</v>
      </c>
      <c r="L39" s="18" t="s">
        <v>299</v>
      </c>
      <c r="M39" s="19" t="s">
        <v>412</v>
      </c>
      <c r="O39" s="27">
        <f>-IFERROR(VLOOKUP(M39,'30.06.2024 Ana Hs.Mizanı S'!A:G,7,0),0)</f>
        <v>0</v>
      </c>
    </row>
    <row r="40" spans="1:28" s="14" customFormat="1" ht="15.6" x14ac:dyDescent="0.3">
      <c r="A40" s="18"/>
      <c r="B40" s="12"/>
      <c r="C40" s="26"/>
      <c r="D40" s="18"/>
      <c r="E40" s="26"/>
      <c r="F40" s="27"/>
      <c r="G40" s="27"/>
      <c r="H40" s="49"/>
      <c r="K40" s="26" t="s">
        <v>19</v>
      </c>
      <c r="L40" s="18" t="s">
        <v>300</v>
      </c>
      <c r="M40" s="19" t="s">
        <v>339</v>
      </c>
      <c r="O40" s="27">
        <f>-IFERROR(VLOOKUP(M40,'30.06.2024 Ana Hs.Mizanı S'!A:G,7,0),0)</f>
        <v>269867</v>
      </c>
    </row>
    <row r="41" spans="1:28" s="18" customFormat="1" x14ac:dyDescent="0.25">
      <c r="B41" s="12" t="s">
        <v>42</v>
      </c>
      <c r="C41" s="26"/>
      <c r="D41" s="14" t="s">
        <v>54</v>
      </c>
      <c r="E41" s="23"/>
      <c r="F41" s="17"/>
      <c r="G41" s="16">
        <f>SUM(G45:G50)</f>
        <v>218139377.50999996</v>
      </c>
      <c r="H41" s="49"/>
      <c r="J41" s="12" t="s">
        <v>50</v>
      </c>
      <c r="K41" s="26"/>
      <c r="L41" s="14" t="s">
        <v>59</v>
      </c>
      <c r="M41" s="26"/>
      <c r="N41" s="17"/>
      <c r="O41" s="16">
        <f>SUM(O42:O45)</f>
        <v>8234135.5</v>
      </c>
    </row>
    <row r="42" spans="1:28" s="18" customFormat="1" ht="15.6" x14ac:dyDescent="0.3">
      <c r="B42" s="12"/>
      <c r="C42" s="26"/>
      <c r="D42" s="14"/>
      <c r="E42" s="23"/>
      <c r="F42" s="17"/>
      <c r="G42" s="16"/>
      <c r="H42" s="49"/>
      <c r="J42" s="12"/>
      <c r="K42" s="26" t="s">
        <v>10</v>
      </c>
      <c r="L42" s="18" t="s">
        <v>301</v>
      </c>
      <c r="M42" s="19" t="s">
        <v>413</v>
      </c>
      <c r="N42" s="53"/>
      <c r="O42" s="27">
        <f>-IFERROR(VLOOKUP(M42,'30.06.2024 Ana Hs.Mizanı S'!A:G,7,0),0)</f>
        <v>0</v>
      </c>
      <c r="Q42" s="52"/>
    </row>
    <row r="43" spans="1:28" s="18" customFormat="1" ht="15.6" x14ac:dyDescent="0.3">
      <c r="B43" s="12"/>
      <c r="C43" s="26"/>
      <c r="D43" s="14"/>
      <c r="E43" s="23"/>
      <c r="F43" s="17"/>
      <c r="G43" s="16"/>
      <c r="H43" s="49"/>
      <c r="J43" s="12"/>
      <c r="K43" s="26" t="s">
        <v>13</v>
      </c>
      <c r="L43" s="18" t="s">
        <v>302</v>
      </c>
      <c r="M43" s="19" t="s">
        <v>414</v>
      </c>
      <c r="N43" s="53"/>
      <c r="O43" s="27">
        <f>-IFERROR(VLOOKUP(M43,'30.06.2024 Ana Hs.Mizanı S'!A:G,7,0),0)</f>
        <v>0</v>
      </c>
      <c r="Q43" s="52"/>
      <c r="X43" s="27"/>
    </row>
    <row r="44" spans="1:28" s="18" customFormat="1" ht="15.6" x14ac:dyDescent="0.3">
      <c r="B44" s="12"/>
      <c r="C44" s="26"/>
      <c r="D44" s="14"/>
      <c r="E44" s="23"/>
      <c r="F44" s="17"/>
      <c r="G44" s="16"/>
      <c r="H44" s="49"/>
      <c r="J44" s="12"/>
      <c r="K44" s="26" t="s">
        <v>16</v>
      </c>
      <c r="L44" s="18" t="s">
        <v>399</v>
      </c>
      <c r="M44" s="19" t="s">
        <v>390</v>
      </c>
      <c r="N44" s="53"/>
      <c r="O44" s="27">
        <f>-IFERROR(VLOOKUP(M44,'30.06.2024 Ana Hs.Mizanı S'!A:G,7,0),0)</f>
        <v>0</v>
      </c>
      <c r="Q44" s="52"/>
    </row>
    <row r="45" spans="1:28" s="18" customFormat="1" ht="15.6" x14ac:dyDescent="0.3">
      <c r="A45" s="1"/>
      <c r="B45" s="12"/>
      <c r="C45" s="26" t="s">
        <v>10</v>
      </c>
      <c r="D45" s="18" t="s">
        <v>275</v>
      </c>
      <c r="E45" s="19" t="s">
        <v>180</v>
      </c>
      <c r="F45" s="17"/>
      <c r="G45" s="27">
        <f>IFERROR(VLOOKUP(E45,'30.06.2024 Ana Hs.Mizanı S'!A:G,7,0),0)</f>
        <v>29294773.699999999</v>
      </c>
      <c r="H45" s="27"/>
      <c r="J45" s="12"/>
      <c r="K45" s="26" t="s">
        <v>19</v>
      </c>
      <c r="L45" s="18" t="s">
        <v>59</v>
      </c>
      <c r="M45" s="19" t="s">
        <v>284</v>
      </c>
      <c r="N45" s="27"/>
      <c r="O45" s="27">
        <f>-IFERROR(VLOOKUP(M45,'30.06.2024 Ana Hs.Mizanı S'!A:G,7,0),0)</f>
        <v>8234135.5</v>
      </c>
    </row>
    <row r="46" spans="1:28" ht="15.6" x14ac:dyDescent="0.3">
      <c r="A46" s="14"/>
      <c r="B46" s="13"/>
      <c r="C46" s="26" t="s">
        <v>13</v>
      </c>
      <c r="D46" s="18" t="s">
        <v>276</v>
      </c>
      <c r="E46" s="19" t="s">
        <v>181</v>
      </c>
      <c r="F46" s="17"/>
      <c r="G46" s="27">
        <f>IFERROR(VLOOKUP(E46,'30.06.2024 Ana Hs.Mizanı S'!A:G,7,0),0)</f>
        <v>50243384.979999997</v>
      </c>
      <c r="J46" s="12"/>
      <c r="K46" s="26"/>
      <c r="M46" s="26"/>
      <c r="N46" s="54"/>
    </row>
    <row r="47" spans="1:28" s="14" customFormat="1" ht="15.6" x14ac:dyDescent="0.3">
      <c r="A47" s="18"/>
      <c r="B47" s="13"/>
      <c r="C47" s="26" t="s">
        <v>16</v>
      </c>
      <c r="D47" s="18" t="s">
        <v>277</v>
      </c>
      <c r="E47" s="19" t="s">
        <v>182</v>
      </c>
      <c r="F47" s="17"/>
      <c r="G47" s="27">
        <f>IFERROR(VLOOKUP(E47,'30.06.2024 Ana Hs.Mizanı S'!A:G,7,0),0)</f>
        <v>0</v>
      </c>
      <c r="H47" s="17"/>
      <c r="J47" s="12" t="s">
        <v>58</v>
      </c>
      <c r="K47" s="23"/>
      <c r="L47" s="14" t="s">
        <v>63</v>
      </c>
      <c r="M47" s="26"/>
      <c r="N47" s="17"/>
      <c r="O47" s="16">
        <f>SUM(O48:O49)</f>
        <v>45897936.140000001</v>
      </c>
    </row>
    <row r="48" spans="1:28" s="18" customFormat="1" ht="15.6" x14ac:dyDescent="0.3">
      <c r="B48" s="13"/>
      <c r="C48" s="26" t="s">
        <v>19</v>
      </c>
      <c r="D48" s="18" t="s">
        <v>56</v>
      </c>
      <c r="E48" s="19" t="s">
        <v>183</v>
      </c>
      <c r="F48" s="49"/>
      <c r="G48" s="27">
        <f>IFERROR(VLOOKUP(E48,'30.06.2024 Ana Hs.Mizanı S'!A:G,7,0),0)</f>
        <v>128694283.59999999</v>
      </c>
      <c r="H48" s="27"/>
      <c r="J48" s="12"/>
      <c r="K48" s="26" t="s">
        <v>10</v>
      </c>
      <c r="L48" s="18" t="s">
        <v>65</v>
      </c>
      <c r="M48" s="19" t="s">
        <v>285</v>
      </c>
      <c r="N48" s="27"/>
      <c r="O48" s="27">
        <f>-IFERROR(VLOOKUP(M48,'30.06.2024 Ana Hs.Mizanı S'!A:G,7,0),0)</f>
        <v>20400809.059999999</v>
      </c>
    </row>
    <row r="49" spans="1:23" s="18" customFormat="1" ht="15.6" x14ac:dyDescent="0.3">
      <c r="B49" s="12"/>
      <c r="C49" s="26" t="s">
        <v>22</v>
      </c>
      <c r="D49" s="18" t="s">
        <v>57</v>
      </c>
      <c r="E49" s="19" t="s">
        <v>268</v>
      </c>
      <c r="F49" s="49"/>
      <c r="G49" s="27">
        <f>IFERROR(VLOOKUP(E49,'30.06.2024 Ana Hs.Mizanı S'!A:G,7,0),0)</f>
        <v>0</v>
      </c>
      <c r="H49" s="49"/>
      <c r="J49" s="13"/>
      <c r="K49" s="26" t="s">
        <v>13</v>
      </c>
      <c r="L49" s="18" t="s">
        <v>67</v>
      </c>
      <c r="M49" s="19" t="s">
        <v>215</v>
      </c>
      <c r="N49" s="27"/>
      <c r="O49" s="27">
        <f>-IFERROR(VLOOKUP(M49,'30.06.2024 Ana Hs.Mizanı S'!A:G,7,0),0)</f>
        <v>25497127.079999998</v>
      </c>
    </row>
    <row r="50" spans="1:23" s="18" customFormat="1" ht="15.6" x14ac:dyDescent="0.3">
      <c r="B50" s="12"/>
      <c r="C50" s="26" t="s">
        <v>33</v>
      </c>
      <c r="D50" s="18" t="s">
        <v>60</v>
      </c>
      <c r="E50" s="19" t="s">
        <v>184</v>
      </c>
      <c r="F50" s="27"/>
      <c r="G50" s="27">
        <f>IFERROR(VLOOKUP(E50,'30.06.2024 Ana Hs.Mizanı S'!A:G,7,0),0)</f>
        <v>9906935.2300000004</v>
      </c>
      <c r="H50" s="17"/>
      <c r="J50" s="14"/>
      <c r="K50" s="23"/>
      <c r="L50" s="14"/>
      <c r="M50" s="14"/>
      <c r="N50" s="17"/>
      <c r="O50" s="17"/>
    </row>
    <row r="51" spans="1:23" s="18" customFormat="1" x14ac:dyDescent="0.25">
      <c r="A51" s="1"/>
      <c r="B51" s="13"/>
      <c r="C51" s="26"/>
      <c r="D51" s="1"/>
      <c r="E51" s="22"/>
      <c r="F51" s="20"/>
      <c r="G51" s="20"/>
      <c r="H51" s="27"/>
      <c r="J51" s="12" t="s">
        <v>62</v>
      </c>
      <c r="K51" s="23"/>
      <c r="L51" s="14" t="s">
        <v>70</v>
      </c>
      <c r="M51" s="26"/>
      <c r="N51" s="17"/>
      <c r="O51" s="16">
        <f>SUM(O52:O53)</f>
        <v>0</v>
      </c>
    </row>
    <row r="52" spans="1:23" ht="15.6" x14ac:dyDescent="0.3">
      <c r="A52" s="14"/>
      <c r="B52" s="12" t="s">
        <v>53</v>
      </c>
      <c r="D52" s="14" t="s">
        <v>61</v>
      </c>
      <c r="E52" s="23"/>
      <c r="F52" s="17"/>
      <c r="G52" s="16">
        <f>+G53+G54</f>
        <v>44679896.280000001</v>
      </c>
      <c r="H52" s="27"/>
      <c r="J52" s="12"/>
      <c r="K52" s="26" t="s">
        <v>10</v>
      </c>
      <c r="L52" s="18" t="s">
        <v>72</v>
      </c>
      <c r="M52" s="19" t="s">
        <v>216</v>
      </c>
      <c r="N52" s="27"/>
      <c r="O52" s="27">
        <f>-IFERROR(VLOOKUP(M52,'30.06.2024 Ana Hs.Mizanı S'!A:G,7,0),0)</f>
        <v>0</v>
      </c>
    </row>
    <row r="53" spans="1:23" s="14" customFormat="1" ht="15.6" x14ac:dyDescent="0.3">
      <c r="B53" s="12"/>
      <c r="C53" s="26" t="s">
        <v>10</v>
      </c>
      <c r="D53" s="18" t="s">
        <v>64</v>
      </c>
      <c r="E53" s="19" t="s">
        <v>185</v>
      </c>
      <c r="F53" s="27"/>
      <c r="G53" s="27">
        <f>IFERROR(VLOOKUP(E53,'30.06.2024 Ana Hs.Mizanı S'!A:G,7,0),0)</f>
        <v>42222682.359999999</v>
      </c>
      <c r="H53" s="27"/>
      <c r="J53" s="18"/>
      <c r="K53" s="26" t="s">
        <v>13</v>
      </c>
      <c r="L53" s="18" t="s">
        <v>74</v>
      </c>
      <c r="M53" s="19" t="s">
        <v>286</v>
      </c>
      <c r="N53" s="27"/>
      <c r="O53" s="27">
        <f>-IFERROR(VLOOKUP(M53,'30.06.2024 Ana Hs.Mizanı S'!A:G,7,0),0)</f>
        <v>0</v>
      </c>
    </row>
    <row r="54" spans="1:23" s="14" customFormat="1" ht="15.6" x14ac:dyDescent="0.3">
      <c r="B54" s="18"/>
      <c r="C54" s="26" t="s">
        <v>13</v>
      </c>
      <c r="D54" s="18" t="s">
        <v>66</v>
      </c>
      <c r="E54" s="19" t="s">
        <v>186</v>
      </c>
      <c r="F54" s="49"/>
      <c r="G54" s="27">
        <f>IFERROR(VLOOKUP(E54,'30.06.2024 Ana Hs.Mizanı S'!A:G,7,0),0)</f>
        <v>2457213.92</v>
      </c>
      <c r="H54" s="27"/>
      <c r="K54" s="23"/>
    </row>
    <row r="55" spans="1:23" s="14" customFormat="1" x14ac:dyDescent="0.25">
      <c r="A55" s="18"/>
      <c r="B55" s="12" t="s">
        <v>50</v>
      </c>
      <c r="C55" s="23"/>
      <c r="D55" s="14" t="s">
        <v>68</v>
      </c>
      <c r="E55" s="23"/>
      <c r="F55" s="17"/>
      <c r="G55" s="16">
        <f>SUM(G56:G63)</f>
        <v>56497223.609999999</v>
      </c>
      <c r="H55" s="27"/>
      <c r="I55" s="2" t="s">
        <v>76</v>
      </c>
      <c r="J55" s="8"/>
      <c r="K55" s="28"/>
      <c r="L55" s="2" t="s">
        <v>78</v>
      </c>
      <c r="M55" s="43"/>
      <c r="N55" s="16"/>
      <c r="O55" s="16">
        <f>+O57+O62+O65</f>
        <v>11985742.440000001</v>
      </c>
      <c r="W55" s="17"/>
    </row>
    <row r="56" spans="1:23" s="18" customFormat="1" ht="15.6" x14ac:dyDescent="0.3">
      <c r="B56" s="12"/>
      <c r="C56" s="26" t="s">
        <v>10</v>
      </c>
      <c r="D56" s="18" t="s">
        <v>69</v>
      </c>
      <c r="E56" s="19" t="s">
        <v>187</v>
      </c>
      <c r="F56" s="27"/>
      <c r="G56" s="27">
        <f>IFERROR(VLOOKUP(E56,'30.06.2024 Ana Hs.Mizanı S'!A:G,7,0),0)</f>
        <v>0</v>
      </c>
      <c r="H56" s="49"/>
      <c r="I56" s="14"/>
    </row>
    <row r="57" spans="1:23" s="18" customFormat="1" ht="15.6" x14ac:dyDescent="0.3">
      <c r="B57" s="13"/>
      <c r="C57" s="26" t="s">
        <v>13</v>
      </c>
      <c r="D57" s="18" t="s">
        <v>71</v>
      </c>
      <c r="E57" s="19" t="s">
        <v>188</v>
      </c>
      <c r="F57" s="27"/>
      <c r="G57" s="27">
        <f>IFERROR(VLOOKUP(E57,'30.06.2024 Ana Hs.Mizanı S'!A:G,7,0),0)</f>
        <v>0</v>
      </c>
      <c r="H57" s="27"/>
      <c r="I57" s="14"/>
      <c r="J57" s="12" t="s">
        <v>7</v>
      </c>
      <c r="K57" s="26"/>
      <c r="L57" s="14" t="s">
        <v>9</v>
      </c>
      <c r="M57" s="26"/>
      <c r="N57" s="17"/>
      <c r="O57" s="16">
        <f>SUM(O58:O60)</f>
        <v>0</v>
      </c>
    </row>
    <row r="58" spans="1:23" s="18" customFormat="1" ht="15.6" x14ac:dyDescent="0.3">
      <c r="B58" s="13"/>
      <c r="C58" s="26" t="s">
        <v>16</v>
      </c>
      <c r="D58" s="18" t="s">
        <v>73</v>
      </c>
      <c r="E58" s="19" t="s">
        <v>269</v>
      </c>
      <c r="F58" s="27"/>
      <c r="G58" s="27">
        <f>IFERROR(VLOOKUP(E58,'30.06.2024 Ana Hs.Mizanı S'!A:G,7,0),0)</f>
        <v>0</v>
      </c>
      <c r="H58" s="16"/>
      <c r="J58" s="13"/>
      <c r="K58" s="26" t="s">
        <v>10</v>
      </c>
      <c r="L58" s="18" t="s">
        <v>12</v>
      </c>
      <c r="M58" s="19" t="s">
        <v>217</v>
      </c>
      <c r="N58" s="27"/>
      <c r="O58" s="27">
        <f>-IFERROR(VLOOKUP(M58,'30.06.2024 Ana Hs.Mizanı S'!A:G,7,0),0)</f>
        <v>0</v>
      </c>
    </row>
    <row r="59" spans="1:23" ht="15.6" x14ac:dyDescent="0.3">
      <c r="B59" s="18"/>
      <c r="C59" s="26" t="s">
        <v>19</v>
      </c>
      <c r="D59" s="18" t="s">
        <v>75</v>
      </c>
      <c r="E59" s="19" t="s">
        <v>189</v>
      </c>
      <c r="F59" s="27"/>
      <c r="G59" s="27">
        <f>IFERROR(VLOOKUP(E59,'30.06.2024 Ana Hs.Mizanı S'!A:G,7,0),0)</f>
        <v>51853403.090000004</v>
      </c>
      <c r="H59" s="16"/>
      <c r="J59" s="18"/>
      <c r="K59" s="26" t="s">
        <v>13</v>
      </c>
      <c r="L59" s="18" t="s">
        <v>15</v>
      </c>
      <c r="M59" s="19" t="s">
        <v>218</v>
      </c>
      <c r="N59" s="27"/>
      <c r="O59" s="27">
        <f>-IFERROR(VLOOKUP(M59,'30.06.2024 Ana Hs.Mizanı S'!A:G,7,0),0)</f>
        <v>0</v>
      </c>
    </row>
    <row r="60" spans="1:23" s="14" customFormat="1" ht="15.6" x14ac:dyDescent="0.3">
      <c r="A60" s="2"/>
      <c r="B60" s="13"/>
      <c r="C60" s="26" t="s">
        <v>22</v>
      </c>
      <c r="D60" s="18" t="s">
        <v>77</v>
      </c>
      <c r="E60" s="19" t="s">
        <v>190</v>
      </c>
      <c r="F60" s="27"/>
      <c r="G60" s="27">
        <f>IFERROR(VLOOKUP(E60,'30.06.2024 Ana Hs.Mizanı S'!A:G,7,0),0)</f>
        <v>368575.62</v>
      </c>
      <c r="H60" s="17"/>
      <c r="J60" s="1"/>
      <c r="K60" s="26" t="s">
        <v>16</v>
      </c>
      <c r="L60" s="18" t="s">
        <v>18</v>
      </c>
      <c r="M60" s="19" t="s">
        <v>219</v>
      </c>
      <c r="N60" s="27"/>
      <c r="O60" s="27">
        <f>-IFERROR(VLOOKUP(M60,'30.06.2024 Ana Hs.Mizanı S'!A:G,7,0),0)</f>
        <v>0</v>
      </c>
    </row>
    <row r="61" spans="1:23" s="14" customFormat="1" ht="15.6" x14ac:dyDescent="0.3">
      <c r="A61" s="2"/>
      <c r="B61" s="13"/>
      <c r="C61" s="26">
        <v>6</v>
      </c>
      <c r="D61" s="18" t="s">
        <v>395</v>
      </c>
      <c r="E61" s="19" t="s">
        <v>384</v>
      </c>
      <c r="F61" s="27"/>
      <c r="G61" s="27">
        <f>IFERROR(VLOOKUP(E61,'30.06.2024 Ana Hs.Mizanı S'!A:G,7,0),0)</f>
        <v>4275244.9000000004</v>
      </c>
      <c r="H61" s="17"/>
      <c r="J61" s="1"/>
      <c r="K61" s="26"/>
      <c r="L61" s="18"/>
      <c r="M61" s="19"/>
      <c r="N61" s="27"/>
      <c r="O61" s="27"/>
    </row>
    <row r="62" spans="1:23" s="14" customFormat="1" ht="15.6" x14ac:dyDescent="0.3">
      <c r="B62" s="13"/>
      <c r="C62" s="26" t="s">
        <v>35</v>
      </c>
      <c r="D62" s="18" t="s">
        <v>79</v>
      </c>
      <c r="E62" s="19" t="s">
        <v>270</v>
      </c>
      <c r="F62" s="49"/>
      <c r="G62" s="27">
        <f>IFERROR(VLOOKUP(E62,'30.06.2024 Ana Hs.Mizanı S'!A:G,7,0),0)</f>
        <v>0</v>
      </c>
      <c r="H62" s="27"/>
      <c r="I62" s="18"/>
      <c r="J62" s="12" t="s">
        <v>24</v>
      </c>
      <c r="K62" s="23"/>
      <c r="L62" s="14" t="s">
        <v>25</v>
      </c>
      <c r="M62" s="26"/>
      <c r="N62" s="17"/>
      <c r="O62" s="16">
        <f>SUM(O63:O67)</f>
        <v>11985742.440000001</v>
      </c>
    </row>
    <row r="63" spans="1:23" s="14" customFormat="1" ht="15.6" x14ac:dyDescent="0.3">
      <c r="A63" s="18"/>
      <c r="B63" s="8"/>
      <c r="C63" s="26" t="s">
        <v>38</v>
      </c>
      <c r="D63" s="18" t="s">
        <v>80</v>
      </c>
      <c r="E63" s="19" t="s">
        <v>271</v>
      </c>
      <c r="F63" s="27"/>
      <c r="G63" s="27">
        <f>IFERROR(VLOOKUP(E63,'30.06.2024 Ana Hs.Mizanı S'!A:G,7,0),0)</f>
        <v>0</v>
      </c>
      <c r="H63" s="20"/>
      <c r="I63" s="1"/>
      <c r="J63" s="13"/>
      <c r="K63" s="26" t="s">
        <v>10</v>
      </c>
      <c r="L63" s="18" t="s">
        <v>28</v>
      </c>
      <c r="M63" s="19" t="s">
        <v>287</v>
      </c>
      <c r="N63" s="27"/>
      <c r="O63" s="27">
        <f>-IFERROR(VLOOKUP(M63,'30.06.2024 Ana Hs.Mizanı S'!A:G,7,0),0)</f>
        <v>0</v>
      </c>
    </row>
    <row r="64" spans="1:23" s="18" customFormat="1" ht="15.6" x14ac:dyDescent="0.3">
      <c r="A64" s="1"/>
      <c r="B64" s="8"/>
      <c r="C64" s="26"/>
      <c r="E64" s="26"/>
      <c r="F64" s="27"/>
      <c r="G64" s="27"/>
      <c r="H64" s="17"/>
      <c r="J64" s="13"/>
      <c r="K64" s="26" t="s">
        <v>13</v>
      </c>
      <c r="L64" s="18" t="s">
        <v>294</v>
      </c>
      <c r="M64" s="19" t="s">
        <v>220</v>
      </c>
      <c r="N64" s="27"/>
      <c r="O64" s="27">
        <f>-IFERROR(VLOOKUP(M64,'30.06.2024 Ana Hs.Mizanı S'!A:G,7,0),0)</f>
        <v>501170.56</v>
      </c>
    </row>
    <row r="65" spans="1:23" x14ac:dyDescent="0.25">
      <c r="A65" s="2" t="s">
        <v>81</v>
      </c>
      <c r="C65" s="28"/>
      <c r="D65" s="2" t="s">
        <v>82</v>
      </c>
      <c r="E65" s="28"/>
      <c r="F65" s="16"/>
      <c r="G65" s="16">
        <f>+G67+G70+G76+G86+G96</f>
        <v>1568058915.1600001</v>
      </c>
      <c r="H65" s="49"/>
      <c r="J65" s="12" t="s">
        <v>26</v>
      </c>
      <c r="K65" s="23"/>
      <c r="L65" s="14" t="s">
        <v>86</v>
      </c>
      <c r="M65" s="26"/>
      <c r="N65" s="17"/>
      <c r="O65" s="27">
        <f>-IFERROR(VLOOKUP(M65,'30.06.2024 Ana Hs.Mizanı S'!A:G,7,0),0)</f>
        <v>0</v>
      </c>
    </row>
    <row r="66" spans="1:23" s="14" customFormat="1" ht="15.6" x14ac:dyDescent="0.3">
      <c r="A66" s="18"/>
      <c r="B66" s="13"/>
      <c r="C66" s="28"/>
      <c r="D66" s="2"/>
      <c r="E66" s="28"/>
      <c r="F66" s="16"/>
      <c r="G66" s="16"/>
      <c r="H66" s="49"/>
      <c r="J66" s="13"/>
      <c r="K66" s="26" t="s">
        <v>10</v>
      </c>
      <c r="L66" s="18" t="s">
        <v>88</v>
      </c>
      <c r="M66" s="19" t="s">
        <v>288</v>
      </c>
      <c r="N66" s="27"/>
      <c r="O66" s="27">
        <f>-IFERROR(VLOOKUP(M66,'30.06.2024 Ana Hs.Mizanı S'!A:G,7,0),0)</f>
        <v>11484571.880000001</v>
      </c>
    </row>
    <row r="67" spans="1:23" s="18" customFormat="1" ht="15.6" x14ac:dyDescent="0.3">
      <c r="A67" s="1"/>
      <c r="B67" s="12" t="s">
        <v>7</v>
      </c>
      <c r="C67" s="26"/>
      <c r="D67" s="14" t="s">
        <v>27</v>
      </c>
      <c r="E67" s="23"/>
      <c r="F67" s="17"/>
      <c r="G67" s="16">
        <f>+G68</f>
        <v>1252866.49</v>
      </c>
      <c r="H67" s="17"/>
      <c r="I67" s="8"/>
      <c r="J67" s="13"/>
      <c r="K67" s="26" t="s">
        <v>13</v>
      </c>
      <c r="L67" s="18" t="s">
        <v>67</v>
      </c>
      <c r="M67" s="19" t="s">
        <v>221</v>
      </c>
      <c r="N67" s="27"/>
      <c r="O67" s="27">
        <f>-IFERROR(VLOOKUP(M67,'30.06.2024 Ana Hs.Mizanı S'!A:G,7,0),0)</f>
        <v>0</v>
      </c>
      <c r="P67" s="14"/>
    </row>
    <row r="68" spans="1:23" ht="15.6" x14ac:dyDescent="0.3">
      <c r="C68" s="26" t="s">
        <v>10</v>
      </c>
      <c r="D68" s="18" t="s">
        <v>83</v>
      </c>
      <c r="E68" s="19" t="s">
        <v>272</v>
      </c>
      <c r="F68" s="27"/>
      <c r="G68" s="27">
        <f>IFERROR(VLOOKUP(E68,'30.06.2024 Ana Hs.Mizanı S'!A:G,7,0),0)</f>
        <v>1252866.49</v>
      </c>
      <c r="H68" s="17"/>
      <c r="I68" s="18"/>
      <c r="J68" s="14"/>
      <c r="K68" s="23"/>
      <c r="L68" s="14"/>
      <c r="M68" s="14"/>
      <c r="N68" s="14"/>
      <c r="O68" s="14"/>
      <c r="P68" s="18"/>
    </row>
    <row r="69" spans="1:23" x14ac:dyDescent="0.25">
      <c r="B69" s="13"/>
      <c r="F69" s="20"/>
      <c r="H69" s="49"/>
      <c r="I69" s="8" t="s">
        <v>89</v>
      </c>
      <c r="J69" s="8"/>
      <c r="K69" s="28"/>
      <c r="L69" s="2" t="s">
        <v>91</v>
      </c>
      <c r="M69" s="43"/>
      <c r="N69" s="16"/>
      <c r="O69" s="16">
        <f>+O73+O78+O81+O86+O91</f>
        <v>1653074870.3</v>
      </c>
      <c r="W69" s="30"/>
    </row>
    <row r="70" spans="1:23" x14ac:dyDescent="0.25">
      <c r="B70" s="12" t="s">
        <v>24</v>
      </c>
      <c r="C70" s="23"/>
      <c r="D70" s="14" t="s">
        <v>84</v>
      </c>
      <c r="E70" s="23"/>
      <c r="F70" s="17"/>
      <c r="G70" s="16">
        <f>+G73+G74+G72+G71</f>
        <v>684202630.70999992</v>
      </c>
      <c r="H70" s="49"/>
      <c r="I70" s="18"/>
      <c r="J70" s="13"/>
      <c r="K70" s="26"/>
      <c r="L70" s="18"/>
      <c r="M70" s="26"/>
      <c r="N70" s="27"/>
      <c r="O70" s="27"/>
    </row>
    <row r="71" spans="1:23" ht="15.6" x14ac:dyDescent="0.3">
      <c r="B71" s="74" t="s">
        <v>424</v>
      </c>
      <c r="C71" s="26" t="s">
        <v>10</v>
      </c>
      <c r="D71" s="18" t="s">
        <v>375</v>
      </c>
      <c r="E71" s="19" t="s">
        <v>369</v>
      </c>
      <c r="F71" s="17"/>
      <c r="G71" s="27">
        <f>IFERROR(VLOOKUP(E71,'30.06.2024 Ana Hs.Mizanı S'!A:G,7,0),0)</f>
        <v>31582886.050000001</v>
      </c>
      <c r="H71" s="49"/>
      <c r="I71" s="18"/>
      <c r="J71" s="13"/>
      <c r="K71" s="26"/>
      <c r="L71" s="18"/>
      <c r="M71" s="26"/>
      <c r="N71" s="27"/>
      <c r="O71" s="27"/>
    </row>
    <row r="72" spans="1:23" ht="15.6" x14ac:dyDescent="0.3">
      <c r="C72" s="26" t="s">
        <v>13</v>
      </c>
      <c r="D72" s="18" t="s">
        <v>368</v>
      </c>
      <c r="E72" s="19">
        <v>240</v>
      </c>
      <c r="F72" s="17"/>
      <c r="G72" s="27">
        <f>IFERROR(VLOOKUP(E72,'30.06.2024 Ana Hs.Mizanı S'!A:G,7,0),0)</f>
        <v>0</v>
      </c>
      <c r="H72" s="49"/>
      <c r="I72" s="18"/>
      <c r="J72" s="13"/>
      <c r="K72" s="26"/>
      <c r="L72" s="18"/>
      <c r="M72" s="26"/>
      <c r="N72" s="27"/>
      <c r="O72" s="27"/>
    </row>
    <row r="73" spans="1:23" s="18" customFormat="1" ht="15.6" x14ac:dyDescent="0.3">
      <c r="B73" s="12"/>
      <c r="C73" s="26" t="s">
        <v>16</v>
      </c>
      <c r="D73" s="18" t="s">
        <v>85</v>
      </c>
      <c r="E73" s="19" t="s">
        <v>191</v>
      </c>
      <c r="F73" s="49"/>
      <c r="G73" s="27">
        <f>IFERROR(VLOOKUP(E73,'30.06.2024 Ana Hs.Mizanı S'!A:G,7,0),0)</f>
        <v>0</v>
      </c>
      <c r="H73" s="49"/>
      <c r="J73" s="12" t="s">
        <v>7</v>
      </c>
      <c r="K73" s="23"/>
      <c r="L73" s="14" t="s">
        <v>94</v>
      </c>
      <c r="M73" s="26"/>
      <c r="N73" s="17"/>
      <c r="O73" s="16">
        <f>SUM(O74:O76)</f>
        <v>136783742.65000001</v>
      </c>
      <c r="P73" s="1"/>
    </row>
    <row r="74" spans="1:23" s="18" customFormat="1" ht="15.6" x14ac:dyDescent="0.3">
      <c r="C74" s="26" t="s">
        <v>19</v>
      </c>
      <c r="D74" s="18" t="s">
        <v>87</v>
      </c>
      <c r="E74" s="19" t="s">
        <v>192</v>
      </c>
      <c r="F74" s="49"/>
      <c r="G74" s="27">
        <f>IFERROR(VLOOKUP(E74,'30.06.2024 Ana Hs.Mizanı S'!A:G,7,0),0)</f>
        <v>652619744.65999997</v>
      </c>
      <c r="H74" s="27"/>
      <c r="J74" s="13"/>
      <c r="K74" s="26" t="s">
        <v>10</v>
      </c>
      <c r="L74" s="18" t="s">
        <v>96</v>
      </c>
      <c r="M74" s="19" t="s">
        <v>222</v>
      </c>
      <c r="N74" s="27"/>
      <c r="O74" s="27">
        <f>-IFERROR(VLOOKUP(M74,'30.06.2024 Ana Hs.Mizanı S'!A:G,7,0),0)</f>
        <v>65100000</v>
      </c>
    </row>
    <row r="75" spans="1:23" s="18" customFormat="1" ht="15.6" x14ac:dyDescent="0.3">
      <c r="B75" s="12"/>
      <c r="C75" s="14"/>
      <c r="D75" s="14"/>
      <c r="E75" s="14"/>
      <c r="F75" s="17"/>
      <c r="G75" s="17"/>
      <c r="H75" s="27"/>
      <c r="J75" s="13"/>
      <c r="K75" s="26" t="s">
        <v>13</v>
      </c>
      <c r="L75" s="18" t="s">
        <v>98</v>
      </c>
      <c r="M75" s="19" t="s">
        <v>289</v>
      </c>
      <c r="N75" s="27"/>
      <c r="O75" s="27">
        <f>-IFERROR(VLOOKUP(M75,'30.06.2024 Ana Hs.Mizanı S'!A:G,7,0),0)</f>
        <v>0</v>
      </c>
    </row>
    <row r="76" spans="1:23" s="18" customFormat="1" ht="15.6" x14ac:dyDescent="0.3">
      <c r="B76" s="12" t="s">
        <v>26</v>
      </c>
      <c r="C76" s="23"/>
      <c r="D76" s="14" t="s">
        <v>90</v>
      </c>
      <c r="E76" s="23"/>
      <c r="F76" s="17"/>
      <c r="G76" s="16">
        <f>SUM(G77:G84)</f>
        <v>715918703.74000001</v>
      </c>
      <c r="H76" s="49"/>
      <c r="J76" s="13"/>
      <c r="K76" s="26" t="s">
        <v>16</v>
      </c>
      <c r="L76" s="18" t="s">
        <v>100</v>
      </c>
      <c r="M76" s="19" t="s">
        <v>290</v>
      </c>
      <c r="N76" s="27"/>
      <c r="O76" s="27">
        <f>-IFERROR(VLOOKUP(M76,'30.06.2024 Ana Hs.Mizanı S'!A:G,7,0),0)</f>
        <v>71683742.650000006</v>
      </c>
    </row>
    <row r="77" spans="1:23" s="18" customFormat="1" ht="15.6" x14ac:dyDescent="0.3">
      <c r="B77" s="13"/>
      <c r="C77" s="26" t="s">
        <v>10</v>
      </c>
      <c r="D77" s="18" t="s">
        <v>92</v>
      </c>
      <c r="E77" s="19" t="s">
        <v>193</v>
      </c>
      <c r="F77" s="49"/>
      <c r="G77" s="27">
        <f>IFERROR(VLOOKUP(E77,'30.06.2024 Ana Hs.Mizanı S'!A:G,7,0),0)</f>
        <v>146729617.24000001</v>
      </c>
      <c r="H77" s="49"/>
      <c r="I77" s="1"/>
      <c r="J77" s="13"/>
      <c r="K77" s="26"/>
      <c r="M77" s="26"/>
      <c r="N77" s="27"/>
      <c r="O77" s="27"/>
    </row>
    <row r="78" spans="1:23" s="18" customFormat="1" ht="15.6" x14ac:dyDescent="0.3">
      <c r="B78" s="13"/>
      <c r="C78" s="26" t="s">
        <v>13</v>
      </c>
      <c r="D78" s="18" t="s">
        <v>93</v>
      </c>
      <c r="E78" s="19" t="s">
        <v>194</v>
      </c>
      <c r="F78" s="49"/>
      <c r="G78" s="27">
        <f>IFERROR(VLOOKUP(E78,'30.06.2024 Ana Hs.Mizanı S'!A:G,7,0),0)</f>
        <v>68146410.909999996</v>
      </c>
      <c r="H78" s="27"/>
      <c r="I78" s="1"/>
      <c r="J78" s="12" t="s">
        <v>24</v>
      </c>
      <c r="K78" s="23"/>
      <c r="L78" s="14" t="s">
        <v>103</v>
      </c>
      <c r="M78" s="26"/>
      <c r="N78" s="17"/>
      <c r="O78" s="16">
        <f>+O79</f>
        <v>0</v>
      </c>
    </row>
    <row r="79" spans="1:23" s="18" customFormat="1" ht="15.6" x14ac:dyDescent="0.3">
      <c r="B79" s="13"/>
      <c r="C79" s="26" t="s">
        <v>16</v>
      </c>
      <c r="D79" s="18" t="s">
        <v>95</v>
      </c>
      <c r="E79" s="19" t="s">
        <v>195</v>
      </c>
      <c r="F79" s="49"/>
      <c r="G79" s="27">
        <f>IFERROR(VLOOKUP(E79,'30.06.2024 Ana Hs.Mizanı S'!A:G,7,0),0)</f>
        <v>167784352.72</v>
      </c>
      <c r="H79" s="20"/>
      <c r="J79" s="13"/>
      <c r="K79" s="26" t="s">
        <v>10</v>
      </c>
      <c r="L79" s="18" t="s">
        <v>104</v>
      </c>
      <c r="M79" s="19" t="s">
        <v>291</v>
      </c>
      <c r="N79" s="27"/>
      <c r="O79" s="27">
        <f>-IFERROR(VLOOKUP(M79,'30.06.2024 Ana Hs.Mizanı S'!A:G,7,0),0)</f>
        <v>0</v>
      </c>
    </row>
    <row r="80" spans="1:23" s="18" customFormat="1" ht="15.6" x14ac:dyDescent="0.3">
      <c r="A80" s="1"/>
      <c r="B80" s="13"/>
      <c r="C80" s="26" t="s">
        <v>19</v>
      </c>
      <c r="D80" s="18" t="s">
        <v>97</v>
      </c>
      <c r="E80" s="88" t="s">
        <v>196</v>
      </c>
      <c r="F80" s="27"/>
      <c r="G80" s="27">
        <f>IFERROR(VLOOKUP(E80,'30.06.2024 Ana Hs.Mizanı S'!A:G,7,0),0)</f>
        <v>252784672.59999999</v>
      </c>
      <c r="H80" s="17"/>
    </row>
    <row r="81" spans="1:17" ht="15.6" x14ac:dyDescent="0.3">
      <c r="B81" s="13"/>
      <c r="C81" s="26" t="s">
        <v>22</v>
      </c>
      <c r="D81" s="18" t="s">
        <v>99</v>
      </c>
      <c r="E81" s="19" t="s">
        <v>197</v>
      </c>
      <c r="F81" s="27"/>
      <c r="G81" s="27">
        <f>IFERROR(VLOOKUP(E81,'30.06.2024 Ana Hs.Mizanı S'!A:G,7,0),0)</f>
        <v>-238621075.02000001</v>
      </c>
      <c r="H81" s="27"/>
      <c r="I81" s="18"/>
      <c r="J81" s="12" t="s">
        <v>26</v>
      </c>
      <c r="K81" s="23"/>
      <c r="L81" s="14" t="s">
        <v>106</v>
      </c>
      <c r="M81" s="26"/>
      <c r="N81" s="17"/>
      <c r="O81" s="16">
        <f>SUM(O82:O84)</f>
        <v>64298093.730000004</v>
      </c>
      <c r="P81" s="18"/>
    </row>
    <row r="82" spans="1:17" ht="15.6" x14ac:dyDescent="0.3">
      <c r="B82" s="18"/>
      <c r="C82" s="26" t="s">
        <v>33</v>
      </c>
      <c r="D82" s="18" t="s">
        <v>101</v>
      </c>
      <c r="E82" s="19" t="s">
        <v>273</v>
      </c>
      <c r="F82" s="49"/>
      <c r="G82" s="27">
        <f>IFERROR(VLOOKUP(E82,'30.06.2024 Ana Hs.Mizanı S'!A:G,7,0),0)</f>
        <v>308997692.63</v>
      </c>
      <c r="H82" s="49"/>
      <c r="J82" s="12"/>
      <c r="K82" s="26" t="s">
        <v>10</v>
      </c>
      <c r="L82" s="18" t="s">
        <v>295</v>
      </c>
      <c r="M82" s="19" t="s">
        <v>223</v>
      </c>
      <c r="N82" s="17"/>
      <c r="O82" s="27">
        <f>-IFERROR(VLOOKUP(M82,'30.06.2024 Ana Hs.Mizanı S'!A:G,7,0),0)</f>
        <v>58417931.590000004</v>
      </c>
      <c r="P82" s="18"/>
    </row>
    <row r="83" spans="1:17" ht="15.6" x14ac:dyDescent="0.3">
      <c r="B83" s="18"/>
      <c r="D83" s="18"/>
      <c r="E83" s="19"/>
      <c r="F83" s="49"/>
      <c r="G83" s="27"/>
      <c r="H83" s="49"/>
      <c r="J83" s="12"/>
      <c r="K83" s="26" t="s">
        <v>13</v>
      </c>
      <c r="L83" s="18" t="s">
        <v>380</v>
      </c>
      <c r="M83" s="19" t="s">
        <v>378</v>
      </c>
      <c r="N83" s="17"/>
      <c r="O83" s="27">
        <f>-IFERROR(VLOOKUP(M83,'30.06.2024 Ana Hs.Mizanı S'!A:G,7,0),0)</f>
        <v>0</v>
      </c>
      <c r="P83" s="18"/>
    </row>
    <row r="84" spans="1:17" s="18" customFormat="1" ht="15.6" x14ac:dyDescent="0.3">
      <c r="B84" s="12"/>
      <c r="C84" s="26" t="s">
        <v>35</v>
      </c>
      <c r="D84" s="18" t="s">
        <v>102</v>
      </c>
      <c r="E84" s="19" t="s">
        <v>198</v>
      </c>
      <c r="F84" s="49"/>
      <c r="G84" s="27">
        <f>IFERROR(VLOOKUP(E84,'30.06.2024 Ana Hs.Mizanı S'!A:G,7,0),0)</f>
        <v>10097032.66</v>
      </c>
      <c r="H84" s="27"/>
      <c r="J84" s="12"/>
      <c r="K84" s="26" t="s">
        <v>16</v>
      </c>
      <c r="L84" s="18" t="s">
        <v>108</v>
      </c>
      <c r="M84" s="19" t="s">
        <v>292</v>
      </c>
      <c r="N84" s="27"/>
      <c r="O84" s="27">
        <f>-IFERROR(VLOOKUP(M84,'30.06.2024 Ana Hs.Mizanı S'!A:G,7,0),0)</f>
        <v>5880162.1399999997</v>
      </c>
      <c r="P84" s="1"/>
    </row>
    <row r="85" spans="1:17" s="18" customFormat="1" x14ac:dyDescent="0.25">
      <c r="B85" s="12"/>
      <c r="F85" s="27"/>
      <c r="G85" s="27"/>
      <c r="H85" s="27"/>
      <c r="J85" s="13"/>
      <c r="K85" s="22"/>
      <c r="L85" s="1"/>
      <c r="O85" s="20"/>
    </row>
    <row r="86" spans="1:17" s="18" customFormat="1" x14ac:dyDescent="0.25">
      <c r="B86" s="12" t="s">
        <v>42</v>
      </c>
      <c r="C86" s="23"/>
      <c r="D86" s="14" t="s">
        <v>105</v>
      </c>
      <c r="E86" s="23"/>
      <c r="F86" s="17"/>
      <c r="G86" s="16">
        <f>SUM(G87:G94)</f>
        <v>166684714.22</v>
      </c>
      <c r="H86" s="27"/>
      <c r="J86" s="12" t="s">
        <v>53</v>
      </c>
      <c r="K86" s="23"/>
      <c r="L86" s="14" t="s">
        <v>293</v>
      </c>
      <c r="M86" s="26"/>
      <c r="N86" s="17"/>
      <c r="O86" s="16">
        <f>SUM(O87:O90)</f>
        <v>1016296613.9299999</v>
      </c>
    </row>
    <row r="87" spans="1:17" s="18" customFormat="1" ht="15.6" x14ac:dyDescent="0.3">
      <c r="B87" s="13"/>
      <c r="C87" s="26" t="s">
        <v>10</v>
      </c>
      <c r="D87" s="18" t="s">
        <v>107</v>
      </c>
      <c r="E87" s="19" t="s">
        <v>199</v>
      </c>
      <c r="F87" s="27"/>
      <c r="G87" s="27">
        <f>IFERROR(VLOOKUP(E87,'30.06.2024 Ana Hs.Mizanı S'!A:G,7,0),0)</f>
        <v>139961698.93000001</v>
      </c>
      <c r="H87" s="27"/>
      <c r="J87" s="13"/>
      <c r="K87" s="26" t="s">
        <v>10</v>
      </c>
      <c r="L87" s="18" t="s">
        <v>398</v>
      </c>
      <c r="M87" s="19" t="s">
        <v>224</v>
      </c>
      <c r="N87" s="27"/>
      <c r="O87" s="27">
        <f>-IFERROR(VLOOKUP(M87,'30.06.2024 Ana Hs.Mizanı S'!A:G,7,0),0)</f>
        <v>1016296613.9299999</v>
      </c>
      <c r="Q87" s="19"/>
    </row>
    <row r="88" spans="1:17" s="18" customFormat="1" ht="15.6" x14ac:dyDescent="0.3">
      <c r="B88" s="13"/>
      <c r="C88" s="26" t="s">
        <v>13</v>
      </c>
      <c r="D88" s="18" t="s">
        <v>281</v>
      </c>
      <c r="E88" s="19" t="s">
        <v>200</v>
      </c>
      <c r="F88" s="27"/>
      <c r="G88" s="27">
        <f>IFERROR(VLOOKUP(E88,'30.06.2024 Ana Hs.Mizanı S'!A:G,7,0),0)</f>
        <v>69863003.25</v>
      </c>
      <c r="H88" s="17"/>
      <c r="K88" s="26" t="s">
        <v>13</v>
      </c>
      <c r="L88" s="18" t="s">
        <v>111</v>
      </c>
      <c r="M88" s="19" t="s">
        <v>391</v>
      </c>
      <c r="O88" s="27">
        <f>-IFERROR(VLOOKUP(M88,'30.06.2024 Ana Hs.Mizanı S'!A:G,7,0),0)</f>
        <v>0</v>
      </c>
    </row>
    <row r="89" spans="1:17" s="18" customFormat="1" ht="15.6" x14ac:dyDescent="0.3">
      <c r="B89" s="13"/>
      <c r="C89" s="26"/>
      <c r="E89" s="19"/>
      <c r="F89" s="27"/>
      <c r="G89" s="27"/>
      <c r="H89" s="17"/>
      <c r="K89" s="26" t="s">
        <v>16</v>
      </c>
      <c r="L89" s="18" t="s">
        <v>396</v>
      </c>
      <c r="M89" s="19" t="s">
        <v>386</v>
      </c>
      <c r="O89" s="27">
        <f>-IFERROR(VLOOKUP(M89,'30.06.2024 Ana Hs.Mizanı S'!A:G,7,0),0)</f>
        <v>0</v>
      </c>
    </row>
    <row r="90" spans="1:17" s="18" customFormat="1" ht="15.6" x14ac:dyDescent="0.3">
      <c r="B90" s="13"/>
      <c r="C90" s="26"/>
      <c r="E90" s="19"/>
      <c r="F90" s="27"/>
      <c r="G90" s="27"/>
      <c r="H90" s="17"/>
      <c r="K90" s="26" t="s">
        <v>19</v>
      </c>
      <c r="L90" s="18" t="s">
        <v>397</v>
      </c>
      <c r="M90" s="19" t="s">
        <v>415</v>
      </c>
      <c r="O90" s="27">
        <f>-IFERROR(VLOOKUP(M90,'30.06.2024 Ana Hs.Mizanı S'!A:G,7,0),0)</f>
        <v>0</v>
      </c>
    </row>
    <row r="91" spans="1:17" ht="15.6" x14ac:dyDescent="0.3">
      <c r="A91" s="18"/>
      <c r="B91" s="13"/>
      <c r="C91" s="26" t="s">
        <v>16</v>
      </c>
      <c r="D91" s="18" t="s">
        <v>297</v>
      </c>
      <c r="E91" s="19" t="s">
        <v>201</v>
      </c>
      <c r="F91" s="49"/>
      <c r="G91" s="27">
        <f>IFERROR(VLOOKUP(E91,'30.06.2024 Ana Hs.Mizanı S'!A:G,7,0),0)</f>
        <v>2321193.8199999998</v>
      </c>
      <c r="H91" s="49"/>
      <c r="I91" s="18"/>
      <c r="J91" s="12" t="s">
        <v>50</v>
      </c>
      <c r="K91" s="23"/>
      <c r="L91" s="14" t="s">
        <v>113</v>
      </c>
      <c r="M91" s="26"/>
      <c r="N91" s="17"/>
      <c r="O91" s="16">
        <f>+O92</f>
        <v>435696419.99000001</v>
      </c>
      <c r="P91" s="18"/>
    </row>
    <row r="92" spans="1:17" ht="15.6" x14ac:dyDescent="0.3">
      <c r="A92" s="18"/>
      <c r="B92" s="13"/>
      <c r="C92" s="26" t="s">
        <v>19</v>
      </c>
      <c r="D92" s="18" t="s">
        <v>109</v>
      </c>
      <c r="E92" s="19" t="s">
        <v>202</v>
      </c>
      <c r="F92" s="27"/>
      <c r="G92" s="27">
        <f>IFERROR(VLOOKUP(E92,'30.06.2024 Ana Hs.Mizanı S'!A:G,7,0),0)</f>
        <v>174633314.63</v>
      </c>
      <c r="J92" s="13"/>
      <c r="K92" s="26" t="s">
        <v>10</v>
      </c>
      <c r="L92" s="18" t="s">
        <v>115</v>
      </c>
      <c r="M92" s="26"/>
      <c r="N92" s="27"/>
      <c r="O92" s="16">
        <v>435696419.99000001</v>
      </c>
    </row>
    <row r="93" spans="1:17" ht="15.6" x14ac:dyDescent="0.3">
      <c r="B93" s="13"/>
      <c r="C93" s="26" t="s">
        <v>22</v>
      </c>
      <c r="D93" s="18" t="s">
        <v>110</v>
      </c>
      <c r="E93" s="19" t="s">
        <v>274</v>
      </c>
      <c r="F93" s="27"/>
      <c r="G93" s="27">
        <f>IFERROR(VLOOKUP(E93,'30.06.2024 Ana Hs.Mizanı S'!A:G,7,0),0)</f>
        <v>0</v>
      </c>
      <c r="J93" s="13"/>
      <c r="K93" s="26"/>
      <c r="L93" s="18"/>
      <c r="M93" s="26"/>
      <c r="N93" s="27"/>
      <c r="O93" s="27" t="s">
        <v>977</v>
      </c>
    </row>
    <row r="94" spans="1:17" ht="15.6" x14ac:dyDescent="0.3">
      <c r="C94" s="26" t="s">
        <v>33</v>
      </c>
      <c r="D94" s="18" t="s">
        <v>99</v>
      </c>
      <c r="E94" s="19" t="s">
        <v>203</v>
      </c>
      <c r="F94" s="27"/>
      <c r="G94" s="27">
        <f>IFERROR(VLOOKUP(E94,'30.06.2024 Ana Hs.Mizanı S'!A:G,7,0),0)</f>
        <v>-220094496.41</v>
      </c>
      <c r="H94" s="16"/>
      <c r="J94" s="12"/>
      <c r="K94" s="26"/>
      <c r="M94" s="26"/>
      <c r="N94" s="54"/>
    </row>
    <row r="95" spans="1:17" x14ac:dyDescent="0.25">
      <c r="B95" s="18"/>
      <c r="D95" s="18"/>
      <c r="E95" s="26"/>
      <c r="F95" s="27"/>
      <c r="G95" s="27"/>
    </row>
    <row r="96" spans="1:17" x14ac:dyDescent="0.25">
      <c r="B96" s="12" t="s">
        <v>53</v>
      </c>
      <c r="C96" s="23"/>
      <c r="D96" s="14" t="s">
        <v>112</v>
      </c>
      <c r="E96" s="23"/>
      <c r="F96" s="17"/>
      <c r="G96" s="16">
        <f>+G97</f>
        <v>0</v>
      </c>
      <c r="H96" s="27"/>
      <c r="N96" s="20"/>
    </row>
    <row r="97" spans="3:25" ht="15.6" x14ac:dyDescent="0.3">
      <c r="C97" s="26" t="s">
        <v>10</v>
      </c>
      <c r="D97" s="18" t="s">
        <v>114</v>
      </c>
      <c r="E97" s="19" t="s">
        <v>204</v>
      </c>
      <c r="F97" s="27">
        <f>IFERROR(VLOOKUP(D97,'30.06.2024 Ana Hs.Mizanı S'!#REF!,7,0),0)</f>
        <v>0</v>
      </c>
      <c r="G97" s="27">
        <f>IFERROR(VLOOKUP(E97,'30.06.2024 Ana Hs.Mizanı S'!A:G,7,0),0)</f>
        <v>0</v>
      </c>
      <c r="N97" s="20"/>
    </row>
    <row r="98" spans="3:25" x14ac:dyDescent="0.25">
      <c r="F98" s="20"/>
      <c r="H98" s="27"/>
      <c r="N98" s="20"/>
    </row>
    <row r="99" spans="3:25" x14ac:dyDescent="0.25">
      <c r="F99" s="20"/>
    </row>
    <row r="100" spans="3:25" x14ac:dyDescent="0.25">
      <c r="C100" s="37"/>
      <c r="D100" s="38" t="s">
        <v>116</v>
      </c>
      <c r="E100" s="39"/>
      <c r="F100" s="40"/>
      <c r="G100" s="40">
        <f>+G65+G12</f>
        <v>2857130234.8699999</v>
      </c>
      <c r="J100" s="36"/>
      <c r="K100" s="37"/>
      <c r="L100" s="38" t="s">
        <v>117</v>
      </c>
      <c r="M100" s="37"/>
      <c r="N100" s="55"/>
      <c r="O100" s="55">
        <f>+O69+O12+O55</f>
        <v>2857130234.8600001</v>
      </c>
      <c r="U100" s="20"/>
    </row>
    <row r="101" spans="3:25" x14ac:dyDescent="0.25">
      <c r="H101" s="56"/>
      <c r="U101" s="20"/>
      <c r="Y101" s="20"/>
    </row>
    <row r="102" spans="3:25" x14ac:dyDescent="0.25">
      <c r="G102" s="57"/>
      <c r="H102" s="58"/>
    </row>
    <row r="103" spans="3:25" x14ac:dyDescent="0.25">
      <c r="H103" s="58"/>
    </row>
    <row r="104" spans="3:25" x14ac:dyDescent="0.25">
      <c r="G104" s="27"/>
      <c r="H104" s="59"/>
      <c r="I104" s="59"/>
      <c r="O104" s="20">
        <f>O100-G100</f>
        <v>-9.9997520446777344E-3</v>
      </c>
    </row>
    <row r="105" spans="3:25" x14ac:dyDescent="0.25">
      <c r="H105" s="59"/>
      <c r="J105" s="59"/>
      <c r="K105" s="59"/>
      <c r="L105" s="59"/>
      <c r="M105" s="59"/>
      <c r="P105" s="20"/>
    </row>
    <row r="106" spans="3:25" x14ac:dyDescent="0.25">
      <c r="H106" s="59"/>
    </row>
    <row r="107" spans="3:25" x14ac:dyDescent="0.25">
      <c r="H107" s="59"/>
      <c r="P107" s="20"/>
    </row>
    <row r="108" spans="3:25" x14ac:dyDescent="0.25">
      <c r="F108" s="60"/>
      <c r="G108" s="59"/>
      <c r="H108" s="59"/>
    </row>
    <row r="109" spans="3:25" x14ac:dyDescent="0.25">
      <c r="D109" s="61"/>
      <c r="F109" s="60"/>
      <c r="G109" s="58"/>
      <c r="H109" s="59"/>
    </row>
    <row r="110" spans="3:25" x14ac:dyDescent="0.25">
      <c r="D110" s="61"/>
      <c r="F110" s="60"/>
      <c r="G110" s="58"/>
      <c r="H110" s="71"/>
    </row>
    <row r="111" spans="3:25" x14ac:dyDescent="0.25">
      <c r="D111" s="61"/>
      <c r="E111" s="62"/>
      <c r="F111" s="59"/>
      <c r="G111" s="59"/>
      <c r="H111" s="71"/>
    </row>
    <row r="112" spans="3:25" x14ac:dyDescent="0.25">
      <c r="D112" s="61"/>
      <c r="F112" s="59"/>
      <c r="G112" s="59"/>
      <c r="H112" s="56"/>
    </row>
    <row r="113" spans="4:8" x14ac:dyDescent="0.25">
      <c r="D113" s="61"/>
      <c r="F113" s="59"/>
      <c r="G113" s="59"/>
      <c r="H113" s="56"/>
    </row>
    <row r="114" spans="4:8" x14ac:dyDescent="0.25">
      <c r="D114" s="61"/>
      <c r="F114" s="59"/>
      <c r="G114" s="59"/>
    </row>
    <row r="115" spans="4:8" x14ac:dyDescent="0.25">
      <c r="D115" s="61"/>
      <c r="F115" s="59"/>
      <c r="G115" s="59"/>
    </row>
    <row r="116" spans="4:8" x14ac:dyDescent="0.25">
      <c r="D116" s="61"/>
      <c r="F116" s="59"/>
      <c r="G116" s="59"/>
    </row>
    <row r="117" spans="4:8" x14ac:dyDescent="0.25">
      <c r="D117" s="61"/>
      <c r="F117" s="61"/>
      <c r="G117" s="61"/>
    </row>
    <row r="118" spans="4:8" x14ac:dyDescent="0.25">
      <c r="D118" s="61"/>
      <c r="F118" s="61"/>
      <c r="G118" s="61"/>
    </row>
    <row r="119" spans="4:8" x14ac:dyDescent="0.25">
      <c r="D119" s="61"/>
      <c r="F119" s="59"/>
      <c r="G119" s="59"/>
    </row>
    <row r="120" spans="4:8" x14ac:dyDescent="0.25">
      <c r="D120" s="61"/>
      <c r="F120" s="59"/>
      <c r="G120" s="59"/>
    </row>
  </sheetData>
  <mergeCells count="2">
    <mergeCell ref="A4:O4"/>
    <mergeCell ref="A5:O5"/>
  </mergeCells>
  <phoneticPr fontId="19" type="noConversion"/>
  <printOptions horizontalCentered="1" verticalCentered="1"/>
  <pageMargins left="0.2" right="0.35433070866141736" top="0.17" bottom="0.19" header="0.2" footer="0.25"/>
  <pageSetup paperSize="9" scale="77" fitToHeight="0" orientation="landscape" r:id="rId1"/>
  <headerFooter alignWithMargins="0"/>
  <ignoredErrors>
    <ignoredError sqref="G5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BV77"/>
  <sheetViews>
    <sheetView showGridLines="0" zoomScale="75" workbookViewId="0">
      <pane xSplit="4" ySplit="6" topLeftCell="E27" activePane="bottomRight" state="frozen"/>
      <selection activeCell="E52" sqref="E52"/>
      <selection pane="topRight" activeCell="E52" sqref="E52"/>
      <selection pane="bottomLeft" activeCell="E52" sqref="E52"/>
      <selection pane="bottomRight" activeCell="L64" sqref="L64"/>
    </sheetView>
  </sheetViews>
  <sheetFormatPr defaultColWidth="7.5546875" defaultRowHeight="15" x14ac:dyDescent="0.25"/>
  <cols>
    <col min="1" max="1" width="3.21875" style="12" bestFit="1" customWidth="1"/>
    <col min="2" max="2" width="3.6640625" style="13" bestFit="1" customWidth="1"/>
    <col min="3" max="3" width="50.33203125" style="1" bestFit="1" customWidth="1"/>
    <col min="4" max="4" width="19.5546875" style="22" customWidth="1"/>
    <col min="5" max="5" width="8.33203125" style="22" customWidth="1"/>
    <col min="6" max="6" width="15.5546875" style="22" customWidth="1"/>
    <col min="7" max="10" width="4.33203125" style="22" customWidth="1"/>
    <col min="11" max="11" width="3.6640625" style="22" customWidth="1"/>
    <col min="12" max="12" width="24.44140625" style="22" bestFit="1" customWidth="1"/>
    <col min="13" max="13" width="7.5546875" style="22"/>
    <col min="14" max="14" width="7.5546875" style="20"/>
    <col min="15" max="23" width="7.5546875" style="1"/>
    <col min="24" max="24" width="21.6640625" style="1" bestFit="1" customWidth="1"/>
    <col min="25" max="26" width="7.5546875" style="1"/>
    <col min="27" max="27" width="18" style="1" bestFit="1" customWidth="1"/>
    <col min="28" max="73" width="7.5546875" style="1"/>
    <col min="74" max="74" width="12.109375" style="1" bestFit="1" customWidth="1"/>
    <col min="75" max="16384" width="7.5546875" style="1"/>
  </cols>
  <sheetData>
    <row r="3" spans="1:74" x14ac:dyDescent="0.2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74" s="2" customFormat="1" ht="13.5" customHeight="1" x14ac:dyDescent="0.25">
      <c r="A4" s="105" t="s">
        <v>118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74" s="3" customFormat="1" x14ac:dyDescent="0.25">
      <c r="B5" s="4"/>
      <c r="C5" s="5"/>
      <c r="L5" s="6"/>
      <c r="M5" s="6"/>
      <c r="N5" s="7"/>
    </row>
    <row r="6" spans="1:74" s="10" customFormat="1" x14ac:dyDescent="0.25">
      <c r="A6" s="8"/>
      <c r="B6" s="9"/>
      <c r="D6" s="11"/>
      <c r="E6" s="11"/>
      <c r="F6" s="11"/>
      <c r="G6" s="11"/>
      <c r="H6" s="11"/>
      <c r="I6" s="11"/>
      <c r="J6" s="11"/>
      <c r="K6" s="11"/>
      <c r="L6" s="32">
        <v>45473</v>
      </c>
      <c r="M6" s="6"/>
      <c r="N6" s="6"/>
      <c r="O6" s="11"/>
    </row>
    <row r="7" spans="1:74" s="14" customFormat="1" x14ac:dyDescent="0.25">
      <c r="A7" s="12" t="s">
        <v>119</v>
      </c>
      <c r="B7" s="13"/>
      <c r="C7" s="14" t="s">
        <v>120</v>
      </c>
      <c r="D7" s="15"/>
      <c r="E7" s="15"/>
      <c r="F7" s="15"/>
      <c r="G7" s="15"/>
      <c r="H7" s="15"/>
      <c r="I7" s="15"/>
      <c r="J7" s="15"/>
      <c r="K7" s="15"/>
      <c r="L7" s="16">
        <f>SUM(L8:L10)</f>
        <v>2775947545.2399998</v>
      </c>
      <c r="M7" s="17"/>
    </row>
    <row r="8" spans="1:74" s="18" customFormat="1" ht="15.6" x14ac:dyDescent="0.3">
      <c r="A8" s="12"/>
      <c r="B8" s="13" t="s">
        <v>10</v>
      </c>
      <c r="C8" s="18" t="s">
        <v>121</v>
      </c>
      <c r="D8" s="19" t="s">
        <v>166</v>
      </c>
      <c r="E8" s="19"/>
      <c r="F8" s="19"/>
      <c r="G8" s="19"/>
      <c r="H8" s="19"/>
      <c r="I8" s="19"/>
      <c r="J8" s="19"/>
      <c r="K8" s="19"/>
      <c r="L8" s="20">
        <f>IFERROR(-VLOOKUP(D8,'30.06.2024 Ana Hs.Mizanı S'!A:G,7,0),)+IFERROR(-VLOOKUP(E8,'30.06.2024 Ana Hs.Mizanı S'!A:G,7,0),0)+IFERROR(-VLOOKUP(F8,'30.06.2024 Ana Hs.Mizanı S'!A:G,7,0),0)+IFERROR(-VLOOKUP(G8,'30.06.2024 Ana Hs.Mizanı S'!A:G,7,0),0)+IFERROR(-VLOOKUP(H8,'30.06.2024 Ana Hs.Mizanı S'!A:G,7,0),0)+IFERROR(-VLOOKUP(I8,'30.06.2024 Ana Hs.Mizanı S'!A:G,7,0),0)+IFERROR(-VLOOKUP(J8,'30.06.2024 Ana Hs.Mizanı S'!A:G,7,0),0)</f>
        <v>2193492194.8499999</v>
      </c>
      <c r="M8" s="20"/>
      <c r="N8" s="20"/>
    </row>
    <row r="9" spans="1:74" s="18" customFormat="1" ht="15.6" x14ac:dyDescent="0.3">
      <c r="A9" s="12"/>
      <c r="B9" s="13" t="s">
        <v>13</v>
      </c>
      <c r="C9" s="18" t="s">
        <v>122</v>
      </c>
      <c r="D9" s="19" t="s">
        <v>168</v>
      </c>
      <c r="E9" s="19"/>
      <c r="F9" s="19"/>
      <c r="G9" s="19"/>
      <c r="H9" s="19"/>
      <c r="I9" s="19"/>
      <c r="J9" s="19"/>
      <c r="K9" s="19"/>
      <c r="L9" s="20">
        <f>IFERROR(-VLOOKUP(D9,'30.06.2024 Ana Hs.Mizanı S'!A:G,7,0),)+IFERROR(-VLOOKUP(E9,'30.06.2024 Ana Hs.Mizanı S'!A:G,7,0),0)+IFERROR(-VLOOKUP(F9,'30.06.2024 Ana Hs.Mizanı S'!A:G,7,0),0)+IFERROR(-VLOOKUP(G9,'30.06.2024 Ana Hs.Mizanı S'!A:G,7,0),0)+IFERROR(-VLOOKUP(H9,'30.06.2024 Ana Hs.Mizanı S'!A:G,7,0),0)+IFERROR(-VLOOKUP(I9,'30.06.2024 Ana Hs.Mizanı S'!A:G,7,0),0)+IFERROR(-VLOOKUP(J9,'30.06.2024 Ana Hs.Mizanı S'!A:G,7,0),0)</f>
        <v>35842965.240000002</v>
      </c>
      <c r="M9" s="20"/>
      <c r="N9" s="20"/>
    </row>
    <row r="10" spans="1:74" s="18" customFormat="1" ht="16.5" customHeight="1" x14ac:dyDescent="0.3">
      <c r="A10" s="12"/>
      <c r="B10" s="13" t="s">
        <v>16</v>
      </c>
      <c r="C10" s="18" t="s">
        <v>123</v>
      </c>
      <c r="D10" s="19" t="s">
        <v>167</v>
      </c>
      <c r="E10" s="19"/>
      <c r="F10" s="19"/>
      <c r="G10" s="19"/>
      <c r="H10" s="19"/>
      <c r="I10" s="19"/>
      <c r="J10" s="19"/>
      <c r="K10" s="19"/>
      <c r="L10" s="20">
        <f>IFERROR(-VLOOKUP(D10,'30.06.2024 Ana Hs.Mizanı S'!A:G,7,0),)+IFERROR(-VLOOKUP(E10,'30.06.2024 Ana Hs.Mizanı S'!A:G,7,0),0)+IFERROR(-VLOOKUP(F10,'30.06.2024 Ana Hs.Mizanı S'!A:G,7,0),0)+IFERROR(-VLOOKUP(G10,'30.06.2024 Ana Hs.Mizanı S'!A:G,7,0),0)+IFERROR(-VLOOKUP(H10,'30.06.2024 Ana Hs.Mizanı S'!A:G,7,0),0)+IFERROR(-VLOOKUP(I10,'30.06.2024 Ana Hs.Mizanı S'!A:G,7,0),0)+IFERROR(-VLOOKUP(J10,'30.06.2024 Ana Hs.Mizanı S'!A:G,7,0),0)</f>
        <v>546612385.14999998</v>
      </c>
      <c r="M10" s="20"/>
      <c r="N10" s="20"/>
      <c r="Q10" s="21"/>
      <c r="BV10" s="21">
        <v>42308</v>
      </c>
    </row>
    <row r="11" spans="1:74" x14ac:dyDescent="0.25">
      <c r="L11" s="20"/>
      <c r="M11" s="20"/>
      <c r="P11" s="30"/>
      <c r="Q11" s="30"/>
    </row>
    <row r="12" spans="1:74" x14ac:dyDescent="0.25">
      <c r="A12" s="12" t="s">
        <v>124</v>
      </c>
      <c r="C12" s="14" t="s">
        <v>125</v>
      </c>
      <c r="D12" s="23"/>
      <c r="E12" s="23"/>
      <c r="F12" s="23"/>
      <c r="G12" s="23"/>
      <c r="H12" s="23"/>
      <c r="I12" s="23"/>
      <c r="J12" s="23"/>
      <c r="K12" s="23"/>
      <c r="L12" s="16">
        <f>SUM(L13:L16)</f>
        <v>-2825909.98</v>
      </c>
      <c r="M12" s="24"/>
      <c r="N12" s="24"/>
      <c r="P12" s="30"/>
      <c r="Q12" s="30"/>
    </row>
    <row r="13" spans="1:74" ht="15.6" x14ac:dyDescent="0.3">
      <c r="B13" s="13" t="s">
        <v>10</v>
      </c>
      <c r="C13" s="18" t="s">
        <v>165</v>
      </c>
      <c r="D13" s="19" t="s">
        <v>225</v>
      </c>
      <c r="E13" s="19"/>
      <c r="F13" s="19"/>
      <c r="G13" s="19"/>
      <c r="H13" s="19"/>
      <c r="I13" s="19"/>
      <c r="J13" s="19"/>
      <c r="K13" s="19"/>
      <c r="L13" s="20">
        <f>IFERROR(-VLOOKUP(D13,'30.06.2024 Ana Hs.Mizanı S'!A:G,7,0),)+IFERROR(-VLOOKUP(E13,'30.06.2024 Ana Hs.Mizanı S'!A:G,7,0),0)+IFERROR(-VLOOKUP(F13,'30.06.2024 Ana Hs.Mizanı S'!A:G,7,0),0)+IFERROR(-VLOOKUP(G13,'30.06.2024 Ana Hs.Mizanı S'!A:G,7,0),0)+IFERROR(-VLOOKUP(H13,'30.06.2024 Ana Hs.Mizanı S'!A:G,7,0),0)+IFERROR(-VLOOKUP(I13,'30.06.2024 Ana Hs.Mizanı S'!A:G,7,0),0)+IFERROR(-VLOOKUP(J13,'30.06.2024 Ana Hs.Mizanı S'!A:G,7,0),0)</f>
        <v>-2268217.09</v>
      </c>
      <c r="M13" s="24"/>
      <c r="N13" s="24"/>
      <c r="P13" s="30"/>
      <c r="Q13" s="30"/>
    </row>
    <row r="14" spans="1:74" ht="15.6" x14ac:dyDescent="0.3">
      <c r="B14" s="13" t="s">
        <v>13</v>
      </c>
      <c r="C14" s="18" t="s">
        <v>126</v>
      </c>
      <c r="D14" s="19" t="s">
        <v>226</v>
      </c>
      <c r="E14" s="19"/>
      <c r="F14" s="19"/>
      <c r="G14" s="19"/>
      <c r="H14" s="19"/>
      <c r="I14" s="19"/>
      <c r="J14" s="19"/>
      <c r="K14" s="19"/>
      <c r="L14" s="20">
        <f>IFERROR(-VLOOKUP(D14,'30.06.2024 Ana Hs.Mizanı S'!A:G,7,0),)+IFERROR(-VLOOKUP(E14,'30.06.2024 Ana Hs.Mizanı S'!A:G,7,0),0)+IFERROR(-VLOOKUP(F14,'30.06.2024 Ana Hs.Mizanı S'!A:G,7,0),0)+IFERROR(-VLOOKUP(G14,'30.06.2024 Ana Hs.Mizanı S'!A:G,7,0),0)+IFERROR(-VLOOKUP(H14,'30.06.2024 Ana Hs.Mizanı S'!A:G,7,0),0)+IFERROR(-VLOOKUP(I14,'30.06.2024 Ana Hs.Mizanı S'!A:G,7,0),0)+IFERROR(-VLOOKUP(J14,'30.06.2024 Ana Hs.Mizanı S'!A:G,7,0),0)</f>
        <v>0</v>
      </c>
      <c r="M14" s="25"/>
      <c r="N14" s="25"/>
      <c r="P14" s="30"/>
      <c r="Q14" s="30"/>
    </row>
    <row r="15" spans="1:74" ht="15.6" x14ac:dyDescent="0.3">
      <c r="B15" s="13" t="s">
        <v>16</v>
      </c>
      <c r="C15" s="18" t="s">
        <v>261</v>
      </c>
      <c r="D15" s="19" t="s">
        <v>227</v>
      </c>
      <c r="E15" s="19"/>
      <c r="F15" s="19"/>
      <c r="G15" s="19"/>
      <c r="H15" s="19"/>
      <c r="I15" s="19"/>
      <c r="J15" s="19"/>
      <c r="K15" s="19"/>
      <c r="L15" s="20">
        <f>IFERROR(-VLOOKUP(D15,'30.06.2024 Ana Hs.Mizanı S'!A:G,7,0),)+IFERROR(-VLOOKUP(E15,'30.06.2024 Ana Hs.Mizanı S'!A:G,7,0),0)+IFERROR(-VLOOKUP(F15,'30.06.2024 Ana Hs.Mizanı S'!A:G,7,0),0)+IFERROR(-VLOOKUP(G15,'30.06.2024 Ana Hs.Mizanı S'!A:G,7,0),0)+IFERROR(-VLOOKUP(H15,'30.06.2024 Ana Hs.Mizanı S'!A:G,7,0),0)+IFERROR(-VLOOKUP(I15,'30.06.2024 Ana Hs.Mizanı S'!A:G,7,0),0)+IFERROR(-VLOOKUP(J15,'30.06.2024 Ana Hs.Mizanı S'!A:G,7,0),0)</f>
        <v>-557692.89</v>
      </c>
      <c r="M15" s="25"/>
      <c r="N15" s="25"/>
      <c r="P15" s="30"/>
      <c r="Q15" s="30"/>
    </row>
    <row r="16" spans="1:74" x14ac:dyDescent="0.25">
      <c r="C16" s="18"/>
      <c r="D16" s="26"/>
      <c r="E16" s="26"/>
      <c r="F16" s="26"/>
      <c r="G16" s="26"/>
      <c r="H16" s="26"/>
      <c r="I16" s="26"/>
      <c r="J16" s="26"/>
      <c r="K16" s="26"/>
      <c r="L16" s="20"/>
      <c r="M16" s="20"/>
      <c r="P16" s="30"/>
      <c r="Q16" s="30"/>
    </row>
    <row r="17" spans="1:17" s="14" customFormat="1" x14ac:dyDescent="0.25">
      <c r="A17" s="12" t="s">
        <v>127</v>
      </c>
      <c r="B17" s="13"/>
      <c r="C17" s="14" t="s">
        <v>128</v>
      </c>
      <c r="D17" s="15"/>
      <c r="E17" s="15"/>
      <c r="F17" s="15"/>
      <c r="G17" s="15"/>
      <c r="H17" s="15"/>
      <c r="I17" s="15"/>
      <c r="J17" s="15"/>
      <c r="K17" s="15"/>
      <c r="L17" s="16">
        <f>+L12+L7</f>
        <v>2773121635.2599998</v>
      </c>
      <c r="M17" s="17"/>
      <c r="N17" s="17"/>
      <c r="P17" s="34"/>
      <c r="Q17" s="34"/>
    </row>
    <row r="18" spans="1:17" s="14" customFormat="1" x14ac:dyDescent="0.25">
      <c r="A18" s="12"/>
      <c r="B18" s="13"/>
      <c r="D18" s="15"/>
      <c r="E18" s="15"/>
      <c r="F18" s="15"/>
      <c r="G18" s="15"/>
      <c r="H18" s="15"/>
      <c r="I18" s="15"/>
      <c r="J18" s="15"/>
      <c r="K18" s="15"/>
      <c r="L18" s="17"/>
      <c r="M18" s="17"/>
      <c r="N18" s="17"/>
      <c r="P18" s="34"/>
      <c r="Q18" s="34"/>
    </row>
    <row r="19" spans="1:17" s="14" customFormat="1" x14ac:dyDescent="0.25">
      <c r="A19" s="12" t="s">
        <v>129</v>
      </c>
      <c r="B19" s="13"/>
      <c r="C19" s="14" t="s">
        <v>130</v>
      </c>
      <c r="D19" s="23"/>
      <c r="E19" s="23"/>
      <c r="F19" s="23"/>
      <c r="G19" s="23"/>
      <c r="H19" s="23"/>
      <c r="I19" s="23"/>
      <c r="J19" s="23"/>
      <c r="K19" s="23"/>
      <c r="L19" s="16">
        <f>SUM(L20:L23)</f>
        <v>-1216151960.0799999</v>
      </c>
      <c r="M19" s="17"/>
      <c r="N19" s="17"/>
      <c r="P19" s="34"/>
      <c r="Q19" s="35"/>
    </row>
    <row r="20" spans="1:17" s="18" customFormat="1" ht="15.6" x14ac:dyDescent="0.3">
      <c r="A20" s="12"/>
      <c r="B20" s="13" t="s">
        <v>10</v>
      </c>
      <c r="C20" s="18" t="s">
        <v>259</v>
      </c>
      <c r="D20" s="19" t="s">
        <v>228</v>
      </c>
      <c r="E20" s="19" t="s">
        <v>243</v>
      </c>
      <c r="F20" s="19" t="s">
        <v>245</v>
      </c>
      <c r="G20" s="19" t="s">
        <v>241</v>
      </c>
      <c r="H20" s="19" t="s">
        <v>242</v>
      </c>
      <c r="I20" s="19" t="s">
        <v>244</v>
      </c>
      <c r="J20" s="19" t="s">
        <v>246</v>
      </c>
      <c r="K20" s="19"/>
      <c r="L20" s="20">
        <f>IFERROR(-VLOOKUP(D20,'30.06.2024 Ana Hs.Mizanı S'!A:G,7,0),)+IFERROR(-VLOOKUP(E20,'30.06.2024 Ana Hs.Mizanı S'!A:G,7,0),0)+IFERROR(-VLOOKUP(F20,'30.06.2024 Ana Hs.Mizanı S'!A:G,7,0),0)+IFERROR(-VLOOKUP(G20,'30.06.2024 Ana Hs.Mizanı S'!A:G,7,0),0)+IFERROR(-VLOOKUP(H20,'30.06.2024 Ana Hs.Mizanı S'!A:G,7,0),0)+IFERROR(-VLOOKUP(I20,'30.06.2024 Ana Hs.Mizanı S'!A:G,7,0),0)+IFERROR(-VLOOKUP(J20,'30.06.2024 Ana Hs.Mizanı S'!A:G,7,0),0)</f>
        <v>-697415546.31000006</v>
      </c>
      <c r="M20" s="25"/>
      <c r="N20" s="25"/>
      <c r="P20" s="33"/>
      <c r="Q20" s="33"/>
    </row>
    <row r="21" spans="1:17" s="18" customFormat="1" ht="15.6" x14ac:dyDescent="0.3">
      <c r="A21" s="12"/>
      <c r="B21" s="13" t="s">
        <v>13</v>
      </c>
      <c r="C21" s="18" t="s">
        <v>131</v>
      </c>
      <c r="D21" s="19" t="s">
        <v>229</v>
      </c>
      <c r="E21" s="19"/>
      <c r="F21" s="19"/>
      <c r="G21" s="19"/>
      <c r="H21" s="19"/>
      <c r="I21" s="19"/>
      <c r="J21" s="19"/>
      <c r="K21" s="19"/>
      <c r="L21" s="20">
        <f>IFERROR(-VLOOKUP(D21,'30.06.2024 Ana Hs.Mizanı S'!A:G,7,0),)+IFERROR(-VLOOKUP(E21,'30.06.2024 Ana Hs.Mizanı S'!A:G,7,0),0)+IFERROR(-VLOOKUP(F21,'30.06.2024 Ana Hs.Mizanı S'!A:G,7,0),0)+IFERROR(-VLOOKUP(G21,'30.06.2024 Ana Hs.Mizanı S'!A:G,7,0),0)+IFERROR(-VLOOKUP(H21,'30.06.2024 Ana Hs.Mizanı S'!A:G,7,0),0)+IFERROR(-VLOOKUP(I21,'30.06.2024 Ana Hs.Mizanı S'!A:G,7,0),0)+IFERROR(-VLOOKUP(J21,'30.06.2024 Ana Hs.Mizanı S'!A:G,7,0),0)</f>
        <v>-354003069.25999999</v>
      </c>
      <c r="M21" s="20"/>
      <c r="N21" s="20"/>
      <c r="O21" s="27"/>
      <c r="P21" s="33"/>
      <c r="Q21" s="33"/>
    </row>
    <row r="22" spans="1:17" ht="15.6" x14ac:dyDescent="0.3">
      <c r="B22" s="13" t="s">
        <v>16</v>
      </c>
      <c r="C22" s="18" t="s">
        <v>303</v>
      </c>
      <c r="D22" s="19">
        <v>622</v>
      </c>
      <c r="E22" s="19" t="s">
        <v>421</v>
      </c>
      <c r="L22" s="20">
        <f>IFERROR(-VLOOKUP(D22,'30.06.2024 Ana Hs.Mizanı S'!A:G,7,0),)+IFERROR(-VLOOKUP(E22,'30.06.2024 Ana Hs.Mizanı S'!A:G,7,0),0)+IFERROR(-VLOOKUP(F22,'30.06.2024 Ana Hs.Mizanı S'!A:G,7,0),0)+IFERROR(-VLOOKUP(G22,'30.06.2024 Ana Hs.Mizanı S'!A:G,7,0),0)+IFERROR(-VLOOKUP(H22,'30.06.2024 Ana Hs.Mizanı S'!A:G,7,0),0)+IFERROR(-VLOOKUP(I22,'30.06.2024 Ana Hs.Mizanı S'!A:G,7,0),0)+IFERROR(-VLOOKUP(J22,'30.06.2024 Ana Hs.Mizanı S'!A:G,7,0),0)</f>
        <v>-164733344.50999999</v>
      </c>
      <c r="M22" s="20"/>
      <c r="P22" s="70"/>
      <c r="Q22" s="70"/>
    </row>
    <row r="23" spans="1:17" ht="15.6" x14ac:dyDescent="0.3">
      <c r="B23" s="13" t="s">
        <v>19</v>
      </c>
      <c r="C23" s="18" t="s">
        <v>304</v>
      </c>
      <c r="D23" s="19" t="s">
        <v>354</v>
      </c>
      <c r="L23" s="20">
        <f>IFERROR(-VLOOKUP(D23,'30.06.2024 Ana Hs.Mizanı S'!A:G,7,0),)+IFERROR(-VLOOKUP(E23,'30.06.2024 Ana Hs.Mizanı S'!A:G,7,0),0)+IFERROR(-VLOOKUP(F23,'30.06.2024 Ana Hs.Mizanı S'!A:G,7,0),0)+IFERROR(-VLOOKUP(G23,'30.06.2024 Ana Hs.Mizanı S'!A:G,7,0),0)+IFERROR(-VLOOKUP(H23,'30.06.2024 Ana Hs.Mizanı S'!A:G,7,0),0)+IFERROR(-VLOOKUP(I23,'30.06.2024 Ana Hs.Mizanı S'!A:G,7,0),0)+IFERROR(-VLOOKUP(J23,'30.06.2024 Ana Hs.Mizanı S'!A:G,7,0),0)</f>
        <v>0</v>
      </c>
      <c r="M23" s="20"/>
      <c r="P23" s="30"/>
      <c r="Q23" s="30"/>
    </row>
    <row r="24" spans="1:17" s="2" customFormat="1" x14ac:dyDescent="0.25">
      <c r="A24" s="8"/>
      <c r="B24" s="9"/>
      <c r="C24" s="2" t="s">
        <v>132</v>
      </c>
      <c r="D24" s="28"/>
      <c r="E24" s="28"/>
      <c r="F24" s="28"/>
      <c r="G24" s="28"/>
      <c r="H24" s="28"/>
      <c r="I24" s="28"/>
      <c r="J24" s="28"/>
      <c r="K24" s="28"/>
      <c r="L24" s="16">
        <f>+L17+L19</f>
        <v>1556969675.1799998</v>
      </c>
      <c r="M24" s="16"/>
      <c r="N24" s="16"/>
    </row>
    <row r="25" spans="1:17" x14ac:dyDescent="0.25">
      <c r="L25" s="20"/>
      <c r="M25" s="20"/>
    </row>
    <row r="26" spans="1:17" s="14" customFormat="1" x14ac:dyDescent="0.25">
      <c r="A26" s="12" t="s">
        <v>133</v>
      </c>
      <c r="B26" s="13"/>
      <c r="C26" s="14" t="s">
        <v>134</v>
      </c>
      <c r="D26" s="23"/>
      <c r="E26" s="23"/>
      <c r="F26" s="23"/>
      <c r="G26" s="23"/>
      <c r="H26" s="23"/>
      <c r="I26" s="23"/>
      <c r="J26" s="23"/>
      <c r="K26" s="23"/>
      <c r="L26" s="16">
        <f>SUM(L27:L29)</f>
        <v>-1007430109.13</v>
      </c>
      <c r="M26" s="17"/>
      <c r="N26" s="17"/>
    </row>
    <row r="27" spans="1:17" s="18" customFormat="1" ht="15.6" x14ac:dyDescent="0.3">
      <c r="A27" s="13"/>
      <c r="B27" s="13" t="s">
        <v>10</v>
      </c>
      <c r="C27" s="18" t="s">
        <v>135</v>
      </c>
      <c r="D27" s="19" t="s">
        <v>252</v>
      </c>
      <c r="E27" s="19"/>
      <c r="F27" s="19"/>
      <c r="G27" s="19"/>
      <c r="H27" s="19"/>
      <c r="I27" s="19"/>
      <c r="J27" s="19"/>
      <c r="K27" s="19"/>
      <c r="L27" s="20">
        <f>IFERROR(-VLOOKUP(D27,'30.06.2024 Ana Hs.Mizanı S'!A:G,7,0),)+IFERROR(-VLOOKUP(E27,'30.06.2024 Ana Hs.Mizanı S'!A:G,7,0),0)+IFERROR(-VLOOKUP(F27,'30.06.2024 Ana Hs.Mizanı S'!A:G,7,0),0)+IFERROR(-VLOOKUP(G27,'30.06.2024 Ana Hs.Mizanı S'!A:G,7,0),0)+IFERROR(-VLOOKUP(H27,'30.06.2024 Ana Hs.Mizanı S'!A:G,7,0),0)+IFERROR(-VLOOKUP(I27,'30.06.2024 Ana Hs.Mizanı S'!A:G,7,0),0)+IFERROR(-VLOOKUP(J27,'30.06.2024 Ana Hs.Mizanı S'!A:G,7,0),0)</f>
        <v>0</v>
      </c>
      <c r="M27" s="20"/>
      <c r="N27" s="20"/>
    </row>
    <row r="28" spans="1:17" s="18" customFormat="1" ht="13.5" customHeight="1" x14ac:dyDescent="0.3">
      <c r="A28" s="13"/>
      <c r="B28" s="13" t="s">
        <v>13</v>
      </c>
      <c r="C28" s="18" t="s">
        <v>136</v>
      </c>
      <c r="D28" s="19" t="s">
        <v>230</v>
      </c>
      <c r="E28" s="19" t="s">
        <v>247</v>
      </c>
      <c r="F28" s="19" t="s">
        <v>248</v>
      </c>
      <c r="G28" s="19"/>
      <c r="H28" s="19"/>
      <c r="I28" s="19"/>
      <c r="J28" s="19"/>
      <c r="K28" s="19"/>
      <c r="L28" s="20">
        <f>IFERROR(-VLOOKUP(D28,'30.06.2024 Ana Hs.Mizanı S'!A:G,7,0),)+IFERROR(-VLOOKUP(E28,'30.06.2024 Ana Hs.Mizanı S'!A:G,7,0),0)+IFERROR(-VLOOKUP(F28,'30.06.2024 Ana Hs.Mizanı S'!A:G,7,0),0)+IFERROR(-VLOOKUP(G28,'30.06.2024 Ana Hs.Mizanı S'!A:G,7,0),0)+IFERROR(-VLOOKUP(H28,'30.06.2024 Ana Hs.Mizanı S'!A:G,7,0),0)+IFERROR(-VLOOKUP(I28,'30.06.2024 Ana Hs.Mizanı S'!A:G,7,0),0)+IFERROR(-VLOOKUP(J28,'30.06.2024 Ana Hs.Mizanı S'!A:G,7,0),0)</f>
        <v>-900452951.58000004</v>
      </c>
      <c r="M28" s="25"/>
      <c r="N28" s="25"/>
    </row>
    <row r="29" spans="1:17" s="18" customFormat="1" ht="15.75" customHeight="1" x14ac:dyDescent="0.3">
      <c r="A29" s="13"/>
      <c r="B29" s="13" t="s">
        <v>16</v>
      </c>
      <c r="C29" s="18" t="s">
        <v>137</v>
      </c>
      <c r="D29" s="19" t="s">
        <v>249</v>
      </c>
      <c r="E29" s="19" t="s">
        <v>231</v>
      </c>
      <c r="F29" s="19" t="s">
        <v>250</v>
      </c>
      <c r="G29" s="19"/>
      <c r="H29" s="19"/>
      <c r="I29" s="19"/>
      <c r="J29" s="19"/>
      <c r="K29" s="19"/>
      <c r="L29" s="20">
        <f>IFERROR(-VLOOKUP(D29,'30.06.2024 Ana Hs.Mizanı S'!A:G,7,0),)+IFERROR(-VLOOKUP(E29,'30.06.2024 Ana Hs.Mizanı S'!A:G,7,0),0)+IFERROR(-VLOOKUP(F29,'30.06.2024 Ana Hs.Mizanı S'!A:G,7,0),0)+IFERROR(-VLOOKUP(G29,'30.06.2024 Ana Hs.Mizanı S'!A:G,7,0),0)+IFERROR(-VLOOKUP(H29,'30.06.2024 Ana Hs.Mizanı S'!A:G,7,0),0)+IFERROR(-VLOOKUP(I29,'30.06.2024 Ana Hs.Mizanı S'!A:G,7,0),0)+IFERROR(-VLOOKUP(J29,'30.06.2024 Ana Hs.Mizanı S'!A:G,7,0),0)</f>
        <v>-106977157.55</v>
      </c>
      <c r="M29" s="20"/>
      <c r="N29" s="20"/>
    </row>
    <row r="30" spans="1:17" x14ac:dyDescent="0.25">
      <c r="L30" s="20"/>
      <c r="M30" s="20"/>
    </row>
    <row r="31" spans="1:17" x14ac:dyDescent="0.25">
      <c r="C31" s="2" t="s">
        <v>138</v>
      </c>
      <c r="D31" s="28"/>
      <c r="E31" s="28"/>
      <c r="F31" s="28"/>
      <c r="G31" s="28"/>
      <c r="H31" s="28"/>
      <c r="I31" s="28"/>
      <c r="J31" s="28"/>
      <c r="K31" s="28"/>
      <c r="L31" s="16">
        <f>+L24+L26</f>
        <v>549539566.04999983</v>
      </c>
      <c r="M31" s="16"/>
      <c r="N31" s="16"/>
    </row>
    <row r="32" spans="1:17" x14ac:dyDescent="0.25">
      <c r="L32" s="20"/>
      <c r="M32" s="20"/>
    </row>
    <row r="33" spans="1:17" s="14" customFormat="1" x14ac:dyDescent="0.25">
      <c r="A33" s="12" t="s">
        <v>139</v>
      </c>
      <c r="B33" s="12"/>
      <c r="C33" s="14" t="s">
        <v>140</v>
      </c>
      <c r="D33" s="23"/>
      <c r="E33" s="23"/>
      <c r="F33" s="23"/>
      <c r="G33" s="23"/>
      <c r="H33" s="23"/>
      <c r="I33" s="23"/>
      <c r="J33" s="23"/>
      <c r="K33" s="23"/>
      <c r="L33" s="16">
        <f>SUM(L34:L39)</f>
        <v>48179271.579999998</v>
      </c>
      <c r="M33" s="17"/>
      <c r="N33" s="17"/>
    </row>
    <row r="34" spans="1:17" s="18" customFormat="1" ht="15.6" x14ac:dyDescent="0.3">
      <c r="A34" s="13"/>
      <c r="B34" s="13" t="s">
        <v>10</v>
      </c>
      <c r="C34" s="18" t="s">
        <v>141</v>
      </c>
      <c r="D34" s="19" t="s">
        <v>253</v>
      </c>
      <c r="E34" s="19"/>
      <c r="F34" s="19"/>
      <c r="G34" s="19"/>
      <c r="H34" s="19"/>
      <c r="I34" s="19"/>
      <c r="J34" s="19"/>
      <c r="K34" s="19"/>
      <c r="L34" s="20">
        <f>IFERROR(-VLOOKUP(D34,'30.06.2024 Ana Hs.Mizanı S'!A:G,7,0),)+IFERROR(-VLOOKUP(E34,'30.06.2024 Ana Hs.Mizanı S'!A:G,7,0),0)+IFERROR(-VLOOKUP(F34,'30.06.2024 Ana Hs.Mizanı S'!A:G,7,0),0)+IFERROR(-VLOOKUP(G34,'30.06.2024 Ana Hs.Mizanı S'!A:G,7,0),0)+IFERROR(-VLOOKUP(H34,'30.06.2024 Ana Hs.Mizanı S'!A:G,7,0),0)+IFERROR(-VLOOKUP(I34,'30.06.2024 Ana Hs.Mizanı S'!A:G,7,0),0)+IFERROR(-VLOOKUP(J34,'30.06.2024 Ana Hs.Mizanı S'!A:G,7,0),0)</f>
        <v>36812606.369999997</v>
      </c>
      <c r="M34" s="20"/>
      <c r="N34" s="20"/>
    </row>
    <row r="35" spans="1:17" s="18" customFormat="1" ht="15.6" x14ac:dyDescent="0.3">
      <c r="A35" s="13"/>
      <c r="B35" s="13" t="s">
        <v>13</v>
      </c>
      <c r="C35" s="18" t="s">
        <v>142</v>
      </c>
      <c r="D35" s="19" t="s">
        <v>254</v>
      </c>
      <c r="E35" s="19"/>
      <c r="F35" s="19"/>
      <c r="G35" s="19"/>
      <c r="H35" s="19"/>
      <c r="I35" s="19"/>
      <c r="J35" s="19"/>
      <c r="K35" s="19"/>
      <c r="L35" s="20">
        <f>IFERROR(-VLOOKUP(D35,'30.06.2024 Ana Hs.Mizanı S'!A:G,7,0),)+IFERROR(-VLOOKUP(E35,'30.06.2024 Ana Hs.Mizanı S'!A:G,7,0),0)+IFERROR(-VLOOKUP(F35,'30.06.2024 Ana Hs.Mizanı S'!A:G,7,0),0)+IFERROR(-VLOOKUP(G35,'30.06.2024 Ana Hs.Mizanı S'!A:G,7,0),0)+IFERROR(-VLOOKUP(H35,'30.06.2024 Ana Hs.Mizanı S'!A:G,7,0),0)+IFERROR(-VLOOKUP(I35,'30.06.2024 Ana Hs.Mizanı S'!A:G,7,0),0)+IFERROR(-VLOOKUP(J35,'30.06.2024 Ana Hs.Mizanı S'!A:G,7,0),0)</f>
        <v>0</v>
      </c>
      <c r="M35" s="20"/>
      <c r="N35" s="20"/>
    </row>
    <row r="36" spans="1:17" s="18" customFormat="1" ht="15.6" x14ac:dyDescent="0.3">
      <c r="A36" s="13"/>
      <c r="B36" s="13" t="s">
        <v>16</v>
      </c>
      <c r="C36" s="18" t="s">
        <v>262</v>
      </c>
      <c r="D36" s="19" t="s">
        <v>232</v>
      </c>
      <c r="E36" s="19"/>
      <c r="F36" s="19"/>
      <c r="G36" s="19"/>
      <c r="H36" s="19"/>
      <c r="I36" s="19"/>
      <c r="J36" s="19"/>
      <c r="K36" s="19"/>
      <c r="L36" s="20">
        <f>IFERROR(-VLOOKUP(D36,'30.06.2024 Ana Hs.Mizanı S'!A:G,7,0),)+IFERROR(-VLOOKUP(E36,'30.06.2024 Ana Hs.Mizanı S'!A:G,7,0),0)+IFERROR(-VLOOKUP(F36,'30.06.2024 Ana Hs.Mizanı S'!A:G,7,0),0)+IFERROR(-VLOOKUP(G36,'30.06.2024 Ana Hs.Mizanı S'!A:G,7,0),0)+IFERROR(-VLOOKUP(H36,'30.06.2024 Ana Hs.Mizanı S'!A:G,7,0),0)+IFERROR(-VLOOKUP(I36,'30.06.2024 Ana Hs.Mizanı S'!A:G,7,0),0)+IFERROR(-VLOOKUP(J36,'30.06.2024 Ana Hs.Mizanı S'!A:G,7,0),0)</f>
        <v>0</v>
      </c>
      <c r="M36" s="20"/>
      <c r="N36" s="20"/>
    </row>
    <row r="37" spans="1:17" s="18" customFormat="1" ht="15.6" x14ac:dyDescent="0.3">
      <c r="A37" s="13"/>
      <c r="B37" s="13" t="s">
        <v>19</v>
      </c>
      <c r="C37" s="18" t="s">
        <v>143</v>
      </c>
      <c r="D37" s="19" t="s">
        <v>233</v>
      </c>
      <c r="E37" s="19"/>
      <c r="F37" s="19"/>
      <c r="G37" s="19"/>
      <c r="H37" s="19"/>
      <c r="I37" s="19"/>
      <c r="J37" s="19"/>
      <c r="K37" s="19"/>
      <c r="L37" s="20">
        <f>IFERROR(-VLOOKUP(D37,'30.06.2024 Ana Hs.Mizanı S'!A:G,7,0),)+IFERROR(-VLOOKUP(E37,'30.06.2024 Ana Hs.Mizanı S'!A:G,7,0),0)+IFERROR(-VLOOKUP(F37,'30.06.2024 Ana Hs.Mizanı S'!A:G,7,0),0)+IFERROR(-VLOOKUP(G37,'30.06.2024 Ana Hs.Mizanı S'!A:G,7,0),0)+IFERROR(-VLOOKUP(H37,'30.06.2024 Ana Hs.Mizanı S'!A:G,7,0),0)+IFERROR(-VLOOKUP(I37,'30.06.2024 Ana Hs.Mizanı S'!A:G,7,0),0)+IFERROR(-VLOOKUP(J37,'30.06.2024 Ana Hs.Mizanı S'!A:G,7,0),0)</f>
        <v>9514813.3699999992</v>
      </c>
      <c r="M37" s="20"/>
      <c r="N37" s="20"/>
    </row>
    <row r="38" spans="1:17" s="18" customFormat="1" ht="15.6" x14ac:dyDescent="0.3">
      <c r="A38" s="13"/>
      <c r="B38" s="13" t="s">
        <v>22</v>
      </c>
      <c r="C38" s="18" t="s">
        <v>144</v>
      </c>
      <c r="D38" s="19" t="s">
        <v>255</v>
      </c>
      <c r="E38" s="19"/>
      <c r="F38" s="19"/>
      <c r="G38" s="19"/>
      <c r="H38" s="19"/>
      <c r="I38" s="19"/>
      <c r="J38" s="19"/>
      <c r="K38" s="19"/>
      <c r="L38" s="20">
        <f>IFERROR(-VLOOKUP(D38,'30.06.2024 Ana Hs.Mizanı S'!A:G,7,0),)+IFERROR(-VLOOKUP(E38,'30.06.2024 Ana Hs.Mizanı S'!A:G,7,0),0)+IFERROR(-VLOOKUP(F38,'30.06.2024 Ana Hs.Mizanı S'!A:G,7,0),0)+IFERROR(-VLOOKUP(G38,'30.06.2024 Ana Hs.Mizanı S'!A:G,7,0),0)+IFERROR(-VLOOKUP(H38,'30.06.2024 Ana Hs.Mizanı S'!A:G,7,0),0)+IFERROR(-VLOOKUP(I38,'30.06.2024 Ana Hs.Mizanı S'!A:G,7,0),0)+IFERROR(-VLOOKUP(J38,'30.06.2024 Ana Hs.Mizanı S'!A:G,7,0),0)</f>
        <v>1851851.84</v>
      </c>
      <c r="M38" s="20"/>
      <c r="N38" s="20"/>
    </row>
    <row r="39" spans="1:17" x14ac:dyDescent="0.25">
      <c r="L39" s="20"/>
      <c r="M39" s="20"/>
    </row>
    <row r="40" spans="1:17" s="14" customFormat="1" x14ac:dyDescent="0.25">
      <c r="A40" s="12" t="s">
        <v>145</v>
      </c>
      <c r="B40" s="12"/>
      <c r="C40" s="14" t="s">
        <v>146</v>
      </c>
      <c r="D40" s="23"/>
      <c r="E40" s="23"/>
      <c r="F40" s="23"/>
      <c r="G40" s="23"/>
      <c r="H40" s="23"/>
      <c r="I40" s="23"/>
      <c r="J40" s="23"/>
      <c r="K40" s="23"/>
      <c r="L40" s="16">
        <f>SUM(L41:L46)</f>
        <v>-73039309.969999999</v>
      </c>
      <c r="M40" s="17"/>
      <c r="N40" s="17"/>
    </row>
    <row r="41" spans="1:17" s="18" customFormat="1" ht="15.6" x14ac:dyDescent="0.3">
      <c r="A41" s="13"/>
      <c r="B41" s="13" t="s">
        <v>10</v>
      </c>
      <c r="C41" s="18" t="s">
        <v>147</v>
      </c>
      <c r="D41" s="19" t="s">
        <v>234</v>
      </c>
      <c r="E41" s="19"/>
      <c r="F41" s="19"/>
      <c r="G41" s="19"/>
      <c r="H41" s="19"/>
      <c r="I41" s="19"/>
      <c r="J41" s="19"/>
      <c r="K41" s="19"/>
      <c r="L41" s="20">
        <f>IFERROR(-VLOOKUP(D41,'30.06.2024 Ana Hs.Mizanı S'!A:G,7,0),)+IFERROR(-VLOOKUP(E41,'30.06.2024 Ana Hs.Mizanı S'!A:G,7,0),0)+IFERROR(-VLOOKUP(F41,'30.06.2024 Ana Hs.Mizanı S'!A:G,7,0),0)+IFERROR(-VLOOKUP(G41,'30.06.2024 Ana Hs.Mizanı S'!A:G,7,0),0)+IFERROR(-VLOOKUP(H41,'30.06.2024 Ana Hs.Mizanı S'!A:G,7,0),0)+IFERROR(-VLOOKUP(I41,'30.06.2024 Ana Hs.Mizanı S'!A:G,7,0),0)+IFERROR(-VLOOKUP(J41,'30.06.2024 Ana Hs.Mizanı S'!A:G,7,0),0)</f>
        <v>0</v>
      </c>
      <c r="M41" s="20"/>
      <c r="N41" s="20"/>
    </row>
    <row r="42" spans="1:17" s="18" customFormat="1" ht="15.6" x14ac:dyDescent="0.3">
      <c r="A42" s="13"/>
      <c r="B42" s="13" t="s">
        <v>13</v>
      </c>
      <c r="C42" s="18" t="s">
        <v>148</v>
      </c>
      <c r="D42" s="19" t="s">
        <v>256</v>
      </c>
      <c r="E42" s="19"/>
      <c r="F42" s="19"/>
      <c r="G42" s="19"/>
      <c r="H42" s="19"/>
      <c r="I42" s="19"/>
      <c r="J42" s="19"/>
      <c r="K42" s="19"/>
      <c r="L42" s="20">
        <f>IFERROR(-VLOOKUP(D42,'30.06.2024 Ana Hs.Mizanı S'!A:G,7,0),)+IFERROR(-VLOOKUP(E42,'30.06.2024 Ana Hs.Mizanı S'!A:G,7,0),0)+IFERROR(-VLOOKUP(F42,'30.06.2024 Ana Hs.Mizanı S'!A:G,7,0),0)+IFERROR(-VLOOKUP(G42,'30.06.2024 Ana Hs.Mizanı S'!A:G,7,0),0)+IFERROR(-VLOOKUP(H42,'30.06.2024 Ana Hs.Mizanı S'!A:G,7,0),0)+IFERROR(-VLOOKUP(I42,'30.06.2024 Ana Hs.Mizanı S'!A:G,7,0),0)+IFERROR(-VLOOKUP(J42,'30.06.2024 Ana Hs.Mizanı S'!A:G,7,0),0)</f>
        <v>0</v>
      </c>
      <c r="M42" s="20"/>
      <c r="N42" s="20"/>
    </row>
    <row r="43" spans="1:17" s="18" customFormat="1" ht="15.6" x14ac:dyDescent="0.3">
      <c r="A43" s="13"/>
      <c r="B43" s="13" t="s">
        <v>16</v>
      </c>
      <c r="C43" s="18" t="s">
        <v>263</v>
      </c>
      <c r="D43" s="19" t="s">
        <v>235</v>
      </c>
      <c r="E43" s="19"/>
      <c r="F43" s="19"/>
      <c r="G43" s="19"/>
      <c r="H43" s="19"/>
      <c r="I43" s="19"/>
      <c r="J43" s="19"/>
      <c r="K43" s="19"/>
      <c r="L43" s="20">
        <f>IFERROR(-VLOOKUP(D43,'30.06.2024 Ana Hs.Mizanı S'!A:G,7,0),)+IFERROR(-VLOOKUP(E43,'30.06.2024 Ana Hs.Mizanı S'!A:G,7,0),0)+IFERROR(-VLOOKUP(F43,'30.06.2024 Ana Hs.Mizanı S'!A:G,7,0),0)+IFERROR(-VLOOKUP(G43,'30.06.2024 Ana Hs.Mizanı S'!A:G,7,0),0)+IFERROR(-VLOOKUP(H43,'30.06.2024 Ana Hs.Mizanı S'!A:G,7,0),0)+IFERROR(-VLOOKUP(I43,'30.06.2024 Ana Hs.Mizanı S'!A:G,7,0),0)+IFERROR(-VLOOKUP(J43,'30.06.2024 Ana Hs.Mizanı S'!A:G,7,0),0)</f>
        <v>0</v>
      </c>
      <c r="M43" s="20"/>
      <c r="N43" s="20"/>
    </row>
    <row r="44" spans="1:17" s="18" customFormat="1" ht="18" customHeight="1" x14ac:dyDescent="0.3">
      <c r="A44" s="13"/>
      <c r="B44" s="13" t="s">
        <v>19</v>
      </c>
      <c r="C44" s="18" t="s">
        <v>149</v>
      </c>
      <c r="D44" s="19" t="s">
        <v>236</v>
      </c>
      <c r="E44" s="19"/>
      <c r="F44" s="19"/>
      <c r="G44" s="19"/>
      <c r="H44" s="19"/>
      <c r="I44" s="19"/>
      <c r="J44" s="19"/>
      <c r="K44" s="19"/>
      <c r="L44" s="20">
        <f>IFERROR(-VLOOKUP(D44,'30.06.2024 Ana Hs.Mizanı S'!A:G,7,0),)+IFERROR(-VLOOKUP(E44,'30.06.2024 Ana Hs.Mizanı S'!A:G,7,0),0)+IFERROR(-VLOOKUP(F44,'30.06.2024 Ana Hs.Mizanı S'!A:G,7,0),0)+IFERROR(-VLOOKUP(G44,'30.06.2024 Ana Hs.Mizanı S'!A:G,7,0),0)+IFERROR(-VLOOKUP(H44,'30.06.2024 Ana Hs.Mizanı S'!A:G,7,0),0)+IFERROR(-VLOOKUP(I44,'30.06.2024 Ana Hs.Mizanı S'!A:G,7,0),0)+IFERROR(-VLOOKUP(J44,'30.06.2024 Ana Hs.Mizanı S'!A:G,7,0),0)</f>
        <v>-4590248.1399999997</v>
      </c>
      <c r="M44" s="20"/>
      <c r="N44" s="20"/>
    </row>
    <row r="45" spans="1:17" s="18" customFormat="1" ht="15.6" x14ac:dyDescent="0.3">
      <c r="A45" s="13"/>
      <c r="B45" s="13" t="s">
        <v>22</v>
      </c>
      <c r="C45" s="18" t="s">
        <v>150</v>
      </c>
      <c r="D45" s="19"/>
      <c r="E45" s="19" t="s">
        <v>392</v>
      </c>
      <c r="F45" s="19"/>
      <c r="G45" s="19"/>
      <c r="H45" s="19"/>
      <c r="I45" s="19"/>
      <c r="J45" s="19"/>
      <c r="K45" s="19"/>
      <c r="L45" s="20">
        <f>IFERROR(-VLOOKUP(D45,'30.06.2024 Ana Hs.Mizanı S'!A:G,7,0),)+IFERROR(-VLOOKUP(E45,'30.06.2024 Ana Hs.Mizanı S'!A:G,7,0),0)+IFERROR(-VLOOKUP(F45,'30.06.2024 Ana Hs.Mizanı S'!A:G,7,0),0)+IFERROR(-VLOOKUP(G45,'30.06.2024 Ana Hs.Mizanı S'!A:G,7,0),0)+IFERROR(-VLOOKUP(H45,'30.06.2024 Ana Hs.Mizanı S'!A:G,7,0),0)+IFERROR(-VLOOKUP(I45,'30.06.2024 Ana Hs.Mizanı S'!A:G,7,0),0)+IFERROR(-VLOOKUP(J45,'30.06.2024 Ana Hs.Mizanı S'!A:G,7,0),0)</f>
        <v>0</v>
      </c>
      <c r="M45" s="20"/>
      <c r="N45" s="20"/>
      <c r="Q45" s="65"/>
    </row>
    <row r="46" spans="1:17" x14ac:dyDescent="0.25">
      <c r="B46" s="13" t="s">
        <v>33</v>
      </c>
      <c r="C46" s="18" t="s">
        <v>3793</v>
      </c>
      <c r="D46" s="100" t="s">
        <v>257</v>
      </c>
      <c r="L46" s="20">
        <f>-IFERROR(VLOOKUP(D46,'30.06.2024 Ana Hs.Mizanı S'!A:G,7,0),0)</f>
        <v>-68449061.829999998</v>
      </c>
      <c r="M46" s="20"/>
    </row>
    <row r="47" spans="1:17" s="14" customFormat="1" x14ac:dyDescent="0.25">
      <c r="A47" s="12" t="s">
        <v>151</v>
      </c>
      <c r="B47" s="12"/>
      <c r="C47" s="14" t="s">
        <v>152</v>
      </c>
      <c r="D47" s="23"/>
      <c r="E47" s="23"/>
      <c r="F47" s="23"/>
      <c r="G47" s="23"/>
      <c r="H47" s="23"/>
      <c r="I47" s="23"/>
      <c r="J47" s="23"/>
      <c r="K47" s="23"/>
      <c r="L47" s="16">
        <f>SUM(L48:L50)</f>
        <v>-88304385.969999999</v>
      </c>
      <c r="M47" s="17"/>
      <c r="N47" s="17"/>
    </row>
    <row r="48" spans="1:17" s="14" customFormat="1" ht="15.6" x14ac:dyDescent="0.3">
      <c r="A48" s="12"/>
      <c r="B48" s="13" t="s">
        <v>10</v>
      </c>
      <c r="C48" s="18" t="s">
        <v>153</v>
      </c>
      <c r="D48" s="19" t="s">
        <v>251</v>
      </c>
      <c r="E48" s="19" t="s">
        <v>237</v>
      </c>
      <c r="F48" s="19"/>
      <c r="G48" s="19"/>
      <c r="H48" s="19"/>
      <c r="I48" s="19"/>
      <c r="J48" s="19"/>
      <c r="K48" s="19"/>
      <c r="L48" s="20">
        <f>IFERROR(-VLOOKUP(D48,'30.06.2024 Ana Hs.Mizanı S'!A:G,7,0),)+IFERROR(-VLOOKUP(E48,'30.06.2024 Ana Hs.Mizanı S'!A:G,7,0),0)+IFERROR(-VLOOKUP(F48,'30.06.2024 Ana Hs.Mizanı S'!A:G,7,0),0)+IFERROR(-VLOOKUP(G48,'30.06.2024 Ana Hs.Mizanı S'!A:G,7,0),0)+IFERROR(-VLOOKUP(H48,'30.06.2024 Ana Hs.Mizanı S'!A:G,7,0),0)+IFERROR(-VLOOKUP(I48,'30.06.2024 Ana Hs.Mizanı S'!A:G,7,0),0)+IFERROR(-VLOOKUP(J48,'30.06.2024 Ana Hs.Mizanı S'!A:G,7,0),0)</f>
        <v>-88304385.969999999</v>
      </c>
      <c r="M48" s="20"/>
      <c r="N48" s="20"/>
    </row>
    <row r="49" spans="1:27" s="18" customFormat="1" ht="15.6" x14ac:dyDescent="0.3">
      <c r="A49" s="13"/>
      <c r="B49" s="13" t="s">
        <v>13</v>
      </c>
      <c r="C49" s="18" t="s">
        <v>154</v>
      </c>
      <c r="D49" s="19" t="s">
        <v>260</v>
      </c>
      <c r="L49" s="20">
        <f>IFERROR(-VLOOKUP(D49,'30.06.2024 Ana Hs.Mizanı S'!A:G,7,0),)+IFERROR(-VLOOKUP(E49,'30.06.2024 Ana Hs.Mizanı S'!A:G,7,0),0)+IFERROR(-VLOOKUP(F49,'30.06.2024 Ana Hs.Mizanı S'!A:G,7,0),0)+IFERROR(-VLOOKUP(G49,'30.06.2024 Ana Hs.Mizanı S'!A:G,7,0),0)+IFERROR(-VLOOKUP(H49,'30.06.2024 Ana Hs.Mizanı S'!A:G,7,0),0)+IFERROR(-VLOOKUP(I49,'30.06.2024 Ana Hs.Mizanı S'!A:G,7,0),0)+IFERROR(-VLOOKUP(J49,'30.06.2024 Ana Hs.Mizanı S'!A:G,7,0),0)</f>
        <v>0</v>
      </c>
      <c r="M49" s="20"/>
      <c r="N49" s="20"/>
      <c r="O49" s="29"/>
    </row>
    <row r="50" spans="1:27" x14ac:dyDescent="0.25">
      <c r="L50" s="20"/>
      <c r="M50" s="20"/>
    </row>
    <row r="51" spans="1:27" x14ac:dyDescent="0.25">
      <c r="C51" s="2" t="s">
        <v>155</v>
      </c>
      <c r="D51" s="28"/>
      <c r="E51" s="28"/>
      <c r="F51" s="28"/>
      <c r="G51" s="28"/>
      <c r="H51" s="28"/>
      <c r="I51" s="28"/>
      <c r="J51" s="28"/>
      <c r="K51" s="28"/>
      <c r="L51" s="16">
        <f>+L47+L40+L33+L31</f>
        <v>436375141.68999982</v>
      </c>
      <c r="M51" s="16"/>
      <c r="N51" s="16"/>
      <c r="O51" s="20"/>
    </row>
    <row r="52" spans="1:27" x14ac:dyDescent="0.25">
      <c r="L52" s="20"/>
      <c r="M52" s="20"/>
      <c r="Q52" s="64"/>
    </row>
    <row r="53" spans="1:27" s="14" customFormat="1" x14ac:dyDescent="0.25">
      <c r="A53" s="12" t="s">
        <v>3</v>
      </c>
      <c r="B53" s="12"/>
      <c r="C53" s="14" t="s">
        <v>156</v>
      </c>
      <c r="D53" s="23"/>
      <c r="E53" s="23"/>
      <c r="F53" s="23"/>
      <c r="G53" s="23"/>
      <c r="H53" s="23"/>
      <c r="I53" s="23"/>
      <c r="J53" s="23"/>
      <c r="K53" s="23"/>
      <c r="L53" s="16">
        <f>SUM(L54:L56)</f>
        <v>23629516.73</v>
      </c>
      <c r="M53" s="17"/>
      <c r="N53" s="17"/>
    </row>
    <row r="54" spans="1:27" s="18" customFormat="1" ht="15.6" x14ac:dyDescent="0.3">
      <c r="A54" s="13"/>
      <c r="B54" s="13" t="s">
        <v>10</v>
      </c>
      <c r="C54" s="18" t="s">
        <v>157</v>
      </c>
      <c r="D54" s="19" t="s">
        <v>258</v>
      </c>
      <c r="E54" s="19"/>
      <c r="F54" s="19"/>
      <c r="G54" s="19"/>
      <c r="H54" s="19"/>
      <c r="I54" s="19"/>
      <c r="J54" s="19"/>
      <c r="K54" s="19"/>
      <c r="L54" s="20">
        <f>IFERROR(-VLOOKUP(D54,'30.06.2024 Ana Hs.Mizanı S'!A:G,7,0),)+IFERROR(-VLOOKUP(E54,'30.06.2024 Ana Hs.Mizanı S'!A:G,7,0),0)+IFERROR(-VLOOKUP(F54,'30.06.2024 Ana Hs.Mizanı S'!A:G,7,0),0)+IFERROR(-VLOOKUP(G54,'30.06.2024 Ana Hs.Mizanı S'!A:G,7,0),0)+IFERROR(-VLOOKUP(H54,'30.06.2024 Ana Hs.Mizanı S'!A:G,7,0),0)+IFERROR(-VLOOKUP(I54,'30.06.2024 Ana Hs.Mizanı S'!A:G,7,0),0)+IFERROR(-VLOOKUP(J54,'30.06.2024 Ana Hs.Mizanı S'!A:G,7,0),0)</f>
        <v>0</v>
      </c>
      <c r="M54" s="20"/>
      <c r="N54" s="20"/>
    </row>
    <row r="55" spans="1:27" s="18" customFormat="1" ht="15.6" x14ac:dyDescent="0.3">
      <c r="A55" s="13"/>
      <c r="B55" s="13" t="s">
        <v>13</v>
      </c>
      <c r="C55" s="18" t="s">
        <v>158</v>
      </c>
      <c r="D55" s="19" t="s">
        <v>238</v>
      </c>
      <c r="E55" s="19"/>
      <c r="F55" s="19"/>
      <c r="G55" s="19"/>
      <c r="H55" s="19"/>
      <c r="I55" s="19"/>
      <c r="J55" s="19"/>
      <c r="K55" s="19"/>
      <c r="L55" s="20">
        <f>IFERROR(-VLOOKUP(D55,'30.06.2024 Ana Hs.Mizanı S'!A:G,7,0),)+IFERROR(-VLOOKUP(E55,'30.06.2024 Ana Hs.Mizanı S'!A:G,7,0),0)+IFERROR(-VLOOKUP(F55,'30.06.2024 Ana Hs.Mizanı S'!A:G,7,0),0)+IFERROR(-VLOOKUP(G55,'30.06.2024 Ana Hs.Mizanı S'!A:G,7,0),0)+IFERROR(-VLOOKUP(H55,'30.06.2024 Ana Hs.Mizanı S'!A:G,7,0),0)+IFERROR(-VLOOKUP(I55,'30.06.2024 Ana Hs.Mizanı S'!A:G,7,0),0)+IFERROR(-VLOOKUP(J55,'30.06.2024 Ana Hs.Mizanı S'!A:G,7,0),0)</f>
        <v>23629516.73</v>
      </c>
      <c r="M55" s="20"/>
      <c r="N55" s="20"/>
      <c r="P55" s="33"/>
    </row>
    <row r="56" spans="1:27" x14ac:dyDescent="0.25">
      <c r="L56" s="20"/>
      <c r="M56" s="20"/>
    </row>
    <row r="57" spans="1:27" s="14" customFormat="1" x14ac:dyDescent="0.25">
      <c r="A57" s="12" t="s">
        <v>159</v>
      </c>
      <c r="B57" s="12"/>
      <c r="C57" s="14" t="s">
        <v>160</v>
      </c>
      <c r="D57" s="23"/>
      <c r="E57" s="23"/>
      <c r="F57" s="23"/>
      <c r="G57" s="23"/>
      <c r="H57" s="23"/>
      <c r="I57" s="23"/>
      <c r="J57" s="23"/>
      <c r="K57" s="23"/>
      <c r="L57" s="16">
        <f>SUM(L58:L61)</f>
        <v>-24308238.43</v>
      </c>
      <c r="M57" s="17"/>
      <c r="N57" s="17"/>
      <c r="P57" s="1"/>
    </row>
    <row r="58" spans="1:27" s="14" customFormat="1" ht="15.6" x14ac:dyDescent="0.3">
      <c r="A58" s="12"/>
      <c r="B58" s="13" t="s">
        <v>10</v>
      </c>
      <c r="C58" s="18" t="s">
        <v>402</v>
      </c>
      <c r="D58" s="89" t="s">
        <v>393</v>
      </c>
      <c r="E58" s="23"/>
      <c r="F58" s="23"/>
      <c r="G58" s="23"/>
      <c r="H58" s="23"/>
      <c r="I58" s="23"/>
      <c r="J58" s="23"/>
      <c r="K58" s="23"/>
      <c r="L58" s="20">
        <f>IFERROR(-VLOOKUP(D58,'30.06.2024 Ana Hs.Mizanı S'!A:G,7,0),0)</f>
        <v>-106781.06</v>
      </c>
      <c r="M58" s="17"/>
      <c r="N58" s="17"/>
      <c r="P58" s="66"/>
    </row>
    <row r="59" spans="1:27" s="14" customFormat="1" ht="15.6" x14ac:dyDescent="0.3">
      <c r="A59" s="12"/>
      <c r="B59" s="13" t="s">
        <v>13</v>
      </c>
      <c r="C59" s="18" t="s">
        <v>161</v>
      </c>
      <c r="D59" s="19" t="s">
        <v>239</v>
      </c>
      <c r="E59" s="19"/>
      <c r="F59" s="19"/>
      <c r="G59" s="19"/>
      <c r="H59" s="19"/>
      <c r="I59" s="19"/>
      <c r="J59" s="19"/>
      <c r="K59" s="19"/>
      <c r="L59" s="20">
        <f>IFERROR(-VLOOKUP(D59,'30.06.2024 Ana Hs.Mizanı S'!A:G,7,0),)+IFERROR(-VLOOKUP(E59,'30.06.2024 Ana Hs.Mizanı S'!A:G,7,0),0)+IFERROR(-VLOOKUP(F59,'30.06.2024 Ana Hs.Mizanı S'!A:G,7,0),0)+IFERROR(-VLOOKUP(G59,'30.06.2024 Ana Hs.Mizanı S'!A:G,7,0),0)+IFERROR(-VLOOKUP(H59,'30.06.2024 Ana Hs.Mizanı S'!A:G,7,0),0)+IFERROR(-VLOOKUP(I59,'30.06.2024 Ana Hs.Mizanı S'!A:G,7,0),0)+IFERROR(-VLOOKUP(J59,'30.06.2024 Ana Hs.Mizanı S'!A:G,7,0),0)</f>
        <v>0</v>
      </c>
      <c r="M59" s="20"/>
      <c r="N59" s="20"/>
    </row>
    <row r="60" spans="1:27" s="18" customFormat="1" ht="15.6" x14ac:dyDescent="0.3">
      <c r="A60" s="13"/>
      <c r="B60" s="13" t="s">
        <v>16</v>
      </c>
      <c r="C60" s="18" t="s">
        <v>162</v>
      </c>
      <c r="D60" s="19" t="s">
        <v>240</v>
      </c>
      <c r="E60" s="19"/>
      <c r="F60" s="19"/>
      <c r="G60" s="19"/>
      <c r="H60" s="19"/>
      <c r="I60" s="19"/>
      <c r="J60" s="19"/>
      <c r="K60" s="19"/>
      <c r="L60" s="20">
        <f>IFERROR(-VLOOKUP(D60,'30.06.2024 Ana Hs.Mizanı S'!A:G,7,0),)+IFERROR(-VLOOKUP(E60,'30.06.2024 Ana Hs.Mizanı S'!A:G,7,0),0)+IFERROR(-VLOOKUP(F60,'30.06.2024 Ana Hs.Mizanı S'!A:G,7,0),0)+IFERROR(-VLOOKUP(G60,'30.06.2024 Ana Hs.Mizanı S'!A:G,7,0),0)+IFERROR(-VLOOKUP(H60,'30.06.2024 Ana Hs.Mizanı S'!A:G,7,0),0)+IFERROR(-VLOOKUP(I60,'30.06.2024 Ana Hs.Mizanı S'!A:G,7,0),0)+IFERROR(-VLOOKUP(J60,'30.06.2024 Ana Hs.Mizanı S'!A:G,7,0),0)</f>
        <v>-24201457.370000001</v>
      </c>
      <c r="M60" s="20"/>
      <c r="N60" s="20"/>
      <c r="T60" s="65"/>
    </row>
    <row r="61" spans="1:27" x14ac:dyDescent="0.25">
      <c r="L61" s="20"/>
      <c r="M61" s="20"/>
      <c r="T61" s="64"/>
    </row>
    <row r="62" spans="1:27" x14ac:dyDescent="0.25">
      <c r="C62" s="2" t="s">
        <v>163</v>
      </c>
      <c r="D62" s="28"/>
      <c r="E62" s="28"/>
      <c r="F62" s="28"/>
      <c r="G62" s="28"/>
      <c r="H62" s="28"/>
      <c r="I62" s="28"/>
      <c r="J62" s="28"/>
      <c r="K62" s="28"/>
      <c r="L62" s="16">
        <f>+L57+L53+L51</f>
        <v>435696419.98999983</v>
      </c>
      <c r="M62" s="16"/>
      <c r="N62" s="16"/>
      <c r="X62" s="30"/>
      <c r="AA62" s="64"/>
    </row>
    <row r="63" spans="1:27" x14ac:dyDescent="0.25">
      <c r="L63" s="20"/>
      <c r="M63" s="20"/>
      <c r="O63" s="20"/>
    </row>
    <row r="64" spans="1:27" x14ac:dyDescent="0.25">
      <c r="C64" s="2" t="s">
        <v>164</v>
      </c>
      <c r="D64" s="28"/>
      <c r="E64" s="28"/>
      <c r="F64" s="28"/>
      <c r="G64" s="28"/>
      <c r="H64" s="28"/>
      <c r="I64" s="28"/>
      <c r="J64" s="28"/>
      <c r="K64" s="28"/>
      <c r="L64" s="16">
        <f>+L62</f>
        <v>435696419.98999983</v>
      </c>
      <c r="M64" s="16"/>
      <c r="N64" s="16"/>
      <c r="X64" s="64"/>
      <c r="AA64" s="64"/>
    </row>
    <row r="65" spans="3:27" x14ac:dyDescent="0.25">
      <c r="C65" s="31"/>
      <c r="L65" s="30"/>
      <c r="R65" s="64"/>
    </row>
    <row r="66" spans="3:27" x14ac:dyDescent="0.25">
      <c r="L66" s="75"/>
    </row>
    <row r="67" spans="3:27" ht="15.6" x14ac:dyDescent="0.3">
      <c r="C67" s="31"/>
      <c r="L67" s="94"/>
      <c r="AA67" s="64"/>
    </row>
    <row r="68" spans="3:27" ht="17.399999999999999" x14ac:dyDescent="0.3">
      <c r="C68" s="31"/>
      <c r="J68" s="93"/>
      <c r="L68" s="76"/>
    </row>
    <row r="69" spans="3:27" x14ac:dyDescent="0.25">
      <c r="L69" s="75"/>
    </row>
    <row r="70" spans="3:27" x14ac:dyDescent="0.25">
      <c r="L70" s="75"/>
    </row>
    <row r="71" spans="3:27" x14ac:dyDescent="0.25">
      <c r="L71" s="75"/>
    </row>
    <row r="72" spans="3:27" x14ac:dyDescent="0.25">
      <c r="L72" s="75"/>
    </row>
    <row r="73" spans="3:27" x14ac:dyDescent="0.25">
      <c r="L73" s="75"/>
    </row>
    <row r="74" spans="3:27" x14ac:dyDescent="0.25">
      <c r="L74" s="75"/>
    </row>
    <row r="75" spans="3:27" x14ac:dyDescent="0.25">
      <c r="L75" s="75"/>
    </row>
    <row r="76" spans="3:27" x14ac:dyDescent="0.25">
      <c r="L76" s="75"/>
    </row>
    <row r="77" spans="3:27" x14ac:dyDescent="0.25">
      <c r="L77" s="75"/>
    </row>
  </sheetData>
  <mergeCells count="2">
    <mergeCell ref="A3:N3"/>
    <mergeCell ref="A4:N4"/>
  </mergeCells>
  <printOptions horizontalCentered="1" verticalCentered="1"/>
  <pageMargins left="0.25" right="0.25" top="0.75" bottom="0.75" header="0.3" footer="0.3"/>
  <pageSetup paperSize="9" scale="88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786B-F037-4AC2-BC69-CD62C52DBA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1"/>
  <sheetViews>
    <sheetView topLeftCell="A58" workbookViewId="0">
      <selection activeCell="G72" sqref="G72:G74"/>
    </sheetView>
  </sheetViews>
  <sheetFormatPr defaultColWidth="8.77734375" defaultRowHeight="15" customHeight="1" x14ac:dyDescent="0.25"/>
  <cols>
    <col min="1" max="1" width="9.5546875" style="67" bestFit="1" customWidth="1"/>
    <col min="2" max="2" width="44.77734375" style="67" bestFit="1" customWidth="1"/>
    <col min="3" max="4" width="14.6640625" style="67" bestFit="1" customWidth="1"/>
    <col min="5" max="5" width="12.21875" style="67" bestFit="1" customWidth="1"/>
    <col min="6" max="6" width="13.77734375" style="67" bestFit="1" customWidth="1"/>
    <col min="7" max="7" width="16.33203125" style="63" bestFit="1" customWidth="1"/>
    <col min="8" max="8" width="8.77734375" style="67"/>
    <col min="9" max="9" width="13.109375" style="67" bestFit="1" customWidth="1"/>
    <col min="10" max="16384" width="8.77734375" style="67"/>
  </cols>
  <sheetData>
    <row r="1" spans="1:7" ht="15" customHeight="1" x14ac:dyDescent="0.25">
      <c r="A1" s="72" t="s">
        <v>405</v>
      </c>
      <c r="B1" s="72" t="s">
        <v>406</v>
      </c>
      <c r="C1" s="77" t="s">
        <v>407</v>
      </c>
      <c r="D1" s="77" t="s">
        <v>408</v>
      </c>
      <c r="E1" s="77" t="s">
        <v>409</v>
      </c>
      <c r="F1" s="77" t="s">
        <v>410</v>
      </c>
      <c r="G1" s="77" t="s">
        <v>411</v>
      </c>
    </row>
    <row r="2" spans="1:7" ht="15" customHeight="1" x14ac:dyDescent="0.25">
      <c r="A2" s="92" t="s">
        <v>169</v>
      </c>
      <c r="B2" s="92" t="s">
        <v>305</v>
      </c>
      <c r="C2" s="95">
        <v>73628799.129999995</v>
      </c>
      <c r="D2" s="95">
        <v>73136382.129999995</v>
      </c>
      <c r="E2" s="95">
        <v>492417</v>
      </c>
      <c r="F2" s="95">
        <v>0</v>
      </c>
      <c r="G2" s="95">
        <v>492417</v>
      </c>
    </row>
    <row r="3" spans="1:7" ht="15" customHeight="1" x14ac:dyDescent="0.25">
      <c r="A3" s="92" t="s">
        <v>170</v>
      </c>
      <c r="B3" s="92" t="s">
        <v>381</v>
      </c>
      <c r="C3" s="95">
        <v>722333710.89999998</v>
      </c>
      <c r="D3" s="95">
        <v>621148823.74000001</v>
      </c>
      <c r="E3" s="95">
        <v>101184887.16</v>
      </c>
      <c r="F3" s="95">
        <v>0</v>
      </c>
      <c r="G3" s="95">
        <v>101184887.16</v>
      </c>
    </row>
    <row r="4" spans="1:7" ht="15" customHeight="1" x14ac:dyDescent="0.25">
      <c r="A4" s="92" t="s">
        <v>171</v>
      </c>
      <c r="B4" s="92" t="s">
        <v>306</v>
      </c>
      <c r="C4" s="95">
        <v>16800293193.77</v>
      </c>
      <c r="D4" s="95">
        <v>16430045047.620001</v>
      </c>
      <c r="E4" s="95">
        <v>370248146.14999998</v>
      </c>
      <c r="F4" s="95">
        <v>0</v>
      </c>
      <c r="G4" s="95">
        <v>370248146.14999998</v>
      </c>
    </row>
    <row r="5" spans="1:7" ht="15" customHeight="1" x14ac:dyDescent="0.25">
      <c r="A5" s="92" t="s">
        <v>172</v>
      </c>
      <c r="B5" s="92" t="s">
        <v>425</v>
      </c>
      <c r="C5" s="95">
        <v>517356511.82999998</v>
      </c>
      <c r="D5" s="95">
        <v>517356511.82999998</v>
      </c>
      <c r="E5" s="95">
        <v>0</v>
      </c>
      <c r="F5" s="95">
        <v>0</v>
      </c>
      <c r="G5" s="95">
        <v>0</v>
      </c>
    </row>
    <row r="6" spans="1:7" ht="15" customHeight="1" x14ac:dyDescent="0.25">
      <c r="A6" s="92" t="s">
        <v>173</v>
      </c>
      <c r="B6" s="92" t="s">
        <v>307</v>
      </c>
      <c r="C6" s="95">
        <v>933242882.08000004</v>
      </c>
      <c r="D6" s="95">
        <v>929744832.91999996</v>
      </c>
      <c r="E6" s="95">
        <v>3498049.16</v>
      </c>
      <c r="F6" s="95">
        <v>0</v>
      </c>
      <c r="G6" s="95">
        <v>3498049.16</v>
      </c>
    </row>
    <row r="7" spans="1:7" ht="15" customHeight="1" x14ac:dyDescent="0.25">
      <c r="A7" s="92" t="s">
        <v>419</v>
      </c>
      <c r="B7" s="92" t="s">
        <v>420</v>
      </c>
      <c r="C7" s="95">
        <v>141069886.33000001</v>
      </c>
      <c r="D7" s="95">
        <v>69819277.620000005</v>
      </c>
      <c r="E7" s="95">
        <v>71250608.709999993</v>
      </c>
      <c r="F7" s="95">
        <v>0</v>
      </c>
      <c r="G7" s="95">
        <v>71250608.709999993</v>
      </c>
    </row>
    <row r="8" spans="1:7" ht="15" customHeight="1" x14ac:dyDescent="0.25">
      <c r="A8" s="92" t="s">
        <v>430</v>
      </c>
      <c r="B8" s="92" t="s">
        <v>431</v>
      </c>
      <c r="C8" s="95">
        <v>337917357.75999999</v>
      </c>
      <c r="D8" s="95">
        <v>279834968.31999999</v>
      </c>
      <c r="E8" s="95">
        <v>58082389.439999998</v>
      </c>
      <c r="F8" s="95">
        <v>0</v>
      </c>
      <c r="G8" s="95">
        <v>58082389.439999998</v>
      </c>
    </row>
    <row r="9" spans="1:7" ht="15" customHeight="1" x14ac:dyDescent="0.25">
      <c r="A9" s="92" t="s">
        <v>174</v>
      </c>
      <c r="B9" s="92" t="s">
        <v>308</v>
      </c>
      <c r="C9" s="95">
        <v>3978510599.9499998</v>
      </c>
      <c r="D9" s="95">
        <v>3671007758.3400002</v>
      </c>
      <c r="E9" s="95">
        <v>307502841.61000001</v>
      </c>
      <c r="F9" s="95">
        <v>0</v>
      </c>
      <c r="G9" s="95">
        <v>307502841.61000001</v>
      </c>
    </row>
    <row r="10" spans="1:7" ht="15" customHeight="1" x14ac:dyDescent="0.25">
      <c r="A10" s="92" t="s">
        <v>176</v>
      </c>
      <c r="B10" s="92" t="s">
        <v>309</v>
      </c>
      <c r="C10" s="95">
        <v>123546759.73999999</v>
      </c>
      <c r="D10" s="95">
        <v>85011031.629999995</v>
      </c>
      <c r="E10" s="95">
        <v>38535728.109999999</v>
      </c>
      <c r="F10" s="95">
        <v>0</v>
      </c>
      <c r="G10" s="95">
        <v>38535728.109999999</v>
      </c>
    </row>
    <row r="11" spans="1:7" ht="15" customHeight="1" x14ac:dyDescent="0.25">
      <c r="A11" s="92" t="s">
        <v>177</v>
      </c>
      <c r="B11" s="92" t="s">
        <v>435</v>
      </c>
      <c r="C11" s="95">
        <v>3578938.16</v>
      </c>
      <c r="D11" s="95">
        <v>0</v>
      </c>
      <c r="E11" s="95">
        <v>3578938.16</v>
      </c>
      <c r="F11" s="95">
        <v>0</v>
      </c>
      <c r="G11" s="95">
        <v>3578938.16</v>
      </c>
    </row>
    <row r="12" spans="1:7" ht="15" customHeight="1" x14ac:dyDescent="0.25">
      <c r="A12" s="92" t="s">
        <v>178</v>
      </c>
      <c r="B12" s="92" t="s">
        <v>310</v>
      </c>
      <c r="C12" s="95">
        <v>28183628.600000001</v>
      </c>
      <c r="D12" s="95">
        <v>18112974.359999999</v>
      </c>
      <c r="E12" s="95">
        <v>10070654.24</v>
      </c>
      <c r="F12" s="95">
        <v>0</v>
      </c>
      <c r="G12" s="95">
        <v>10070654.24</v>
      </c>
    </row>
    <row r="13" spans="1:7" ht="15" customHeight="1" x14ac:dyDescent="0.25">
      <c r="A13" s="92" t="s">
        <v>179</v>
      </c>
      <c r="B13" s="92" t="s">
        <v>311</v>
      </c>
      <c r="C13" s="95">
        <v>305326563.44999999</v>
      </c>
      <c r="D13" s="95">
        <v>300063399.5</v>
      </c>
      <c r="E13" s="95">
        <v>5263163.95</v>
      </c>
      <c r="F13" s="95">
        <v>0</v>
      </c>
      <c r="G13" s="95">
        <v>5263163.95</v>
      </c>
    </row>
    <row r="14" spans="1:7" ht="15" customHeight="1" x14ac:dyDescent="0.25">
      <c r="A14" s="92" t="s">
        <v>266</v>
      </c>
      <c r="B14" s="92" t="s">
        <v>387</v>
      </c>
      <c r="C14" s="95">
        <v>143839.03</v>
      </c>
      <c r="D14" s="95">
        <v>0</v>
      </c>
      <c r="E14" s="95">
        <v>143839.03</v>
      </c>
      <c r="F14" s="95">
        <v>0</v>
      </c>
      <c r="G14" s="95">
        <v>143839.03</v>
      </c>
    </row>
    <row r="15" spans="1:7" ht="15" customHeight="1" x14ac:dyDescent="0.25">
      <c r="A15" s="92" t="s">
        <v>267</v>
      </c>
      <c r="B15" s="92" t="s">
        <v>388</v>
      </c>
      <c r="C15" s="95">
        <v>0</v>
      </c>
      <c r="D15" s="95">
        <v>96840.41</v>
      </c>
      <c r="E15" s="95">
        <v>0</v>
      </c>
      <c r="F15" s="95">
        <v>96840.41</v>
      </c>
      <c r="G15" s="95">
        <v>-96840.41</v>
      </c>
    </row>
    <row r="16" spans="1:7" ht="15" customHeight="1" x14ac:dyDescent="0.25">
      <c r="A16" s="92" t="s">
        <v>180</v>
      </c>
      <c r="B16" s="92" t="s">
        <v>312</v>
      </c>
      <c r="C16" s="95">
        <v>1112158295.23</v>
      </c>
      <c r="D16" s="95">
        <v>1082863521.53</v>
      </c>
      <c r="E16" s="95">
        <v>29294773.699999999</v>
      </c>
      <c r="F16" s="95">
        <v>0</v>
      </c>
      <c r="G16" s="95">
        <v>29294773.699999999</v>
      </c>
    </row>
    <row r="17" spans="1:7" ht="15" customHeight="1" x14ac:dyDescent="0.25">
      <c r="A17" s="92" t="s">
        <v>181</v>
      </c>
      <c r="B17" s="92" t="s">
        <v>313</v>
      </c>
      <c r="C17" s="95">
        <v>925042270.92999995</v>
      </c>
      <c r="D17" s="95">
        <v>874798885.95000005</v>
      </c>
      <c r="E17" s="95">
        <v>50243384.979999997</v>
      </c>
      <c r="F17" s="95">
        <v>0</v>
      </c>
      <c r="G17" s="95">
        <v>50243384.979999997</v>
      </c>
    </row>
    <row r="18" spans="1:7" ht="15" customHeight="1" x14ac:dyDescent="0.25">
      <c r="A18" s="92" t="s">
        <v>182</v>
      </c>
      <c r="B18" s="92" t="s">
        <v>382</v>
      </c>
      <c r="C18" s="95">
        <v>156938176.71000001</v>
      </c>
      <c r="D18" s="95">
        <v>156938176.71000001</v>
      </c>
      <c r="E18" s="95">
        <v>0</v>
      </c>
      <c r="F18" s="95">
        <v>0</v>
      </c>
      <c r="G18" s="95">
        <v>0</v>
      </c>
    </row>
    <row r="19" spans="1:7" ht="15" customHeight="1" x14ac:dyDescent="0.25">
      <c r="A19" s="92" t="s">
        <v>183</v>
      </c>
      <c r="B19" s="92" t="s">
        <v>314</v>
      </c>
      <c r="C19" s="95">
        <v>942223708.24000001</v>
      </c>
      <c r="D19" s="95">
        <v>813529424.63999999</v>
      </c>
      <c r="E19" s="95">
        <v>128694283.59999999</v>
      </c>
      <c r="F19" s="95">
        <v>0</v>
      </c>
      <c r="G19" s="95">
        <v>128694283.59999999</v>
      </c>
    </row>
    <row r="20" spans="1:7" ht="15" customHeight="1" x14ac:dyDescent="0.25">
      <c r="A20" s="92" t="s">
        <v>268</v>
      </c>
      <c r="B20" s="92" t="s">
        <v>315</v>
      </c>
      <c r="C20" s="95">
        <v>11144713.93</v>
      </c>
      <c r="D20" s="95">
        <v>11144713.93</v>
      </c>
      <c r="E20" s="95">
        <v>0</v>
      </c>
      <c r="F20" s="95">
        <v>0</v>
      </c>
      <c r="G20" s="95">
        <v>0</v>
      </c>
    </row>
    <row r="21" spans="1:7" ht="15" customHeight="1" x14ac:dyDescent="0.25">
      <c r="A21" s="92" t="s">
        <v>184</v>
      </c>
      <c r="B21" s="92" t="s">
        <v>316</v>
      </c>
      <c r="C21" s="95">
        <v>133919707.31999999</v>
      </c>
      <c r="D21" s="95">
        <v>124012772.09</v>
      </c>
      <c r="E21" s="95">
        <v>9906935.2300000004</v>
      </c>
      <c r="F21" s="95">
        <v>0</v>
      </c>
      <c r="G21" s="95">
        <v>9906935.2300000004</v>
      </c>
    </row>
    <row r="22" spans="1:7" ht="15" customHeight="1" x14ac:dyDescent="0.25">
      <c r="A22" s="92" t="s">
        <v>185</v>
      </c>
      <c r="B22" s="92" t="s">
        <v>317</v>
      </c>
      <c r="C22" s="95">
        <v>59527939.960000001</v>
      </c>
      <c r="D22" s="95">
        <v>17305257.600000001</v>
      </c>
      <c r="E22" s="95">
        <v>42222682.359999999</v>
      </c>
      <c r="F22" s="95">
        <v>0</v>
      </c>
      <c r="G22" s="95">
        <v>42222682.359999999</v>
      </c>
    </row>
    <row r="23" spans="1:7" ht="15" customHeight="1" x14ac:dyDescent="0.25">
      <c r="A23" s="92" t="s">
        <v>186</v>
      </c>
      <c r="B23" s="92" t="s">
        <v>318</v>
      </c>
      <c r="C23" s="95">
        <v>104729180.40000001</v>
      </c>
      <c r="D23" s="95">
        <v>102271966.48</v>
      </c>
      <c r="E23" s="95">
        <v>2457213.92</v>
      </c>
      <c r="F23" s="95">
        <v>0</v>
      </c>
      <c r="G23" s="95">
        <v>2457213.92</v>
      </c>
    </row>
    <row r="24" spans="1:7" ht="15" customHeight="1" x14ac:dyDescent="0.25">
      <c r="A24" s="92" t="s">
        <v>188</v>
      </c>
      <c r="B24" s="92" t="s">
        <v>383</v>
      </c>
      <c r="C24" s="95">
        <v>229001038.46000001</v>
      </c>
      <c r="D24" s="95">
        <v>229001038.46000001</v>
      </c>
      <c r="E24" s="95">
        <v>0</v>
      </c>
      <c r="F24" s="95">
        <v>0</v>
      </c>
      <c r="G24" s="95">
        <v>0</v>
      </c>
    </row>
    <row r="25" spans="1:7" ht="15" customHeight="1" x14ac:dyDescent="0.25">
      <c r="A25" s="92" t="s">
        <v>189</v>
      </c>
      <c r="B25" s="92" t="s">
        <v>319</v>
      </c>
      <c r="C25" s="95">
        <v>51854624.670000002</v>
      </c>
      <c r="D25" s="95">
        <v>1221.58</v>
      </c>
      <c r="E25" s="95">
        <v>51853403.090000004</v>
      </c>
      <c r="F25" s="95">
        <v>0</v>
      </c>
      <c r="G25" s="95">
        <v>51853403.090000004</v>
      </c>
    </row>
    <row r="26" spans="1:7" ht="15" customHeight="1" x14ac:dyDescent="0.25">
      <c r="A26" s="92" t="s">
        <v>190</v>
      </c>
      <c r="B26" s="92" t="s">
        <v>320</v>
      </c>
      <c r="C26" s="95">
        <v>12623451.09</v>
      </c>
      <c r="D26" s="95">
        <v>12254875.470000001</v>
      </c>
      <c r="E26" s="95">
        <v>368575.62</v>
      </c>
      <c r="F26" s="95">
        <v>0</v>
      </c>
      <c r="G26" s="95">
        <v>368575.62</v>
      </c>
    </row>
    <row r="27" spans="1:7" ht="15" customHeight="1" x14ac:dyDescent="0.25">
      <c r="A27" s="92" t="s">
        <v>384</v>
      </c>
      <c r="B27" s="92" t="s">
        <v>385</v>
      </c>
      <c r="C27" s="95">
        <v>53544177.579999998</v>
      </c>
      <c r="D27" s="95">
        <v>49268932.68</v>
      </c>
      <c r="E27" s="95">
        <v>4275244.9000000004</v>
      </c>
      <c r="F27" s="95">
        <v>0</v>
      </c>
      <c r="G27" s="95">
        <v>4275244.9000000004</v>
      </c>
    </row>
    <row r="28" spans="1:7" ht="15" customHeight="1" x14ac:dyDescent="0.25">
      <c r="A28" s="92" t="s">
        <v>271</v>
      </c>
      <c r="B28" s="92" t="s">
        <v>426</v>
      </c>
      <c r="C28" s="95">
        <v>4388005.3600000003</v>
      </c>
      <c r="D28" s="95">
        <v>4388005.3600000003</v>
      </c>
      <c r="E28" s="95">
        <v>0</v>
      </c>
      <c r="F28" s="95">
        <v>0</v>
      </c>
      <c r="G28" s="95">
        <v>0</v>
      </c>
    </row>
    <row r="29" spans="1:7" ht="15" customHeight="1" x14ac:dyDescent="0.25">
      <c r="A29" s="92" t="s">
        <v>272</v>
      </c>
      <c r="B29" s="92" t="s">
        <v>309</v>
      </c>
      <c r="C29" s="95">
        <v>6159055.9900000002</v>
      </c>
      <c r="D29" s="95">
        <v>4906189.5</v>
      </c>
      <c r="E29" s="95">
        <v>1252866.49</v>
      </c>
      <c r="F29" s="95">
        <v>0</v>
      </c>
      <c r="G29" s="95">
        <v>1252866.49</v>
      </c>
    </row>
    <row r="30" spans="1:7" ht="15" customHeight="1" x14ac:dyDescent="0.25">
      <c r="A30" s="92" t="s">
        <v>369</v>
      </c>
      <c r="B30" s="92" t="s">
        <v>370</v>
      </c>
      <c r="C30" s="95">
        <v>200912497.02000001</v>
      </c>
      <c r="D30" s="95">
        <v>169329610.97</v>
      </c>
      <c r="E30" s="95">
        <v>31582886.050000001</v>
      </c>
      <c r="F30" s="95">
        <v>0</v>
      </c>
      <c r="G30" s="95">
        <v>31582886.050000001</v>
      </c>
    </row>
    <row r="31" spans="1:7" ht="15" customHeight="1" x14ac:dyDescent="0.25">
      <c r="A31" s="92" t="s">
        <v>192</v>
      </c>
      <c r="B31" s="92" t="s">
        <v>371</v>
      </c>
      <c r="C31" s="95">
        <v>652619744.65999997</v>
      </c>
      <c r="D31" s="95">
        <v>0</v>
      </c>
      <c r="E31" s="95">
        <v>652619744.65999997</v>
      </c>
      <c r="F31" s="95">
        <v>0</v>
      </c>
      <c r="G31" s="95">
        <v>652619744.65999997</v>
      </c>
    </row>
    <row r="32" spans="1:7" ht="15" customHeight="1" x14ac:dyDescent="0.25">
      <c r="A32" s="92" t="s">
        <v>193</v>
      </c>
      <c r="B32" s="92" t="s">
        <v>389</v>
      </c>
      <c r="C32" s="95">
        <v>269664708.95999998</v>
      </c>
      <c r="D32" s="95">
        <v>122935091.72</v>
      </c>
      <c r="E32" s="95">
        <v>146729617.24000001</v>
      </c>
      <c r="F32" s="95">
        <v>0</v>
      </c>
      <c r="G32" s="95">
        <v>146729617.24000001</v>
      </c>
    </row>
    <row r="33" spans="1:7" ht="15" customHeight="1" x14ac:dyDescent="0.25">
      <c r="A33" s="92" t="s">
        <v>194</v>
      </c>
      <c r="B33" s="92" t="s">
        <v>321</v>
      </c>
      <c r="C33" s="95">
        <v>127076591.93000001</v>
      </c>
      <c r="D33" s="95">
        <v>58930181.020000003</v>
      </c>
      <c r="E33" s="95">
        <v>68146410.909999996</v>
      </c>
      <c r="F33" s="95">
        <v>0</v>
      </c>
      <c r="G33" s="95">
        <v>68146410.909999996</v>
      </c>
    </row>
    <row r="34" spans="1:7" ht="15" customHeight="1" x14ac:dyDescent="0.25">
      <c r="A34" s="92" t="s">
        <v>195</v>
      </c>
      <c r="B34" s="92" t="s">
        <v>322</v>
      </c>
      <c r="C34" s="95">
        <v>336400433.41000003</v>
      </c>
      <c r="D34" s="95">
        <v>168616080.69</v>
      </c>
      <c r="E34" s="95">
        <v>167784352.72</v>
      </c>
      <c r="F34" s="95">
        <v>0</v>
      </c>
      <c r="G34" s="95">
        <v>167784352.72</v>
      </c>
    </row>
    <row r="35" spans="1:7" ht="15" customHeight="1" x14ac:dyDescent="0.25">
      <c r="A35" s="92" t="s">
        <v>196</v>
      </c>
      <c r="B35" s="92" t="s">
        <v>323</v>
      </c>
      <c r="C35" s="95">
        <v>488805465.13999999</v>
      </c>
      <c r="D35" s="95">
        <v>236020792.53999999</v>
      </c>
      <c r="E35" s="95">
        <v>252784672.59999999</v>
      </c>
      <c r="F35" s="95">
        <v>0</v>
      </c>
      <c r="G35" s="95">
        <v>252784672.59999999</v>
      </c>
    </row>
    <row r="36" spans="1:7" ht="15" customHeight="1" x14ac:dyDescent="0.25">
      <c r="A36" s="92" t="s">
        <v>197</v>
      </c>
      <c r="B36" s="92" t="s">
        <v>329</v>
      </c>
      <c r="C36" s="95">
        <v>237331778.22</v>
      </c>
      <c r="D36" s="95">
        <v>475952853.24000001</v>
      </c>
      <c r="E36" s="95">
        <v>0</v>
      </c>
      <c r="F36" s="95">
        <v>238621075.02000001</v>
      </c>
      <c r="G36" s="95">
        <v>-238621075.02000001</v>
      </c>
    </row>
    <row r="37" spans="1:7" ht="15" customHeight="1" x14ac:dyDescent="0.25">
      <c r="A37" s="92" t="s">
        <v>273</v>
      </c>
      <c r="B37" s="92" t="s">
        <v>324</v>
      </c>
      <c r="C37" s="95">
        <v>602610776.71000004</v>
      </c>
      <c r="D37" s="95">
        <v>293613084.07999998</v>
      </c>
      <c r="E37" s="95">
        <v>308997692.63</v>
      </c>
      <c r="F37" s="95">
        <v>0</v>
      </c>
      <c r="G37" s="95">
        <v>308997692.63</v>
      </c>
    </row>
    <row r="38" spans="1:7" ht="15" customHeight="1" x14ac:dyDescent="0.25">
      <c r="A38" s="92" t="s">
        <v>198</v>
      </c>
      <c r="B38" s="92" t="s">
        <v>372</v>
      </c>
      <c r="C38" s="95">
        <v>122683644.2</v>
      </c>
      <c r="D38" s="95">
        <v>112586611.54000001</v>
      </c>
      <c r="E38" s="95">
        <v>10097032.970000001</v>
      </c>
      <c r="F38" s="95">
        <v>0.310000000000002</v>
      </c>
      <c r="G38" s="95">
        <v>10097032.66</v>
      </c>
    </row>
    <row r="39" spans="1:7" ht="15" customHeight="1" x14ac:dyDescent="0.25">
      <c r="A39" s="92" t="s">
        <v>199</v>
      </c>
      <c r="B39" s="92" t="s">
        <v>325</v>
      </c>
      <c r="C39" s="95">
        <v>263621852.18000001</v>
      </c>
      <c r="D39" s="95">
        <v>123660153.25</v>
      </c>
      <c r="E39" s="95">
        <v>139961698.93000001</v>
      </c>
      <c r="F39" s="95">
        <v>0</v>
      </c>
      <c r="G39" s="95">
        <v>139961698.93000001</v>
      </c>
    </row>
    <row r="40" spans="1:7" ht="15" customHeight="1" x14ac:dyDescent="0.25">
      <c r="A40" s="92" t="s">
        <v>200</v>
      </c>
      <c r="B40" s="92" t="s">
        <v>326</v>
      </c>
      <c r="C40" s="95">
        <v>195072554.59999999</v>
      </c>
      <c r="D40" s="95">
        <v>125209551.34999999</v>
      </c>
      <c r="E40" s="95">
        <v>69863003.25</v>
      </c>
      <c r="F40" s="95">
        <v>0</v>
      </c>
      <c r="G40" s="95">
        <v>69863003.25</v>
      </c>
    </row>
    <row r="41" spans="1:7" ht="15" customHeight="1" x14ac:dyDescent="0.25">
      <c r="A41" s="92" t="s">
        <v>201</v>
      </c>
      <c r="B41" s="92" t="s">
        <v>327</v>
      </c>
      <c r="C41" s="95">
        <v>7363639.6299999999</v>
      </c>
      <c r="D41" s="95">
        <v>5042445.8099999996</v>
      </c>
      <c r="E41" s="95">
        <v>2321193.8199999998</v>
      </c>
      <c r="F41" s="95">
        <v>0</v>
      </c>
      <c r="G41" s="95">
        <v>2321193.8199999998</v>
      </c>
    </row>
    <row r="42" spans="1:7" ht="15" customHeight="1" x14ac:dyDescent="0.25">
      <c r="A42" s="92" t="s">
        <v>202</v>
      </c>
      <c r="B42" s="92" t="s">
        <v>328</v>
      </c>
      <c r="C42" s="95">
        <v>335012560.22000003</v>
      </c>
      <c r="D42" s="95">
        <v>160379245.59</v>
      </c>
      <c r="E42" s="95">
        <v>174633314.63</v>
      </c>
      <c r="F42" s="95">
        <v>0</v>
      </c>
      <c r="G42" s="95">
        <v>174633314.63</v>
      </c>
    </row>
    <row r="43" spans="1:7" ht="15" customHeight="1" x14ac:dyDescent="0.25">
      <c r="A43" s="92" t="s">
        <v>203</v>
      </c>
      <c r="B43" s="92" t="s">
        <v>329</v>
      </c>
      <c r="C43" s="95">
        <v>239876799.40000001</v>
      </c>
      <c r="D43" s="95">
        <v>459971295.81</v>
      </c>
      <c r="E43" s="95">
        <v>0</v>
      </c>
      <c r="F43" s="95">
        <v>220094496.41</v>
      </c>
      <c r="G43" s="95">
        <v>-220094496.41</v>
      </c>
    </row>
    <row r="44" spans="1:7" ht="15" customHeight="1" x14ac:dyDescent="0.25">
      <c r="A44" s="92" t="s">
        <v>204</v>
      </c>
      <c r="B44" s="92" t="s">
        <v>330</v>
      </c>
      <c r="C44" s="95">
        <v>2566951.98</v>
      </c>
      <c r="D44" s="95">
        <v>2566951.98</v>
      </c>
      <c r="E44" s="95">
        <v>0</v>
      </c>
      <c r="F44" s="95">
        <v>0</v>
      </c>
      <c r="G44" s="95">
        <v>0</v>
      </c>
    </row>
    <row r="45" spans="1:7" ht="15" customHeight="1" x14ac:dyDescent="0.25">
      <c r="A45" s="92" t="s">
        <v>205</v>
      </c>
      <c r="B45" s="92" t="s">
        <v>331</v>
      </c>
      <c r="C45" s="95">
        <v>116913602.83</v>
      </c>
      <c r="D45" s="95">
        <v>691514981.63999999</v>
      </c>
      <c r="E45" s="95">
        <v>0</v>
      </c>
      <c r="F45" s="95">
        <v>574601378.80999994</v>
      </c>
      <c r="G45" s="95">
        <v>-574601378.80999994</v>
      </c>
    </row>
    <row r="46" spans="1:7" ht="15" customHeight="1" x14ac:dyDescent="0.25">
      <c r="A46" s="92" t="s">
        <v>208</v>
      </c>
      <c r="B46" s="92" t="s">
        <v>332</v>
      </c>
      <c r="C46" s="95">
        <v>4239366.6900000004</v>
      </c>
      <c r="D46" s="95">
        <v>4834286.05</v>
      </c>
      <c r="E46" s="95">
        <v>77042.58</v>
      </c>
      <c r="F46" s="95">
        <v>671961.94</v>
      </c>
      <c r="G46" s="95">
        <v>-594919.36</v>
      </c>
    </row>
    <row r="47" spans="1:7" ht="15" customHeight="1" x14ac:dyDescent="0.25">
      <c r="A47" s="92" t="s">
        <v>209</v>
      </c>
      <c r="B47" s="92" t="s">
        <v>333</v>
      </c>
      <c r="C47" s="95">
        <v>2089627974.1099999</v>
      </c>
      <c r="D47" s="95">
        <v>2384201435.4499998</v>
      </c>
      <c r="E47" s="95">
        <v>0</v>
      </c>
      <c r="F47" s="95">
        <v>294573461.33999997</v>
      </c>
      <c r="G47" s="95">
        <v>-294573461.33999997</v>
      </c>
    </row>
    <row r="48" spans="1:7" ht="15" customHeight="1" x14ac:dyDescent="0.25">
      <c r="A48" s="92" t="s">
        <v>400</v>
      </c>
      <c r="B48" s="92" t="s">
        <v>401</v>
      </c>
      <c r="C48" s="95">
        <v>16520439.960000001</v>
      </c>
      <c r="D48" s="95">
        <v>141077873.09</v>
      </c>
      <c r="E48" s="95">
        <v>0</v>
      </c>
      <c r="F48" s="95">
        <v>124557433.13</v>
      </c>
      <c r="G48" s="95">
        <v>-124557433.13</v>
      </c>
    </row>
    <row r="49" spans="1:7" ht="15" customHeight="1" x14ac:dyDescent="0.25">
      <c r="A49" s="92" t="s">
        <v>282</v>
      </c>
      <c r="B49" s="92" t="s">
        <v>379</v>
      </c>
      <c r="C49" s="95">
        <v>1413216</v>
      </c>
      <c r="D49" s="95">
        <v>1413216</v>
      </c>
      <c r="E49" s="95">
        <v>0</v>
      </c>
      <c r="F49" s="95">
        <v>0</v>
      </c>
      <c r="G49" s="95">
        <v>0</v>
      </c>
    </row>
    <row r="50" spans="1:7" ht="15" customHeight="1" x14ac:dyDescent="0.25">
      <c r="A50" s="92" t="s">
        <v>210</v>
      </c>
      <c r="B50" s="92" t="s">
        <v>367</v>
      </c>
      <c r="C50" s="95">
        <v>0.04</v>
      </c>
      <c r="D50" s="95">
        <v>57366.07</v>
      </c>
      <c r="E50" s="95">
        <v>0</v>
      </c>
      <c r="F50" s="95">
        <v>57366.03</v>
      </c>
      <c r="G50" s="95">
        <v>-57366.03</v>
      </c>
    </row>
    <row r="51" spans="1:7" ht="15" customHeight="1" x14ac:dyDescent="0.25">
      <c r="A51" s="92" t="s">
        <v>211</v>
      </c>
      <c r="B51" s="92" t="s">
        <v>334</v>
      </c>
      <c r="C51" s="95">
        <v>153142997.19999999</v>
      </c>
      <c r="D51" s="95">
        <v>180942642.46000001</v>
      </c>
      <c r="E51" s="95">
        <v>0</v>
      </c>
      <c r="F51" s="95">
        <v>27799645.260000002</v>
      </c>
      <c r="G51" s="95">
        <v>-27799645.260000002</v>
      </c>
    </row>
    <row r="52" spans="1:7" ht="15" customHeight="1" x14ac:dyDescent="0.25">
      <c r="A52" s="92" t="s">
        <v>283</v>
      </c>
      <c r="B52" s="92" t="s">
        <v>335</v>
      </c>
      <c r="C52" s="95">
        <v>647420864.59000003</v>
      </c>
      <c r="D52" s="95">
        <v>673679447.62</v>
      </c>
      <c r="E52" s="95">
        <v>0</v>
      </c>
      <c r="F52" s="95">
        <v>26258583.030000001</v>
      </c>
      <c r="G52" s="95">
        <v>-26258583.030000001</v>
      </c>
    </row>
    <row r="53" spans="1:7" ht="15" customHeight="1" x14ac:dyDescent="0.25">
      <c r="A53" s="92" t="s">
        <v>212</v>
      </c>
      <c r="B53" s="92" t="s">
        <v>336</v>
      </c>
      <c r="C53" s="95">
        <v>50711376.200000003</v>
      </c>
      <c r="D53" s="95">
        <v>54099318.93</v>
      </c>
      <c r="E53" s="95">
        <v>0</v>
      </c>
      <c r="F53" s="95">
        <v>3387942.73</v>
      </c>
      <c r="G53" s="95">
        <v>-3387942.73</v>
      </c>
    </row>
    <row r="54" spans="1:7" ht="15" customHeight="1" x14ac:dyDescent="0.25">
      <c r="A54" s="92" t="s">
        <v>373</v>
      </c>
      <c r="B54" s="92" t="s">
        <v>374</v>
      </c>
      <c r="C54" s="95">
        <v>234676644.21000001</v>
      </c>
      <c r="D54" s="95">
        <v>274233793.95999998</v>
      </c>
      <c r="E54" s="95">
        <v>0</v>
      </c>
      <c r="F54" s="95">
        <v>39557149.75</v>
      </c>
      <c r="G54" s="95">
        <v>-39557149.75</v>
      </c>
    </row>
    <row r="55" spans="1:7" ht="15" customHeight="1" x14ac:dyDescent="0.25">
      <c r="A55" s="92" t="s">
        <v>213</v>
      </c>
      <c r="B55" s="92" t="s">
        <v>337</v>
      </c>
      <c r="C55" s="95">
        <v>169721912.56999999</v>
      </c>
      <c r="D55" s="95">
        <v>188132640.47</v>
      </c>
      <c r="E55" s="95">
        <v>0</v>
      </c>
      <c r="F55" s="95">
        <v>18410727.899999999</v>
      </c>
      <c r="G55" s="95">
        <v>-18410727.899999999</v>
      </c>
    </row>
    <row r="56" spans="1:7" ht="15" customHeight="1" x14ac:dyDescent="0.25">
      <c r="A56" s="92" t="s">
        <v>214</v>
      </c>
      <c r="B56" s="92" t="s">
        <v>338</v>
      </c>
      <c r="C56" s="95">
        <v>69678341.290000007</v>
      </c>
      <c r="D56" s="95">
        <v>97547417.430000007</v>
      </c>
      <c r="E56" s="95">
        <v>0</v>
      </c>
      <c r="F56" s="95">
        <v>27869076.140000001</v>
      </c>
      <c r="G56" s="95">
        <v>-27869076.140000001</v>
      </c>
    </row>
    <row r="57" spans="1:7" ht="15" customHeight="1" x14ac:dyDescent="0.25">
      <c r="A57" s="92" t="s">
        <v>339</v>
      </c>
      <c r="B57" s="92" t="s">
        <v>340</v>
      </c>
      <c r="C57" s="95">
        <v>1277212</v>
      </c>
      <c r="D57" s="95">
        <v>1547079</v>
      </c>
      <c r="E57" s="95">
        <v>0</v>
      </c>
      <c r="F57" s="95">
        <v>269867</v>
      </c>
      <c r="G57" s="95">
        <v>-269867</v>
      </c>
    </row>
    <row r="58" spans="1:7" ht="15" customHeight="1" x14ac:dyDescent="0.25">
      <c r="A58" s="92" t="s">
        <v>413</v>
      </c>
      <c r="B58" s="92" t="s">
        <v>427</v>
      </c>
      <c r="C58" s="95">
        <v>169366888.13</v>
      </c>
      <c r="D58" s="95">
        <v>169366888.13</v>
      </c>
      <c r="E58" s="95">
        <v>0</v>
      </c>
      <c r="F58" s="95">
        <v>0</v>
      </c>
      <c r="G58" s="95">
        <v>0</v>
      </c>
    </row>
    <row r="59" spans="1:7" ht="15" customHeight="1" x14ac:dyDescent="0.25">
      <c r="A59" s="92" t="s">
        <v>414</v>
      </c>
      <c r="B59" s="92" t="s">
        <v>428</v>
      </c>
      <c r="C59" s="95">
        <v>126189311.53</v>
      </c>
      <c r="D59" s="95">
        <v>126189311.53</v>
      </c>
      <c r="E59" s="95">
        <v>0</v>
      </c>
      <c r="F59" s="95">
        <v>0</v>
      </c>
      <c r="G59" s="95">
        <v>0</v>
      </c>
    </row>
    <row r="60" spans="1:7" ht="15" customHeight="1" x14ac:dyDescent="0.25">
      <c r="A60" s="92" t="s">
        <v>284</v>
      </c>
      <c r="B60" s="92" t="s">
        <v>341</v>
      </c>
      <c r="C60" s="95">
        <v>53014663.409999996</v>
      </c>
      <c r="D60" s="95">
        <v>61248798.909999996</v>
      </c>
      <c r="E60" s="95">
        <v>0</v>
      </c>
      <c r="F60" s="95">
        <v>8234135.5</v>
      </c>
      <c r="G60" s="95">
        <v>-8234135.5</v>
      </c>
    </row>
    <row r="61" spans="1:7" ht="15" customHeight="1" x14ac:dyDescent="0.25">
      <c r="A61" s="92" t="s">
        <v>285</v>
      </c>
      <c r="B61" s="92" t="s">
        <v>403</v>
      </c>
      <c r="C61" s="95">
        <v>60688143.859999999</v>
      </c>
      <c r="D61" s="95">
        <v>81088952.920000002</v>
      </c>
      <c r="E61" s="95">
        <v>0</v>
      </c>
      <c r="F61" s="95">
        <v>20400809.059999999</v>
      </c>
      <c r="G61" s="95">
        <v>-20400809.059999999</v>
      </c>
    </row>
    <row r="62" spans="1:7" ht="15" customHeight="1" x14ac:dyDescent="0.25">
      <c r="A62" s="92" t="s">
        <v>215</v>
      </c>
      <c r="B62" s="92" t="s">
        <v>342</v>
      </c>
      <c r="C62" s="95">
        <v>64187937.840000004</v>
      </c>
      <c r="D62" s="95">
        <v>89685064.920000002</v>
      </c>
      <c r="E62" s="95">
        <v>0</v>
      </c>
      <c r="F62" s="95">
        <v>25497127.079999998</v>
      </c>
      <c r="G62" s="95">
        <v>-25497127.079999998</v>
      </c>
    </row>
    <row r="63" spans="1:7" ht="15" customHeight="1" x14ac:dyDescent="0.25">
      <c r="A63" s="92" t="s">
        <v>216</v>
      </c>
      <c r="B63" s="92" t="s">
        <v>429</v>
      </c>
      <c r="C63" s="95">
        <v>266792939.44999999</v>
      </c>
      <c r="D63" s="95">
        <v>266792939.44999999</v>
      </c>
      <c r="E63" s="95">
        <v>0</v>
      </c>
      <c r="F63" s="95">
        <v>0</v>
      </c>
      <c r="G63" s="95">
        <v>0</v>
      </c>
    </row>
    <row r="64" spans="1:7" ht="15" customHeight="1" x14ac:dyDescent="0.25">
      <c r="A64" s="92" t="s">
        <v>217</v>
      </c>
      <c r="B64" s="92" t="s">
        <v>331</v>
      </c>
      <c r="C64" s="95">
        <v>4687834</v>
      </c>
      <c r="D64" s="95">
        <v>4687834</v>
      </c>
      <c r="E64" s="95">
        <v>0</v>
      </c>
      <c r="F64" s="95">
        <v>0</v>
      </c>
      <c r="G64" s="95">
        <v>0</v>
      </c>
    </row>
    <row r="65" spans="1:7" ht="15" customHeight="1" x14ac:dyDescent="0.25">
      <c r="A65" s="92" t="s">
        <v>220</v>
      </c>
      <c r="B65" s="92" t="s">
        <v>343</v>
      </c>
      <c r="C65" s="95">
        <v>792</v>
      </c>
      <c r="D65" s="95">
        <v>501962.56</v>
      </c>
      <c r="E65" s="95">
        <v>0</v>
      </c>
      <c r="F65" s="95">
        <v>501170.56</v>
      </c>
      <c r="G65" s="95">
        <v>-501170.56</v>
      </c>
    </row>
    <row r="66" spans="1:7" ht="15" customHeight="1" x14ac:dyDescent="0.25">
      <c r="A66" s="92" t="s">
        <v>288</v>
      </c>
      <c r="B66" s="92" t="s">
        <v>981</v>
      </c>
      <c r="C66" s="95">
        <v>0</v>
      </c>
      <c r="D66" s="95">
        <v>11484571.880000001</v>
      </c>
      <c r="E66" s="95">
        <v>0</v>
      </c>
      <c r="F66" s="95">
        <v>11484571.880000001</v>
      </c>
      <c r="G66" s="95">
        <v>-11484571.880000001</v>
      </c>
    </row>
    <row r="67" spans="1:7" ht="15" customHeight="1" x14ac:dyDescent="0.25">
      <c r="A67" s="92" t="s">
        <v>222</v>
      </c>
      <c r="B67" s="92" t="s">
        <v>344</v>
      </c>
      <c r="C67" s="95">
        <v>49369919.039999999</v>
      </c>
      <c r="D67" s="95">
        <v>114469919.04000001</v>
      </c>
      <c r="E67" s="95">
        <v>0</v>
      </c>
      <c r="F67" s="95">
        <v>65100000</v>
      </c>
      <c r="G67" s="95">
        <v>-65100000</v>
      </c>
    </row>
    <row r="68" spans="1:7" ht="15" customHeight="1" x14ac:dyDescent="0.25">
      <c r="A68" s="92" t="s">
        <v>290</v>
      </c>
      <c r="B68" s="92" t="s">
        <v>990</v>
      </c>
      <c r="C68" s="95">
        <v>0</v>
      </c>
      <c r="D68" s="95">
        <v>71683742.650000006</v>
      </c>
      <c r="E68" s="95">
        <v>0</v>
      </c>
      <c r="F68" s="95">
        <v>71683742.650000006</v>
      </c>
      <c r="G68" s="95">
        <v>-71683742.650000006</v>
      </c>
    </row>
    <row r="69" spans="1:7" ht="15" customHeight="1" x14ac:dyDescent="0.25">
      <c r="A69" s="92" t="s">
        <v>223</v>
      </c>
      <c r="B69" s="92" t="s">
        <v>345</v>
      </c>
      <c r="C69" s="95">
        <v>0</v>
      </c>
      <c r="D69" s="95">
        <v>58417931.590000004</v>
      </c>
      <c r="E69" s="95">
        <v>0</v>
      </c>
      <c r="F69" s="95">
        <v>58417931.590000004</v>
      </c>
      <c r="G69" s="95">
        <v>-58417931.590000004</v>
      </c>
    </row>
    <row r="70" spans="1:7" ht="15" customHeight="1" x14ac:dyDescent="0.25">
      <c r="A70" s="92" t="s">
        <v>292</v>
      </c>
      <c r="B70" s="92" t="s">
        <v>346</v>
      </c>
      <c r="C70" s="95">
        <v>0</v>
      </c>
      <c r="D70" s="95">
        <v>5880162.1399999997</v>
      </c>
      <c r="E70" s="95">
        <v>0</v>
      </c>
      <c r="F70" s="95">
        <v>5880162.1399999997</v>
      </c>
      <c r="G70" s="95">
        <v>-5880162.1399999997</v>
      </c>
    </row>
    <row r="71" spans="1:7" ht="15" customHeight="1" x14ac:dyDescent="0.25">
      <c r="A71" s="92" t="s">
        <v>224</v>
      </c>
      <c r="B71" s="92" t="s">
        <v>347</v>
      </c>
      <c r="C71" s="95">
        <v>6900000</v>
      </c>
      <c r="D71" s="95">
        <v>1023196613.9299999</v>
      </c>
      <c r="E71" s="95">
        <v>0</v>
      </c>
      <c r="F71" s="95">
        <v>1016296613.9299999</v>
      </c>
      <c r="G71" s="95">
        <v>-1016296613.9299999</v>
      </c>
    </row>
    <row r="72" spans="1:7" ht="15" customHeight="1" x14ac:dyDescent="0.25">
      <c r="A72" s="92" t="s">
        <v>166</v>
      </c>
      <c r="B72" s="92" t="s">
        <v>348</v>
      </c>
      <c r="C72" s="95">
        <v>962766.97</v>
      </c>
      <c r="D72" s="95">
        <v>2194454961.8200002</v>
      </c>
      <c r="E72" s="95">
        <v>0</v>
      </c>
      <c r="F72" s="95">
        <v>2193492194.8499999</v>
      </c>
      <c r="G72" s="95">
        <v>-2193492194.8499999</v>
      </c>
    </row>
    <row r="73" spans="1:7" ht="15" customHeight="1" x14ac:dyDescent="0.25">
      <c r="A73" s="92" t="s">
        <v>168</v>
      </c>
      <c r="B73" s="92" t="s">
        <v>404</v>
      </c>
      <c r="C73" s="95">
        <v>80</v>
      </c>
      <c r="D73" s="95">
        <v>35843045.240000002</v>
      </c>
      <c r="E73" s="95">
        <v>0</v>
      </c>
      <c r="F73" s="95">
        <v>35842965.240000002</v>
      </c>
      <c r="G73" s="95">
        <v>-35842965.240000002</v>
      </c>
    </row>
    <row r="74" spans="1:7" ht="15" customHeight="1" x14ac:dyDescent="0.25">
      <c r="A74" s="92" t="s">
        <v>167</v>
      </c>
      <c r="B74" s="92" t="s">
        <v>349</v>
      </c>
      <c r="C74" s="95">
        <v>80882680.739999995</v>
      </c>
      <c r="D74" s="95">
        <v>627495065.88999999</v>
      </c>
      <c r="E74" s="95">
        <v>0</v>
      </c>
      <c r="F74" s="95">
        <v>546612385.14999998</v>
      </c>
      <c r="G74" s="95">
        <v>-546612385.14999998</v>
      </c>
    </row>
    <row r="75" spans="1:7" ht="15" customHeight="1" x14ac:dyDescent="0.25">
      <c r="A75" s="92" t="s">
        <v>225</v>
      </c>
      <c r="B75" s="92" t="s">
        <v>350</v>
      </c>
      <c r="C75" s="95">
        <v>2271117.09</v>
      </c>
      <c r="D75" s="95">
        <v>2900</v>
      </c>
      <c r="E75" s="95">
        <v>2268217.09</v>
      </c>
      <c r="F75" s="95">
        <v>0</v>
      </c>
      <c r="G75" s="95">
        <v>2268217.09</v>
      </c>
    </row>
    <row r="76" spans="1:7" ht="15" customHeight="1" x14ac:dyDescent="0.25">
      <c r="A76" s="92" t="s">
        <v>227</v>
      </c>
      <c r="B76" s="92" t="s">
        <v>351</v>
      </c>
      <c r="C76" s="95">
        <v>557692.89</v>
      </c>
      <c r="D76" s="95">
        <v>0</v>
      </c>
      <c r="E76" s="95">
        <v>557692.89</v>
      </c>
      <c r="F76" s="95">
        <v>0</v>
      </c>
      <c r="G76" s="95">
        <v>557692.89</v>
      </c>
    </row>
    <row r="77" spans="1:7" ht="15" customHeight="1" x14ac:dyDescent="0.25">
      <c r="A77" s="92" t="s">
        <v>228</v>
      </c>
      <c r="B77" s="92" t="s">
        <v>352</v>
      </c>
      <c r="C77" s="95">
        <v>652483386.90999997</v>
      </c>
      <c r="D77" s="95">
        <v>21275738.329999998</v>
      </c>
      <c r="E77" s="95">
        <v>631207648.58000004</v>
      </c>
      <c r="F77" s="95">
        <v>0</v>
      </c>
      <c r="G77" s="95">
        <v>631207648.58000004</v>
      </c>
    </row>
    <row r="78" spans="1:7" ht="15" customHeight="1" x14ac:dyDescent="0.25">
      <c r="A78" s="92" t="s">
        <v>229</v>
      </c>
      <c r="B78" s="92" t="s">
        <v>353</v>
      </c>
      <c r="C78" s="95">
        <v>355611204.44999999</v>
      </c>
      <c r="D78" s="95">
        <v>1608135.19</v>
      </c>
      <c r="E78" s="95">
        <v>354003069.25999999</v>
      </c>
      <c r="F78" s="95">
        <v>0</v>
      </c>
      <c r="G78" s="95">
        <v>354003069.25999999</v>
      </c>
    </row>
    <row r="79" spans="1:7" ht="15" customHeight="1" x14ac:dyDescent="0.25">
      <c r="A79" s="92" t="s">
        <v>253</v>
      </c>
      <c r="B79" s="92" t="s">
        <v>355</v>
      </c>
      <c r="C79" s="95">
        <v>389844.56</v>
      </c>
      <c r="D79" s="95">
        <v>37202450.93</v>
      </c>
      <c r="E79" s="95">
        <v>0</v>
      </c>
      <c r="F79" s="95">
        <v>36812606.369999997</v>
      </c>
      <c r="G79" s="95">
        <v>-36812606.369999997</v>
      </c>
    </row>
    <row r="80" spans="1:7" ht="15" customHeight="1" x14ac:dyDescent="0.25">
      <c r="A80" s="92" t="s">
        <v>233</v>
      </c>
      <c r="B80" s="92" t="s">
        <v>356</v>
      </c>
      <c r="C80" s="95">
        <v>388823.43</v>
      </c>
      <c r="D80" s="95">
        <v>9903636.8000000007</v>
      </c>
      <c r="E80" s="95">
        <v>0</v>
      </c>
      <c r="F80" s="95">
        <v>9514813.3699999992</v>
      </c>
      <c r="G80" s="95">
        <v>-9514813.3699999992</v>
      </c>
    </row>
    <row r="81" spans="1:9" ht="15" customHeight="1" x14ac:dyDescent="0.25">
      <c r="A81" s="92" t="s">
        <v>255</v>
      </c>
      <c r="B81" s="92" t="s">
        <v>972</v>
      </c>
      <c r="C81" s="95">
        <v>0</v>
      </c>
      <c r="D81" s="95">
        <v>1851851.84</v>
      </c>
      <c r="E81" s="95">
        <v>0</v>
      </c>
      <c r="F81" s="95">
        <v>1851851.84</v>
      </c>
      <c r="G81" s="95">
        <v>-1851851.84</v>
      </c>
    </row>
    <row r="82" spans="1:9" ht="15" customHeight="1" x14ac:dyDescent="0.25">
      <c r="A82" s="92" t="s">
        <v>236</v>
      </c>
      <c r="B82" s="92" t="s">
        <v>357</v>
      </c>
      <c r="C82" s="95">
        <v>4590248.1399999997</v>
      </c>
      <c r="D82" s="95">
        <v>0</v>
      </c>
      <c r="E82" s="95">
        <v>4590248.1399999997</v>
      </c>
      <c r="F82" s="95">
        <v>0</v>
      </c>
      <c r="G82" s="95">
        <v>4590248.1399999997</v>
      </c>
    </row>
    <row r="83" spans="1:9" ht="15" customHeight="1" x14ac:dyDescent="0.25">
      <c r="A83" s="92" t="s">
        <v>257</v>
      </c>
      <c r="B83" s="92" t="s">
        <v>3363</v>
      </c>
      <c r="C83" s="95">
        <v>68449061.829999998</v>
      </c>
      <c r="D83" s="95">
        <v>0</v>
      </c>
      <c r="E83" s="95">
        <v>68449061.829999998</v>
      </c>
      <c r="F83" s="95">
        <v>0</v>
      </c>
      <c r="G83" s="95">
        <v>68449061.829999998</v>
      </c>
    </row>
    <row r="84" spans="1:9" ht="15" customHeight="1" x14ac:dyDescent="0.25">
      <c r="A84" s="92" t="s">
        <v>238</v>
      </c>
      <c r="B84" s="92" t="s">
        <v>358</v>
      </c>
      <c r="C84" s="95">
        <v>16314843.01</v>
      </c>
      <c r="D84" s="95">
        <v>39944359.740000002</v>
      </c>
      <c r="E84" s="95">
        <v>0</v>
      </c>
      <c r="F84" s="95">
        <v>23629516.73</v>
      </c>
      <c r="G84" s="95">
        <v>-23629516.73</v>
      </c>
    </row>
    <row r="85" spans="1:9" ht="15" customHeight="1" x14ac:dyDescent="0.25">
      <c r="A85" s="92" t="s">
        <v>393</v>
      </c>
      <c r="B85" s="92" t="s">
        <v>394</v>
      </c>
      <c r="C85" s="95">
        <v>106781.06</v>
      </c>
      <c r="D85" s="95">
        <v>0</v>
      </c>
      <c r="E85" s="95">
        <v>106781.06</v>
      </c>
      <c r="F85" s="95">
        <v>0</v>
      </c>
      <c r="G85" s="95">
        <v>106781.06</v>
      </c>
    </row>
    <row r="86" spans="1:9" ht="15" customHeight="1" x14ac:dyDescent="0.25">
      <c r="A86" s="92" t="s">
        <v>240</v>
      </c>
      <c r="B86" s="92" t="s">
        <v>359</v>
      </c>
      <c r="C86" s="95">
        <v>24381134.48</v>
      </c>
      <c r="D86" s="95">
        <v>179677.11</v>
      </c>
      <c r="E86" s="95">
        <v>24201457.370000001</v>
      </c>
      <c r="F86" s="95">
        <v>0</v>
      </c>
      <c r="G86" s="95">
        <v>24201457.370000001</v>
      </c>
      <c r="H86" s="68"/>
      <c r="I86" s="69"/>
    </row>
    <row r="87" spans="1:9" ht="15" customHeight="1" x14ac:dyDescent="0.25">
      <c r="A87" s="92" t="s">
        <v>991</v>
      </c>
      <c r="B87" s="92" t="s">
        <v>992</v>
      </c>
      <c r="C87" s="95">
        <v>199077196.81999999</v>
      </c>
      <c r="D87" s="95">
        <v>199077196.81999999</v>
      </c>
      <c r="E87" s="95">
        <v>0</v>
      </c>
      <c r="F87" s="95">
        <v>0</v>
      </c>
      <c r="G87" s="95">
        <v>0</v>
      </c>
    </row>
    <row r="88" spans="1:9" ht="15" customHeight="1" x14ac:dyDescent="0.25">
      <c r="A88" s="92" t="s">
        <v>241</v>
      </c>
      <c r="B88" s="92" t="s">
        <v>360</v>
      </c>
      <c r="C88" s="95">
        <v>998845672.34000003</v>
      </c>
      <c r="D88" s="95">
        <v>91695.73</v>
      </c>
      <c r="E88" s="95">
        <v>998753976.61000001</v>
      </c>
      <c r="F88" s="95">
        <v>0</v>
      </c>
      <c r="G88" s="95">
        <v>998753976.61000001</v>
      </c>
    </row>
    <row r="89" spans="1:9" ht="15" customHeight="1" x14ac:dyDescent="0.25">
      <c r="A89" s="92" t="s">
        <v>242</v>
      </c>
      <c r="B89" s="92" t="s">
        <v>361</v>
      </c>
      <c r="C89" s="95">
        <v>28.04</v>
      </c>
      <c r="D89" s="95">
        <v>998686574.41999996</v>
      </c>
      <c r="E89" s="95">
        <v>0</v>
      </c>
      <c r="F89" s="95">
        <v>998686546.38</v>
      </c>
      <c r="G89" s="95">
        <v>-998686546.38</v>
      </c>
    </row>
    <row r="90" spans="1:9" ht="15" customHeight="1" x14ac:dyDescent="0.25">
      <c r="A90" s="92" t="s">
        <v>243</v>
      </c>
      <c r="B90" s="92" t="s">
        <v>362</v>
      </c>
      <c r="C90" s="95">
        <v>13601721.65</v>
      </c>
      <c r="D90" s="95">
        <v>209827.93</v>
      </c>
      <c r="E90" s="95">
        <v>13391893.720000001</v>
      </c>
      <c r="F90" s="95">
        <v>0</v>
      </c>
      <c r="G90" s="95">
        <v>13391893.720000001</v>
      </c>
    </row>
    <row r="91" spans="1:9" ht="15" customHeight="1" x14ac:dyDescent="0.25">
      <c r="A91" s="92" t="s">
        <v>244</v>
      </c>
      <c r="B91" s="92" t="s">
        <v>416</v>
      </c>
      <c r="C91" s="95">
        <v>959405</v>
      </c>
      <c r="D91" s="95">
        <v>1818668</v>
      </c>
      <c r="E91" s="95">
        <v>0</v>
      </c>
      <c r="F91" s="95">
        <v>859263</v>
      </c>
      <c r="G91" s="95">
        <v>-859263</v>
      </c>
    </row>
    <row r="92" spans="1:9" ht="15" customHeight="1" x14ac:dyDescent="0.25">
      <c r="A92" s="92" t="s">
        <v>245</v>
      </c>
      <c r="B92" s="92" t="s">
        <v>363</v>
      </c>
      <c r="C92" s="95">
        <v>61397379.399999999</v>
      </c>
      <c r="D92" s="95">
        <v>6903476.6200000001</v>
      </c>
      <c r="E92" s="95">
        <v>54493902.780000001</v>
      </c>
      <c r="F92" s="95">
        <v>0</v>
      </c>
      <c r="G92" s="95">
        <v>54493902.780000001</v>
      </c>
    </row>
    <row r="93" spans="1:9" ht="15" customHeight="1" x14ac:dyDescent="0.25">
      <c r="A93" s="92" t="s">
        <v>246</v>
      </c>
      <c r="B93" s="92" t="s">
        <v>417</v>
      </c>
      <c r="C93" s="95">
        <v>4481353</v>
      </c>
      <c r="D93" s="95">
        <v>5367419</v>
      </c>
      <c r="E93" s="95">
        <v>0</v>
      </c>
      <c r="F93" s="95">
        <v>886066</v>
      </c>
      <c r="G93" s="95">
        <v>-886066</v>
      </c>
    </row>
    <row r="94" spans="1:9" ht="15" customHeight="1" x14ac:dyDescent="0.25">
      <c r="A94" s="92" t="s">
        <v>421</v>
      </c>
      <c r="B94" s="92" t="s">
        <v>422</v>
      </c>
      <c r="C94" s="95">
        <v>164862329.08000001</v>
      </c>
      <c r="D94" s="95">
        <v>128984.57</v>
      </c>
      <c r="E94" s="95">
        <v>164733344.50999999</v>
      </c>
      <c r="F94" s="95">
        <v>0</v>
      </c>
      <c r="G94" s="95">
        <v>164733344.50999999</v>
      </c>
    </row>
    <row r="95" spans="1:9" ht="15" customHeight="1" x14ac:dyDescent="0.25">
      <c r="A95" s="92" t="s">
        <v>247</v>
      </c>
      <c r="B95" s="92" t="s">
        <v>364</v>
      </c>
      <c r="C95" s="95">
        <v>943871081.48000002</v>
      </c>
      <c r="D95" s="95">
        <v>43418129.899999999</v>
      </c>
      <c r="E95" s="95">
        <v>900452951.58000004</v>
      </c>
      <c r="F95" s="95">
        <v>0</v>
      </c>
      <c r="G95" s="95">
        <v>900452951.58000004</v>
      </c>
    </row>
    <row r="96" spans="1:9" ht="15" customHeight="1" x14ac:dyDescent="0.25">
      <c r="A96" s="92" t="s">
        <v>249</v>
      </c>
      <c r="B96" s="92" t="s">
        <v>365</v>
      </c>
      <c r="C96" s="95">
        <v>129048443.77</v>
      </c>
      <c r="D96" s="95">
        <v>22071286.219999999</v>
      </c>
      <c r="E96" s="95">
        <v>106977157.55</v>
      </c>
      <c r="F96" s="95">
        <v>0</v>
      </c>
      <c r="G96" s="95">
        <v>106977157.55</v>
      </c>
    </row>
    <row r="97" spans="1:7" ht="15" customHeight="1" x14ac:dyDescent="0.25">
      <c r="A97" s="92" t="s">
        <v>251</v>
      </c>
      <c r="B97" s="92" t="s">
        <v>366</v>
      </c>
      <c r="C97" s="95">
        <v>110062451.09999999</v>
      </c>
      <c r="D97" s="95">
        <v>21758065.129999999</v>
      </c>
      <c r="E97" s="95">
        <v>88304385.969999999</v>
      </c>
      <c r="F97" s="95">
        <v>0</v>
      </c>
      <c r="G97" s="95">
        <v>88304385.969999999</v>
      </c>
    </row>
    <row r="98" spans="1:7" ht="15" customHeight="1" x14ac:dyDescent="0.25">
      <c r="A98" s="90" t="s">
        <v>247</v>
      </c>
      <c r="B98" s="90" t="s">
        <v>364</v>
      </c>
      <c r="C98" s="91">
        <v>1067116844.71</v>
      </c>
      <c r="D98" s="91">
        <v>53904307.719999999</v>
      </c>
      <c r="E98" s="91">
        <v>1013212536.99</v>
      </c>
      <c r="F98" s="91">
        <v>0</v>
      </c>
      <c r="G98" s="91">
        <v>1013212536.99</v>
      </c>
    </row>
    <row r="99" spans="1:7" ht="15" customHeight="1" x14ac:dyDescent="0.25">
      <c r="A99" s="90" t="s">
        <v>249</v>
      </c>
      <c r="B99" s="90" t="s">
        <v>365</v>
      </c>
      <c r="C99" s="91">
        <v>161954601.41999999</v>
      </c>
      <c r="D99" s="91">
        <v>8296079.9299999997</v>
      </c>
      <c r="E99" s="91">
        <v>153658521.49000001</v>
      </c>
      <c r="F99" s="91">
        <v>0</v>
      </c>
      <c r="G99" s="91">
        <v>153658521.49000001</v>
      </c>
    </row>
    <row r="100" spans="1:7" ht="15" customHeight="1" x14ac:dyDescent="0.25">
      <c r="A100" s="90" t="s">
        <v>251</v>
      </c>
      <c r="B100" s="90" t="s">
        <v>366</v>
      </c>
      <c r="C100" s="91">
        <v>69110680.810000002</v>
      </c>
      <c r="D100" s="91">
        <v>8378840.7000000002</v>
      </c>
      <c r="E100" s="91">
        <v>60731840.109999999</v>
      </c>
      <c r="F100" s="91">
        <v>0</v>
      </c>
      <c r="G100" s="91">
        <v>60731840.109999999</v>
      </c>
    </row>
    <row r="101" spans="1:7" ht="15" customHeight="1" x14ac:dyDescent="0.25">
      <c r="A101" s="72"/>
      <c r="B101" s="72"/>
      <c r="C101" s="73"/>
      <c r="D101" s="73"/>
      <c r="E101" s="73"/>
      <c r="F101" s="73"/>
      <c r="G101" s="73"/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D331-A8DF-4762-ABD1-4F2D4FF46B03}">
  <dimension ref="A1:J2041"/>
  <sheetViews>
    <sheetView tabSelected="1" topLeftCell="A1362" workbookViewId="0">
      <selection activeCell="F1375" sqref="E1375:F1375"/>
    </sheetView>
  </sheetViews>
  <sheetFormatPr defaultRowHeight="19.8" customHeight="1" x14ac:dyDescent="0.3"/>
  <cols>
    <col min="1" max="1" width="7.21875" bestFit="1" customWidth="1"/>
    <col min="2" max="2" width="13.109375" bestFit="1" customWidth="1"/>
    <col min="3" max="3" width="26.44140625" customWidth="1"/>
    <col min="4" max="4" width="13.109375" bestFit="1" customWidth="1"/>
    <col min="5" max="5" width="13" bestFit="1" customWidth="1"/>
    <col min="6" max="6" width="10.6640625" bestFit="1" customWidth="1"/>
    <col min="7" max="7" width="11.88671875" bestFit="1" customWidth="1"/>
    <col min="8" max="8" width="13.88671875" bestFit="1" customWidth="1"/>
    <col min="10" max="10" width="12" bestFit="1" customWidth="1"/>
  </cols>
  <sheetData>
    <row r="1" spans="1:8" ht="19.8" customHeight="1" x14ac:dyDescent="0.3">
      <c r="A1" s="98" t="s">
        <v>993</v>
      </c>
      <c r="B1" s="92" t="s">
        <v>405</v>
      </c>
      <c r="C1" s="92" t="s">
        <v>406</v>
      </c>
      <c r="D1" s="92" t="s">
        <v>407</v>
      </c>
      <c r="E1" s="92" t="s">
        <v>408</v>
      </c>
      <c r="F1" s="92" t="s">
        <v>409</v>
      </c>
      <c r="G1" s="92" t="s">
        <v>410</v>
      </c>
      <c r="H1" s="92" t="s">
        <v>411</v>
      </c>
    </row>
    <row r="2" spans="1:8" ht="19.8" customHeight="1" x14ac:dyDescent="0.3">
      <c r="A2" s="98">
        <f>+LEN(B2)</f>
        <v>3</v>
      </c>
      <c r="B2" s="92" t="s">
        <v>169</v>
      </c>
      <c r="C2" s="92" t="s">
        <v>305</v>
      </c>
      <c r="D2" s="95">
        <v>73628799.129999995</v>
      </c>
      <c r="E2" s="95">
        <v>73136382.129999995</v>
      </c>
      <c r="F2" s="95">
        <v>492417</v>
      </c>
      <c r="G2" s="95">
        <v>0</v>
      </c>
      <c r="H2" s="95">
        <v>492417</v>
      </c>
    </row>
    <row r="3" spans="1:8" ht="19.8" customHeight="1" x14ac:dyDescent="0.3">
      <c r="A3" s="98">
        <f t="shared" ref="A3:A66" si="0">+LEN(B3)</f>
        <v>7</v>
      </c>
      <c r="B3" s="92" t="s">
        <v>994</v>
      </c>
      <c r="C3" s="92" t="s">
        <v>995</v>
      </c>
      <c r="D3" s="95">
        <v>32258.13</v>
      </c>
      <c r="E3" s="95">
        <v>32258.13</v>
      </c>
      <c r="F3" s="95">
        <v>0</v>
      </c>
      <c r="G3" s="95">
        <v>0</v>
      </c>
      <c r="H3" s="95">
        <v>0</v>
      </c>
    </row>
    <row r="4" spans="1:8" ht="19.8" customHeight="1" x14ac:dyDescent="0.3">
      <c r="A4" s="98">
        <f t="shared" si="0"/>
        <v>11</v>
      </c>
      <c r="B4" s="92" t="s">
        <v>996</v>
      </c>
      <c r="C4" s="92" t="s">
        <v>997</v>
      </c>
      <c r="D4" s="95">
        <v>32258.13</v>
      </c>
      <c r="E4" s="95">
        <v>32258.13</v>
      </c>
      <c r="F4" s="95">
        <v>0</v>
      </c>
      <c r="G4" s="95">
        <v>0</v>
      </c>
      <c r="H4" s="95">
        <v>0</v>
      </c>
    </row>
    <row r="5" spans="1:8" ht="19.8" customHeight="1" x14ac:dyDescent="0.3">
      <c r="A5" s="98">
        <f t="shared" si="0"/>
        <v>7</v>
      </c>
      <c r="B5" s="92" t="s">
        <v>998</v>
      </c>
      <c r="C5" s="92" t="s">
        <v>999</v>
      </c>
      <c r="D5" s="95">
        <v>73596541</v>
      </c>
      <c r="E5" s="95">
        <v>73104124</v>
      </c>
      <c r="F5" s="95">
        <v>492417</v>
      </c>
      <c r="G5" s="95">
        <v>0</v>
      </c>
      <c r="H5" s="95">
        <v>492417</v>
      </c>
    </row>
    <row r="6" spans="1:8" ht="19.8" customHeight="1" x14ac:dyDescent="0.3">
      <c r="A6" s="98">
        <f t="shared" si="0"/>
        <v>11</v>
      </c>
      <c r="B6" s="92" t="s">
        <v>1000</v>
      </c>
      <c r="C6" s="92" t="s">
        <v>1001</v>
      </c>
      <c r="D6" s="95">
        <v>4604019.96</v>
      </c>
      <c r="E6" s="95">
        <v>4590340</v>
      </c>
      <c r="F6" s="95">
        <v>13679.96</v>
      </c>
      <c r="G6" s="95">
        <v>0</v>
      </c>
      <c r="H6" s="95">
        <v>13679.96</v>
      </c>
    </row>
    <row r="7" spans="1:8" ht="19.8" customHeight="1" x14ac:dyDescent="0.3">
      <c r="A7" s="98">
        <f t="shared" si="0"/>
        <v>11</v>
      </c>
      <c r="B7" s="92" t="s">
        <v>1002</v>
      </c>
      <c r="C7" s="92" t="s">
        <v>1003</v>
      </c>
      <c r="D7" s="95">
        <v>678771.65</v>
      </c>
      <c r="E7" s="95">
        <v>663810</v>
      </c>
      <c r="F7" s="95">
        <v>14961.65</v>
      </c>
      <c r="G7" s="95">
        <v>0</v>
      </c>
      <c r="H7" s="95">
        <v>14961.65</v>
      </c>
    </row>
    <row r="8" spans="1:8" ht="19.8" customHeight="1" x14ac:dyDescent="0.3">
      <c r="A8" s="98">
        <f t="shared" si="0"/>
        <v>11</v>
      </c>
      <c r="B8" s="92" t="s">
        <v>1004</v>
      </c>
      <c r="C8" s="92" t="s">
        <v>1005</v>
      </c>
      <c r="D8" s="95">
        <v>1477468.64</v>
      </c>
      <c r="E8" s="95">
        <v>1459220</v>
      </c>
      <c r="F8" s="95">
        <v>18248.64</v>
      </c>
      <c r="G8" s="95">
        <v>0</v>
      </c>
      <c r="H8" s="95">
        <v>18248.64</v>
      </c>
    </row>
    <row r="9" spans="1:8" ht="19.8" customHeight="1" x14ac:dyDescent="0.3">
      <c r="A9" s="98">
        <f t="shared" si="0"/>
        <v>11</v>
      </c>
      <c r="B9" s="92" t="s">
        <v>1006</v>
      </c>
      <c r="C9" s="92" t="s">
        <v>1007</v>
      </c>
      <c r="D9" s="95">
        <v>4915032.68</v>
      </c>
      <c r="E9" s="95">
        <v>4898100</v>
      </c>
      <c r="F9" s="95">
        <v>16932.68</v>
      </c>
      <c r="G9" s="95">
        <v>0</v>
      </c>
      <c r="H9" s="95">
        <v>16932.68</v>
      </c>
    </row>
    <row r="10" spans="1:8" ht="19.8" customHeight="1" x14ac:dyDescent="0.3">
      <c r="A10" s="98">
        <f t="shared" si="0"/>
        <v>11</v>
      </c>
      <c r="B10" s="92" t="s">
        <v>1008</v>
      </c>
      <c r="C10" s="92" t="s">
        <v>1009</v>
      </c>
      <c r="D10" s="95">
        <v>1421407.69</v>
      </c>
      <c r="E10" s="95">
        <v>1393340</v>
      </c>
      <c r="F10" s="95">
        <v>28067.69</v>
      </c>
      <c r="G10" s="95">
        <v>0</v>
      </c>
      <c r="H10" s="95">
        <v>28067.69</v>
      </c>
    </row>
    <row r="11" spans="1:8" ht="19.8" customHeight="1" x14ac:dyDescent="0.3">
      <c r="A11" s="98">
        <f t="shared" si="0"/>
        <v>11</v>
      </c>
      <c r="B11" s="92" t="s">
        <v>1010</v>
      </c>
      <c r="C11" s="92" t="s">
        <v>1011</v>
      </c>
      <c r="D11" s="95">
        <v>1059631.8</v>
      </c>
      <c r="E11" s="95">
        <v>1023715</v>
      </c>
      <c r="F11" s="95">
        <v>35916.800000000003</v>
      </c>
      <c r="G11" s="95">
        <v>0</v>
      </c>
      <c r="H11" s="95">
        <v>35916.800000000003</v>
      </c>
    </row>
    <row r="12" spans="1:8" ht="19.8" customHeight="1" x14ac:dyDescent="0.3">
      <c r="A12" s="98">
        <f t="shared" si="0"/>
        <v>11</v>
      </c>
      <c r="B12" s="92" t="s">
        <v>1012</v>
      </c>
      <c r="C12" s="92" t="s">
        <v>1013</v>
      </c>
      <c r="D12" s="95">
        <v>2868022.55</v>
      </c>
      <c r="E12" s="95">
        <v>2837770</v>
      </c>
      <c r="F12" s="95">
        <v>30252.55</v>
      </c>
      <c r="G12" s="95">
        <v>0</v>
      </c>
      <c r="H12" s="95">
        <v>30252.55</v>
      </c>
    </row>
    <row r="13" spans="1:8" ht="19.8" customHeight="1" x14ac:dyDescent="0.3">
      <c r="A13" s="98">
        <f t="shared" si="0"/>
        <v>11</v>
      </c>
      <c r="B13" s="92" t="s">
        <v>1014</v>
      </c>
      <c r="C13" s="92" t="s">
        <v>1015</v>
      </c>
      <c r="D13" s="95">
        <v>1923036.35</v>
      </c>
      <c r="E13" s="95">
        <v>1921540</v>
      </c>
      <c r="F13" s="95">
        <v>1496.35</v>
      </c>
      <c r="G13" s="95">
        <v>0</v>
      </c>
      <c r="H13" s="95">
        <v>1496.35</v>
      </c>
    </row>
    <row r="14" spans="1:8" ht="19.8" customHeight="1" x14ac:dyDescent="0.3">
      <c r="A14" s="98">
        <f t="shared" si="0"/>
        <v>11</v>
      </c>
      <c r="B14" s="92" t="s">
        <v>1016</v>
      </c>
      <c r="C14" s="92" t="s">
        <v>1017</v>
      </c>
      <c r="D14" s="95">
        <v>1291502.8700000001</v>
      </c>
      <c r="E14" s="95">
        <v>1290350</v>
      </c>
      <c r="F14" s="95">
        <v>1152.8699999999999</v>
      </c>
      <c r="G14" s="95">
        <v>0</v>
      </c>
      <c r="H14" s="95">
        <v>1152.8699999999999</v>
      </c>
    </row>
    <row r="15" spans="1:8" ht="19.8" customHeight="1" x14ac:dyDescent="0.3">
      <c r="A15" s="98">
        <f t="shared" si="0"/>
        <v>11</v>
      </c>
      <c r="B15" s="92" t="s">
        <v>1018</v>
      </c>
      <c r="C15" s="92" t="s">
        <v>1019</v>
      </c>
      <c r="D15" s="95">
        <v>2570754.62</v>
      </c>
      <c r="E15" s="95">
        <v>2553820</v>
      </c>
      <c r="F15" s="95">
        <v>16934.62</v>
      </c>
      <c r="G15" s="95">
        <v>0</v>
      </c>
      <c r="H15" s="95">
        <v>16934.62</v>
      </c>
    </row>
    <row r="16" spans="1:8" ht="19.8" customHeight="1" x14ac:dyDescent="0.3">
      <c r="A16" s="98">
        <f t="shared" si="0"/>
        <v>11</v>
      </c>
      <c r="B16" s="92" t="s">
        <v>1020</v>
      </c>
      <c r="C16" s="92" t="s">
        <v>1021</v>
      </c>
      <c r="D16" s="95">
        <v>1698874.5</v>
      </c>
      <c r="E16" s="95">
        <v>1687780</v>
      </c>
      <c r="F16" s="95">
        <v>11094.5</v>
      </c>
      <c r="G16" s="95">
        <v>0</v>
      </c>
      <c r="H16" s="95">
        <v>11094.5</v>
      </c>
    </row>
    <row r="17" spans="1:8" ht="19.8" customHeight="1" x14ac:dyDescent="0.3">
      <c r="A17" s="98">
        <f t="shared" si="0"/>
        <v>11</v>
      </c>
      <c r="B17" s="92" t="s">
        <v>1022</v>
      </c>
      <c r="C17" s="92" t="s">
        <v>1023</v>
      </c>
      <c r="D17" s="95">
        <v>887937.03</v>
      </c>
      <c r="E17" s="95">
        <v>874560</v>
      </c>
      <c r="F17" s="95">
        <v>13377.03</v>
      </c>
      <c r="G17" s="95">
        <v>0</v>
      </c>
      <c r="H17" s="95">
        <v>13377.03</v>
      </c>
    </row>
    <row r="18" spans="1:8" ht="19.8" customHeight="1" x14ac:dyDescent="0.3">
      <c r="A18" s="98">
        <f t="shared" si="0"/>
        <v>11</v>
      </c>
      <c r="B18" s="92" t="s">
        <v>1024</v>
      </c>
      <c r="C18" s="92" t="s">
        <v>1025</v>
      </c>
      <c r="D18" s="95">
        <v>772494.95</v>
      </c>
      <c r="E18" s="95">
        <v>756730</v>
      </c>
      <c r="F18" s="95">
        <v>15764.95</v>
      </c>
      <c r="G18" s="95">
        <v>0</v>
      </c>
      <c r="H18" s="95">
        <v>15764.95</v>
      </c>
    </row>
    <row r="19" spans="1:8" ht="19.8" customHeight="1" x14ac:dyDescent="0.3">
      <c r="A19" s="98">
        <f t="shared" si="0"/>
        <v>11</v>
      </c>
      <c r="B19" s="92" t="s">
        <v>1026</v>
      </c>
      <c r="C19" s="92" t="s">
        <v>1027</v>
      </c>
      <c r="D19" s="95">
        <v>678731.2</v>
      </c>
      <c r="E19" s="95">
        <v>654610</v>
      </c>
      <c r="F19" s="95">
        <v>24121.200000000001</v>
      </c>
      <c r="G19" s="95">
        <v>0</v>
      </c>
      <c r="H19" s="95">
        <v>24121.200000000001</v>
      </c>
    </row>
    <row r="20" spans="1:8" ht="19.8" customHeight="1" x14ac:dyDescent="0.3">
      <c r="A20" s="98">
        <f t="shared" si="0"/>
        <v>11</v>
      </c>
      <c r="B20" s="92" t="s">
        <v>1028</v>
      </c>
      <c r="C20" s="92" t="s">
        <v>1029</v>
      </c>
      <c r="D20" s="95">
        <v>530387.55000000005</v>
      </c>
      <c r="E20" s="95">
        <v>499840</v>
      </c>
      <c r="F20" s="95">
        <v>30547.55</v>
      </c>
      <c r="G20" s="95">
        <v>0</v>
      </c>
      <c r="H20" s="95">
        <v>30547.55</v>
      </c>
    </row>
    <row r="21" spans="1:8" ht="19.8" customHeight="1" x14ac:dyDescent="0.3">
      <c r="A21" s="98">
        <f t="shared" si="0"/>
        <v>11</v>
      </c>
      <c r="B21" s="92" t="s">
        <v>1030</v>
      </c>
      <c r="C21" s="92" t="s">
        <v>1031</v>
      </c>
      <c r="D21" s="95">
        <v>1269597.28</v>
      </c>
      <c r="E21" s="95">
        <v>1265090</v>
      </c>
      <c r="F21" s="95">
        <v>4507.28</v>
      </c>
      <c r="G21" s="95">
        <v>0</v>
      </c>
      <c r="H21" s="95">
        <v>4507.28</v>
      </c>
    </row>
    <row r="22" spans="1:8" ht="19.8" customHeight="1" x14ac:dyDescent="0.3">
      <c r="A22" s="98">
        <f t="shared" si="0"/>
        <v>11</v>
      </c>
      <c r="B22" s="92" t="s">
        <v>1032</v>
      </c>
      <c r="C22" s="92" t="s">
        <v>1033</v>
      </c>
      <c r="D22" s="95">
        <v>1704142.61</v>
      </c>
      <c r="E22" s="95">
        <v>1702300</v>
      </c>
      <c r="F22" s="95">
        <v>1842.61</v>
      </c>
      <c r="G22" s="95">
        <v>0</v>
      </c>
      <c r="H22" s="95">
        <v>1842.61</v>
      </c>
    </row>
    <row r="23" spans="1:8" ht="19.8" customHeight="1" x14ac:dyDescent="0.3">
      <c r="A23" s="98">
        <f t="shared" si="0"/>
        <v>11</v>
      </c>
      <c r="B23" s="92" t="s">
        <v>1034</v>
      </c>
      <c r="C23" s="92" t="s">
        <v>1035</v>
      </c>
      <c r="D23" s="95">
        <v>1169518.5900000001</v>
      </c>
      <c r="E23" s="95">
        <v>1149590</v>
      </c>
      <c r="F23" s="95">
        <v>19928.59</v>
      </c>
      <c r="G23" s="95">
        <v>0</v>
      </c>
      <c r="H23" s="95">
        <v>19928.59</v>
      </c>
    </row>
    <row r="24" spans="1:8" ht="19.8" customHeight="1" x14ac:dyDescent="0.3">
      <c r="A24" s="98">
        <f t="shared" si="0"/>
        <v>11</v>
      </c>
      <c r="B24" s="92" t="s">
        <v>1036</v>
      </c>
      <c r="C24" s="92" t="s">
        <v>1037</v>
      </c>
      <c r="D24" s="95">
        <v>462633</v>
      </c>
      <c r="E24" s="95">
        <v>448250</v>
      </c>
      <c r="F24" s="95">
        <v>14383</v>
      </c>
      <c r="G24" s="95">
        <v>0</v>
      </c>
      <c r="H24" s="95">
        <v>14383</v>
      </c>
    </row>
    <row r="25" spans="1:8" ht="19.8" customHeight="1" x14ac:dyDescent="0.3">
      <c r="A25" s="98">
        <f t="shared" si="0"/>
        <v>11</v>
      </c>
      <c r="B25" s="92" t="s">
        <v>1038</v>
      </c>
      <c r="C25" s="92" t="s">
        <v>1039</v>
      </c>
      <c r="D25" s="95">
        <v>6031719.21</v>
      </c>
      <c r="E25" s="95">
        <v>6029520</v>
      </c>
      <c r="F25" s="95">
        <v>2199.21</v>
      </c>
      <c r="G25" s="95">
        <v>0</v>
      </c>
      <c r="H25" s="95">
        <v>2199.21</v>
      </c>
    </row>
    <row r="26" spans="1:8" ht="19.8" customHeight="1" x14ac:dyDescent="0.3">
      <c r="A26" s="98">
        <f t="shared" si="0"/>
        <v>11</v>
      </c>
      <c r="B26" s="92" t="s">
        <v>1040</v>
      </c>
      <c r="C26" s="92" t="s">
        <v>1041</v>
      </c>
      <c r="D26" s="95">
        <v>1629469.8</v>
      </c>
      <c r="E26" s="95">
        <v>1626000</v>
      </c>
      <c r="F26" s="95">
        <v>3469.8</v>
      </c>
      <c r="G26" s="95">
        <v>0</v>
      </c>
      <c r="H26" s="95">
        <v>3469.8</v>
      </c>
    </row>
    <row r="27" spans="1:8" ht="19.8" customHeight="1" x14ac:dyDescent="0.3">
      <c r="A27" s="98">
        <f t="shared" si="0"/>
        <v>11</v>
      </c>
      <c r="B27" s="92" t="s">
        <v>1042</v>
      </c>
      <c r="C27" s="92" t="s">
        <v>1043</v>
      </c>
      <c r="D27" s="95">
        <v>500</v>
      </c>
      <c r="E27" s="95">
        <v>500</v>
      </c>
      <c r="F27" s="95">
        <v>0</v>
      </c>
      <c r="G27" s="95">
        <v>0</v>
      </c>
      <c r="H27" s="95">
        <v>0</v>
      </c>
    </row>
    <row r="28" spans="1:8" ht="19.8" customHeight="1" x14ac:dyDescent="0.3">
      <c r="A28" s="98">
        <f t="shared" si="0"/>
        <v>11</v>
      </c>
      <c r="B28" s="92" t="s">
        <v>1044</v>
      </c>
      <c r="C28" s="92" t="s">
        <v>1045</v>
      </c>
      <c r="D28" s="95">
        <v>1080089.77</v>
      </c>
      <c r="E28" s="95">
        <v>1070650</v>
      </c>
      <c r="F28" s="95">
        <v>9439.77</v>
      </c>
      <c r="G28" s="95">
        <v>0</v>
      </c>
      <c r="H28" s="95">
        <v>9439.77</v>
      </c>
    </row>
    <row r="29" spans="1:8" ht="19.8" customHeight="1" x14ac:dyDescent="0.3">
      <c r="A29" s="98">
        <f t="shared" si="0"/>
        <v>11</v>
      </c>
      <c r="B29" s="92" t="s">
        <v>1046</v>
      </c>
      <c r="C29" s="92" t="s">
        <v>1047</v>
      </c>
      <c r="D29" s="95">
        <v>3581210.7</v>
      </c>
      <c r="E29" s="95">
        <v>3571170</v>
      </c>
      <c r="F29" s="95">
        <v>10040.700000000001</v>
      </c>
      <c r="G29" s="95">
        <v>0</v>
      </c>
      <c r="H29" s="95">
        <v>10040.700000000001</v>
      </c>
    </row>
    <row r="30" spans="1:8" ht="19.8" customHeight="1" x14ac:dyDescent="0.3">
      <c r="A30" s="98">
        <f t="shared" si="0"/>
        <v>11</v>
      </c>
      <c r="B30" s="92" t="s">
        <v>1048</v>
      </c>
      <c r="C30" s="92" t="s">
        <v>1049</v>
      </c>
      <c r="D30" s="95">
        <v>979118.37</v>
      </c>
      <c r="E30" s="95">
        <v>972980</v>
      </c>
      <c r="F30" s="95">
        <v>6138.37</v>
      </c>
      <c r="G30" s="95">
        <v>0</v>
      </c>
      <c r="H30" s="95">
        <v>6138.37</v>
      </c>
    </row>
    <row r="31" spans="1:8" ht="19.8" customHeight="1" x14ac:dyDescent="0.3">
      <c r="A31" s="98">
        <f t="shared" si="0"/>
        <v>11</v>
      </c>
      <c r="B31" s="92" t="s">
        <v>1050</v>
      </c>
      <c r="C31" s="92" t="s">
        <v>1051</v>
      </c>
      <c r="D31" s="95">
        <v>1145344.58</v>
      </c>
      <c r="E31" s="95">
        <v>1139100</v>
      </c>
      <c r="F31" s="95">
        <v>6244.58</v>
      </c>
      <c r="G31" s="95">
        <v>0</v>
      </c>
      <c r="H31" s="95">
        <v>6244.58</v>
      </c>
    </row>
    <row r="32" spans="1:8" ht="19.8" customHeight="1" x14ac:dyDescent="0.3">
      <c r="A32" s="98">
        <f t="shared" si="0"/>
        <v>11</v>
      </c>
      <c r="B32" s="92" t="s">
        <v>1052</v>
      </c>
      <c r="C32" s="92" t="s">
        <v>1053</v>
      </c>
      <c r="D32" s="95">
        <v>4665946.49</v>
      </c>
      <c r="E32" s="95">
        <v>4654814</v>
      </c>
      <c r="F32" s="95">
        <v>11132.49</v>
      </c>
      <c r="G32" s="95">
        <v>0</v>
      </c>
      <c r="H32" s="95">
        <v>11132.49</v>
      </c>
    </row>
    <row r="33" spans="1:8" ht="19.8" customHeight="1" x14ac:dyDescent="0.3">
      <c r="A33" s="98">
        <f t="shared" si="0"/>
        <v>11</v>
      </c>
      <c r="B33" s="92" t="s">
        <v>1054</v>
      </c>
      <c r="C33" s="92" t="s">
        <v>1055</v>
      </c>
      <c r="D33" s="95">
        <v>4020133.5</v>
      </c>
      <c r="E33" s="95">
        <v>4010670</v>
      </c>
      <c r="F33" s="95">
        <v>9463.5</v>
      </c>
      <c r="G33" s="95">
        <v>0</v>
      </c>
      <c r="H33" s="95">
        <v>9463.5</v>
      </c>
    </row>
    <row r="34" spans="1:8" ht="19.8" customHeight="1" x14ac:dyDescent="0.3">
      <c r="A34" s="98">
        <f t="shared" si="0"/>
        <v>11</v>
      </c>
      <c r="B34" s="92" t="s">
        <v>1056</v>
      </c>
      <c r="C34" s="92" t="s">
        <v>1057</v>
      </c>
      <c r="D34" s="95">
        <v>1182654.77</v>
      </c>
      <c r="E34" s="95">
        <v>1171940</v>
      </c>
      <c r="F34" s="95">
        <v>10714.77</v>
      </c>
      <c r="G34" s="95">
        <v>0</v>
      </c>
      <c r="H34" s="95">
        <v>10714.77</v>
      </c>
    </row>
    <row r="35" spans="1:8" ht="19.8" customHeight="1" x14ac:dyDescent="0.3">
      <c r="A35" s="98">
        <f t="shared" si="0"/>
        <v>11</v>
      </c>
      <c r="B35" s="92" t="s">
        <v>1058</v>
      </c>
      <c r="C35" s="92" t="s">
        <v>1059</v>
      </c>
      <c r="D35" s="95">
        <v>1002203.61</v>
      </c>
      <c r="E35" s="95">
        <v>1000415</v>
      </c>
      <c r="F35" s="95">
        <v>1788.61</v>
      </c>
      <c r="G35" s="95">
        <v>0</v>
      </c>
      <c r="H35" s="95">
        <v>1788.61</v>
      </c>
    </row>
    <row r="36" spans="1:8" ht="19.8" customHeight="1" x14ac:dyDescent="0.3">
      <c r="A36" s="98">
        <f t="shared" si="0"/>
        <v>11</v>
      </c>
      <c r="B36" s="92" t="s">
        <v>1060</v>
      </c>
      <c r="C36" s="92" t="s">
        <v>1061</v>
      </c>
      <c r="D36" s="95">
        <v>1576020.67</v>
      </c>
      <c r="E36" s="95">
        <v>1562890</v>
      </c>
      <c r="F36" s="95">
        <v>13130.67</v>
      </c>
      <c r="G36" s="95">
        <v>0</v>
      </c>
      <c r="H36" s="95">
        <v>13130.67</v>
      </c>
    </row>
    <row r="37" spans="1:8" ht="19.8" customHeight="1" x14ac:dyDescent="0.3">
      <c r="A37" s="98">
        <f t="shared" si="0"/>
        <v>11</v>
      </c>
      <c r="B37" s="92" t="s">
        <v>1062</v>
      </c>
      <c r="C37" s="92" t="s">
        <v>1063</v>
      </c>
      <c r="D37" s="95">
        <v>399653</v>
      </c>
      <c r="E37" s="95">
        <v>398880</v>
      </c>
      <c r="F37" s="95">
        <v>773</v>
      </c>
      <c r="G37" s="95">
        <v>0</v>
      </c>
      <c r="H37" s="95">
        <v>773</v>
      </c>
    </row>
    <row r="38" spans="1:8" ht="19.8" customHeight="1" x14ac:dyDescent="0.3">
      <c r="A38" s="98">
        <f t="shared" si="0"/>
        <v>11</v>
      </c>
      <c r="B38" s="92" t="s">
        <v>1064</v>
      </c>
      <c r="C38" s="92" t="s">
        <v>1065</v>
      </c>
      <c r="D38" s="95">
        <v>854055.74</v>
      </c>
      <c r="E38" s="95">
        <v>852550</v>
      </c>
      <c r="F38" s="95">
        <v>1505.74</v>
      </c>
      <c r="G38" s="95">
        <v>0</v>
      </c>
      <c r="H38" s="95">
        <v>1505.74</v>
      </c>
    </row>
    <row r="39" spans="1:8" ht="19.8" customHeight="1" x14ac:dyDescent="0.3">
      <c r="A39" s="98">
        <f t="shared" si="0"/>
        <v>11</v>
      </c>
      <c r="B39" s="92" t="s">
        <v>1066</v>
      </c>
      <c r="C39" s="92" t="s">
        <v>1067</v>
      </c>
      <c r="D39" s="95">
        <v>1206927.3999999999</v>
      </c>
      <c r="E39" s="95">
        <v>1205000</v>
      </c>
      <c r="F39" s="95">
        <v>1927.4</v>
      </c>
      <c r="G39" s="95">
        <v>0</v>
      </c>
      <c r="H39" s="95">
        <v>1927.4</v>
      </c>
    </row>
    <row r="40" spans="1:8" ht="19.8" customHeight="1" x14ac:dyDescent="0.3">
      <c r="A40" s="98">
        <f t="shared" si="0"/>
        <v>11</v>
      </c>
      <c r="B40" s="92" t="s">
        <v>1068</v>
      </c>
      <c r="C40" s="92" t="s">
        <v>1069</v>
      </c>
      <c r="D40" s="95">
        <v>1419530.25</v>
      </c>
      <c r="E40" s="95">
        <v>1417240</v>
      </c>
      <c r="F40" s="95">
        <v>2290.25</v>
      </c>
      <c r="G40" s="95">
        <v>0</v>
      </c>
      <c r="H40" s="95">
        <v>2290.25</v>
      </c>
    </row>
    <row r="41" spans="1:8" ht="19.8" customHeight="1" x14ac:dyDescent="0.3">
      <c r="A41" s="98">
        <f t="shared" si="0"/>
        <v>11</v>
      </c>
      <c r="B41" s="92" t="s">
        <v>1070</v>
      </c>
      <c r="C41" s="92" t="s">
        <v>1071</v>
      </c>
      <c r="D41" s="95">
        <v>2540053.13</v>
      </c>
      <c r="E41" s="95">
        <v>2514750</v>
      </c>
      <c r="F41" s="95">
        <v>25303.13</v>
      </c>
      <c r="G41" s="95">
        <v>0</v>
      </c>
      <c r="H41" s="95">
        <v>25303.13</v>
      </c>
    </row>
    <row r="42" spans="1:8" ht="19.8" customHeight="1" x14ac:dyDescent="0.3">
      <c r="A42" s="98">
        <f t="shared" si="0"/>
        <v>11</v>
      </c>
      <c r="B42" s="92" t="s">
        <v>1072</v>
      </c>
      <c r="C42" s="92" t="s">
        <v>1073</v>
      </c>
      <c r="D42" s="95">
        <v>2461065.5</v>
      </c>
      <c r="E42" s="95">
        <v>2444090</v>
      </c>
      <c r="F42" s="95">
        <v>16975.5</v>
      </c>
      <c r="G42" s="95">
        <v>0</v>
      </c>
      <c r="H42" s="95">
        <v>16975.5</v>
      </c>
    </row>
    <row r="43" spans="1:8" ht="19.8" customHeight="1" x14ac:dyDescent="0.3">
      <c r="A43" s="98">
        <f t="shared" si="0"/>
        <v>11</v>
      </c>
      <c r="B43" s="92" t="s">
        <v>1074</v>
      </c>
      <c r="C43" s="92" t="s">
        <v>1075</v>
      </c>
      <c r="D43" s="95">
        <v>690220.93</v>
      </c>
      <c r="E43" s="95">
        <v>685520</v>
      </c>
      <c r="F43" s="95">
        <v>4700.93</v>
      </c>
      <c r="G43" s="95">
        <v>0</v>
      </c>
      <c r="H43" s="95">
        <v>4700.93</v>
      </c>
    </row>
    <row r="44" spans="1:8" ht="19.8" customHeight="1" x14ac:dyDescent="0.3">
      <c r="A44" s="98">
        <f t="shared" si="0"/>
        <v>11</v>
      </c>
      <c r="B44" s="92" t="s">
        <v>1076</v>
      </c>
      <c r="C44" s="92" t="s">
        <v>1077</v>
      </c>
      <c r="D44" s="95">
        <v>1245889.95</v>
      </c>
      <c r="E44" s="95">
        <v>1239080</v>
      </c>
      <c r="F44" s="95">
        <v>6809.95</v>
      </c>
      <c r="G44" s="95">
        <v>0</v>
      </c>
      <c r="H44" s="95">
        <v>6809.95</v>
      </c>
    </row>
    <row r="45" spans="1:8" ht="19.8" customHeight="1" x14ac:dyDescent="0.3">
      <c r="A45" s="98">
        <f t="shared" si="0"/>
        <v>11</v>
      </c>
      <c r="B45" s="92" t="s">
        <v>1078</v>
      </c>
      <c r="C45" s="92" t="s">
        <v>1079</v>
      </c>
      <c r="D45" s="95">
        <v>2382878.31</v>
      </c>
      <c r="E45" s="95">
        <v>2371840</v>
      </c>
      <c r="F45" s="95">
        <v>11038.31</v>
      </c>
      <c r="G45" s="95">
        <v>0</v>
      </c>
      <c r="H45" s="95">
        <v>11038.31</v>
      </c>
    </row>
    <row r="46" spans="1:8" ht="19.8" customHeight="1" x14ac:dyDescent="0.3">
      <c r="A46" s="98">
        <f t="shared" si="0"/>
        <v>11</v>
      </c>
      <c r="B46" s="92" t="s">
        <v>1080</v>
      </c>
      <c r="C46" s="92" t="s">
        <v>1081</v>
      </c>
      <c r="D46" s="95">
        <v>633716.1</v>
      </c>
      <c r="E46" s="95">
        <v>631760</v>
      </c>
      <c r="F46" s="95">
        <v>1956.1</v>
      </c>
      <c r="G46" s="95">
        <v>0</v>
      </c>
      <c r="H46" s="95">
        <v>1956.1</v>
      </c>
    </row>
    <row r="47" spans="1:8" ht="19.8" customHeight="1" x14ac:dyDescent="0.3">
      <c r="A47" s="98">
        <f t="shared" si="0"/>
        <v>11</v>
      </c>
      <c r="B47" s="92" t="s">
        <v>1082</v>
      </c>
      <c r="C47" s="92" t="s">
        <v>1083</v>
      </c>
      <c r="D47" s="95">
        <v>562956.65</v>
      </c>
      <c r="E47" s="95">
        <v>561560</v>
      </c>
      <c r="F47" s="95">
        <v>1396.65</v>
      </c>
      <c r="G47" s="95">
        <v>0</v>
      </c>
      <c r="H47" s="95">
        <v>1396.65</v>
      </c>
    </row>
    <row r="48" spans="1:8" ht="19.8" customHeight="1" x14ac:dyDescent="0.3">
      <c r="A48" s="98">
        <f t="shared" si="0"/>
        <v>11</v>
      </c>
      <c r="B48" s="92" t="s">
        <v>1084</v>
      </c>
      <c r="C48" s="92" t="s">
        <v>1085</v>
      </c>
      <c r="D48" s="95">
        <v>154133.65</v>
      </c>
      <c r="E48" s="95">
        <v>147300</v>
      </c>
      <c r="F48" s="95">
        <v>6833.65</v>
      </c>
      <c r="G48" s="95">
        <v>0</v>
      </c>
      <c r="H48" s="95">
        <v>6833.65</v>
      </c>
    </row>
    <row r="49" spans="1:8" ht="19.8" customHeight="1" x14ac:dyDescent="0.3">
      <c r="A49" s="98">
        <f t="shared" si="0"/>
        <v>11</v>
      </c>
      <c r="B49" s="92" t="s">
        <v>1086</v>
      </c>
      <c r="C49" s="92" t="s">
        <v>1087</v>
      </c>
      <c r="D49" s="95">
        <v>167083.4</v>
      </c>
      <c r="E49" s="95">
        <v>153150</v>
      </c>
      <c r="F49" s="95">
        <v>13933.4</v>
      </c>
      <c r="G49" s="95">
        <v>0</v>
      </c>
      <c r="H49" s="95">
        <v>13933.4</v>
      </c>
    </row>
    <row r="50" spans="1:8" ht="19.8" customHeight="1" x14ac:dyDescent="0.3">
      <c r="A50" s="98">
        <f t="shared" si="0"/>
        <v>3</v>
      </c>
      <c r="B50" s="92" t="s">
        <v>170</v>
      </c>
      <c r="C50" s="92" t="s">
        <v>381</v>
      </c>
      <c r="D50" s="95">
        <v>722333710.89999998</v>
      </c>
      <c r="E50" s="95">
        <v>621148823.74000001</v>
      </c>
      <c r="F50" s="95">
        <v>101184887.16</v>
      </c>
      <c r="G50" s="95">
        <v>0</v>
      </c>
      <c r="H50" s="95">
        <v>101184887.16</v>
      </c>
    </row>
    <row r="51" spans="1:8" ht="19.8" customHeight="1" x14ac:dyDescent="0.3">
      <c r="A51" s="98">
        <f t="shared" si="0"/>
        <v>7</v>
      </c>
      <c r="B51" s="92" t="s">
        <v>1088</v>
      </c>
      <c r="C51" s="92" t="s">
        <v>381</v>
      </c>
      <c r="D51" s="95">
        <v>493274161.61000001</v>
      </c>
      <c r="E51" s="95">
        <v>404446613.74000001</v>
      </c>
      <c r="F51" s="95">
        <v>88827547.870000005</v>
      </c>
      <c r="G51" s="95">
        <v>0</v>
      </c>
      <c r="H51" s="95">
        <v>88827547.870000005</v>
      </c>
    </row>
    <row r="52" spans="1:8" ht="19.8" customHeight="1" x14ac:dyDescent="0.3">
      <c r="A52" s="98">
        <f t="shared" si="0"/>
        <v>11</v>
      </c>
      <c r="B52" s="92" t="s">
        <v>1089</v>
      </c>
      <c r="C52" s="92" t="s">
        <v>1090</v>
      </c>
      <c r="D52" s="95">
        <v>247902591.80000001</v>
      </c>
      <c r="E52" s="95">
        <v>247569783.80000001</v>
      </c>
      <c r="F52" s="95">
        <v>332808</v>
      </c>
      <c r="G52" s="95">
        <v>0</v>
      </c>
      <c r="H52" s="95">
        <v>332808</v>
      </c>
    </row>
    <row r="53" spans="1:8" ht="19.8" customHeight="1" x14ac:dyDescent="0.3">
      <c r="A53" s="98">
        <f t="shared" si="0"/>
        <v>11</v>
      </c>
      <c r="B53" s="92" t="s">
        <v>1091</v>
      </c>
      <c r="C53" s="92" t="s">
        <v>1092</v>
      </c>
      <c r="D53" s="95">
        <v>245371569.81</v>
      </c>
      <c r="E53" s="95">
        <v>156876829.94</v>
      </c>
      <c r="F53" s="95">
        <v>88494739.870000005</v>
      </c>
      <c r="G53" s="95">
        <v>0</v>
      </c>
      <c r="H53" s="95">
        <v>88494739.870000005</v>
      </c>
    </row>
    <row r="54" spans="1:8" ht="19.8" customHeight="1" x14ac:dyDescent="0.3">
      <c r="A54" s="98">
        <f t="shared" si="0"/>
        <v>7</v>
      </c>
      <c r="B54" s="92" t="s">
        <v>1093</v>
      </c>
      <c r="C54" s="92" t="s">
        <v>1094</v>
      </c>
      <c r="D54" s="95">
        <v>229059549.28999999</v>
      </c>
      <c r="E54" s="95">
        <v>216702210</v>
      </c>
      <c r="F54" s="95">
        <v>12357339.289999999</v>
      </c>
      <c r="G54" s="95">
        <v>0</v>
      </c>
      <c r="H54" s="95">
        <v>12357339.289999999</v>
      </c>
    </row>
    <row r="55" spans="1:8" ht="19.8" customHeight="1" x14ac:dyDescent="0.3">
      <c r="A55" s="98">
        <f t="shared" si="0"/>
        <v>11</v>
      </c>
      <c r="B55" s="92" t="s">
        <v>1095</v>
      </c>
      <c r="C55" s="92" t="s">
        <v>1094</v>
      </c>
      <c r="D55" s="95">
        <v>16956710.890000001</v>
      </c>
      <c r="E55" s="95">
        <v>16956710.890000001</v>
      </c>
      <c r="F55" s="95">
        <v>0</v>
      </c>
      <c r="G55" s="95">
        <v>0</v>
      </c>
      <c r="H55" s="95">
        <v>0</v>
      </c>
    </row>
    <row r="56" spans="1:8" ht="19.8" customHeight="1" x14ac:dyDescent="0.3">
      <c r="A56" s="98">
        <f t="shared" si="0"/>
        <v>11</v>
      </c>
      <c r="B56" s="92" t="s">
        <v>1096</v>
      </c>
      <c r="C56" s="92" t="s">
        <v>1097</v>
      </c>
      <c r="D56" s="95">
        <v>203894317.69</v>
      </c>
      <c r="E56" s="95">
        <v>191536978.40000001</v>
      </c>
      <c r="F56" s="95">
        <v>12357339.289999999</v>
      </c>
      <c r="G56" s="95">
        <v>0</v>
      </c>
      <c r="H56" s="95">
        <v>12357339.289999999</v>
      </c>
    </row>
    <row r="57" spans="1:8" ht="19.8" customHeight="1" x14ac:dyDescent="0.3">
      <c r="A57" s="98">
        <f t="shared" si="0"/>
        <v>11</v>
      </c>
      <c r="B57" s="92" t="s">
        <v>1098</v>
      </c>
      <c r="C57" s="92" t="s">
        <v>1099</v>
      </c>
      <c r="D57" s="95">
        <v>8208520.71</v>
      </c>
      <c r="E57" s="95">
        <v>8208520.71</v>
      </c>
      <c r="F57" s="95">
        <v>0</v>
      </c>
      <c r="G57" s="95">
        <v>0</v>
      </c>
      <c r="H57" s="95">
        <v>0</v>
      </c>
    </row>
    <row r="58" spans="1:8" ht="19.8" customHeight="1" x14ac:dyDescent="0.3">
      <c r="A58" s="98">
        <f t="shared" si="0"/>
        <v>3</v>
      </c>
      <c r="B58" s="92" t="s">
        <v>171</v>
      </c>
      <c r="C58" s="92" t="s">
        <v>306</v>
      </c>
      <c r="D58" s="95">
        <v>16800293193.77</v>
      </c>
      <c r="E58" s="95">
        <v>16430045047.620001</v>
      </c>
      <c r="F58" s="95">
        <v>370248146.14999998</v>
      </c>
      <c r="G58" s="95">
        <v>0</v>
      </c>
      <c r="H58" s="95">
        <v>370248146.14999998</v>
      </c>
    </row>
    <row r="59" spans="1:8" ht="19.8" customHeight="1" x14ac:dyDescent="0.3">
      <c r="A59" s="98">
        <f t="shared" si="0"/>
        <v>7</v>
      </c>
      <c r="B59" s="92" t="s">
        <v>1100</v>
      </c>
      <c r="C59" s="92" t="s">
        <v>1101</v>
      </c>
      <c r="D59" s="95">
        <v>15104607447.639999</v>
      </c>
      <c r="E59" s="95">
        <v>14747689440.969999</v>
      </c>
      <c r="F59" s="95">
        <v>356918006.67000002</v>
      </c>
      <c r="G59" s="95">
        <v>0</v>
      </c>
      <c r="H59" s="95">
        <v>356918006.67000002</v>
      </c>
    </row>
    <row r="60" spans="1:8" ht="19.8" customHeight="1" x14ac:dyDescent="0.3">
      <c r="A60" s="98">
        <f t="shared" si="0"/>
        <v>11</v>
      </c>
      <c r="B60" s="92" t="s">
        <v>1102</v>
      </c>
      <c r="C60" s="92" t="s">
        <v>1103</v>
      </c>
      <c r="D60" s="95">
        <v>7143135826.0299997</v>
      </c>
      <c r="E60" s="95">
        <v>7018173300.54</v>
      </c>
      <c r="F60" s="95">
        <v>124962525.48999999</v>
      </c>
      <c r="G60" s="95">
        <v>0</v>
      </c>
      <c r="H60" s="95">
        <v>124962525.48999999</v>
      </c>
    </row>
    <row r="61" spans="1:8" ht="19.8" customHeight="1" x14ac:dyDescent="0.3">
      <c r="A61" s="98">
        <f t="shared" si="0"/>
        <v>15</v>
      </c>
      <c r="B61" s="92" t="s">
        <v>1104</v>
      </c>
      <c r="C61" s="92" t="s">
        <v>1105</v>
      </c>
      <c r="D61" s="95">
        <v>4619569677.3299999</v>
      </c>
      <c r="E61" s="95">
        <v>4616049149.5699997</v>
      </c>
      <c r="F61" s="95">
        <v>3520527.76</v>
      </c>
      <c r="G61" s="95">
        <v>0</v>
      </c>
      <c r="H61" s="95">
        <v>3520527.76</v>
      </c>
    </row>
    <row r="62" spans="1:8" ht="19.8" customHeight="1" x14ac:dyDescent="0.3">
      <c r="A62" s="98">
        <f t="shared" si="0"/>
        <v>15</v>
      </c>
      <c r="B62" s="92" t="s">
        <v>1106</v>
      </c>
      <c r="C62" s="92" t="s">
        <v>1107</v>
      </c>
      <c r="D62" s="95">
        <v>132352066.13</v>
      </c>
      <c r="E62" s="95">
        <v>132352066.13</v>
      </c>
      <c r="F62" s="95">
        <v>0</v>
      </c>
      <c r="G62" s="95">
        <v>0</v>
      </c>
      <c r="H62" s="95">
        <v>0</v>
      </c>
    </row>
    <row r="63" spans="1:8" ht="19.8" customHeight="1" x14ac:dyDescent="0.3">
      <c r="A63" s="98">
        <f t="shared" si="0"/>
        <v>15</v>
      </c>
      <c r="B63" s="92" t="s">
        <v>1108</v>
      </c>
      <c r="C63" s="92" t="s">
        <v>1109</v>
      </c>
      <c r="D63" s="95">
        <v>7468314.5499999998</v>
      </c>
      <c r="E63" s="95">
        <v>7346096.7000000002</v>
      </c>
      <c r="F63" s="95">
        <v>122217.85</v>
      </c>
      <c r="G63" s="95">
        <v>0</v>
      </c>
      <c r="H63" s="95">
        <v>122217.85</v>
      </c>
    </row>
    <row r="64" spans="1:8" ht="19.8" customHeight="1" x14ac:dyDescent="0.3">
      <c r="A64" s="98">
        <f t="shared" si="0"/>
        <v>15</v>
      </c>
      <c r="B64" s="92" t="s">
        <v>1110</v>
      </c>
      <c r="C64" s="92" t="s">
        <v>1111</v>
      </c>
      <c r="D64" s="95">
        <v>11878237.68</v>
      </c>
      <c r="E64" s="95">
        <v>11878237.68</v>
      </c>
      <c r="F64" s="95">
        <v>0</v>
      </c>
      <c r="G64" s="95">
        <v>0</v>
      </c>
      <c r="H64" s="95">
        <v>0</v>
      </c>
    </row>
    <row r="65" spans="1:8" ht="19.8" customHeight="1" x14ac:dyDescent="0.3">
      <c r="A65" s="98">
        <f t="shared" si="0"/>
        <v>15</v>
      </c>
      <c r="B65" s="92" t="s">
        <v>1112</v>
      </c>
      <c r="C65" s="92" t="s">
        <v>1113</v>
      </c>
      <c r="D65" s="95">
        <v>1473.66</v>
      </c>
      <c r="E65" s="95">
        <v>0</v>
      </c>
      <c r="F65" s="95">
        <v>1473.66</v>
      </c>
      <c r="G65" s="95">
        <v>0</v>
      </c>
      <c r="H65" s="95">
        <v>1473.66</v>
      </c>
    </row>
    <row r="66" spans="1:8" ht="19.8" customHeight="1" x14ac:dyDescent="0.3">
      <c r="A66" s="98">
        <f t="shared" si="0"/>
        <v>15</v>
      </c>
      <c r="B66" s="92" t="s">
        <v>1114</v>
      </c>
      <c r="C66" s="92" t="s">
        <v>1115</v>
      </c>
      <c r="D66" s="95">
        <v>9797283.6300000008</v>
      </c>
      <c r="E66" s="95">
        <v>9797283.6300000008</v>
      </c>
      <c r="F66" s="95">
        <v>0</v>
      </c>
      <c r="G66" s="95">
        <v>0</v>
      </c>
      <c r="H66" s="95">
        <v>0</v>
      </c>
    </row>
    <row r="67" spans="1:8" ht="19.8" customHeight="1" x14ac:dyDescent="0.3">
      <c r="A67" s="98">
        <f t="shared" ref="A67:A130" si="1">+LEN(B67)</f>
        <v>15</v>
      </c>
      <c r="B67" s="92" t="s">
        <v>1116</v>
      </c>
      <c r="C67" s="92" t="s">
        <v>1117</v>
      </c>
      <c r="D67" s="95">
        <v>15705851.6</v>
      </c>
      <c r="E67" s="95">
        <v>12887545.380000001</v>
      </c>
      <c r="F67" s="95">
        <v>2818306.22</v>
      </c>
      <c r="G67" s="95">
        <v>0</v>
      </c>
      <c r="H67" s="95">
        <v>2818306.22</v>
      </c>
    </row>
    <row r="68" spans="1:8" ht="19.8" customHeight="1" x14ac:dyDescent="0.3">
      <c r="A68" s="98">
        <f t="shared" si="1"/>
        <v>15</v>
      </c>
      <c r="B68" s="92" t="s">
        <v>1118</v>
      </c>
      <c r="C68" s="92" t="s">
        <v>1119</v>
      </c>
      <c r="D68" s="95">
        <v>3497921.45</v>
      </c>
      <c r="E68" s="95">
        <v>3497921.45</v>
      </c>
      <c r="F68" s="95">
        <v>0</v>
      </c>
      <c r="G68" s="95">
        <v>0</v>
      </c>
      <c r="H68" s="95">
        <v>0</v>
      </c>
    </row>
    <row r="69" spans="1:8" ht="19.8" customHeight="1" x14ac:dyDescent="0.3">
      <c r="A69" s="98">
        <f t="shared" si="1"/>
        <v>15</v>
      </c>
      <c r="B69" s="92" t="s">
        <v>1120</v>
      </c>
      <c r="C69" s="92" t="s">
        <v>1121</v>
      </c>
      <c r="D69" s="95">
        <v>2342865000</v>
      </c>
      <c r="E69" s="95">
        <v>2224365000</v>
      </c>
      <c r="F69" s="95">
        <v>118500000</v>
      </c>
      <c r="G69" s="95">
        <v>0</v>
      </c>
      <c r="H69" s="95">
        <v>118500000</v>
      </c>
    </row>
    <row r="70" spans="1:8" ht="19.8" customHeight="1" x14ac:dyDescent="0.3">
      <c r="A70" s="98">
        <f t="shared" si="1"/>
        <v>11</v>
      </c>
      <c r="B70" s="92" t="s">
        <v>1122</v>
      </c>
      <c r="C70" s="92" t="s">
        <v>1123</v>
      </c>
      <c r="D70" s="95">
        <v>1472095.81</v>
      </c>
      <c r="E70" s="95">
        <v>1348790.3</v>
      </c>
      <c r="F70" s="95">
        <v>123305.51</v>
      </c>
      <c r="G70" s="95">
        <v>0</v>
      </c>
      <c r="H70" s="95">
        <v>123305.51</v>
      </c>
    </row>
    <row r="71" spans="1:8" ht="19.8" customHeight="1" x14ac:dyDescent="0.3">
      <c r="A71" s="98">
        <f t="shared" si="1"/>
        <v>15</v>
      </c>
      <c r="B71" s="92" t="s">
        <v>1124</v>
      </c>
      <c r="C71" s="92" t="s">
        <v>1125</v>
      </c>
      <c r="D71" s="95">
        <v>1472095.81</v>
      </c>
      <c r="E71" s="95">
        <v>1348790.3</v>
      </c>
      <c r="F71" s="95">
        <v>123305.51</v>
      </c>
      <c r="G71" s="95">
        <v>0</v>
      </c>
      <c r="H71" s="95">
        <v>123305.51</v>
      </c>
    </row>
    <row r="72" spans="1:8" ht="19.8" customHeight="1" x14ac:dyDescent="0.3">
      <c r="A72" s="98">
        <f t="shared" si="1"/>
        <v>11</v>
      </c>
      <c r="B72" s="92" t="s">
        <v>1126</v>
      </c>
      <c r="C72" s="92" t="s">
        <v>1127</v>
      </c>
      <c r="D72" s="95">
        <v>34317659.909999996</v>
      </c>
      <c r="E72" s="95">
        <v>34217631.390000001</v>
      </c>
      <c r="F72" s="95">
        <v>100028.52</v>
      </c>
      <c r="G72" s="95">
        <v>0</v>
      </c>
      <c r="H72" s="95">
        <v>100028.52</v>
      </c>
    </row>
    <row r="73" spans="1:8" ht="19.8" customHeight="1" x14ac:dyDescent="0.3">
      <c r="A73" s="98">
        <f t="shared" si="1"/>
        <v>15</v>
      </c>
      <c r="B73" s="92" t="s">
        <v>1128</v>
      </c>
      <c r="C73" s="92" t="s">
        <v>1129</v>
      </c>
      <c r="D73" s="95">
        <v>34041659.909999996</v>
      </c>
      <c r="E73" s="95">
        <v>33941631.390000001</v>
      </c>
      <c r="F73" s="95">
        <v>100028.52</v>
      </c>
      <c r="G73" s="95">
        <v>0</v>
      </c>
      <c r="H73" s="95">
        <v>100028.52</v>
      </c>
    </row>
    <row r="74" spans="1:8" ht="19.8" customHeight="1" x14ac:dyDescent="0.3">
      <c r="A74" s="98">
        <f t="shared" si="1"/>
        <v>15</v>
      </c>
      <c r="B74" s="92" t="s">
        <v>1130</v>
      </c>
      <c r="C74" s="92" t="s">
        <v>1131</v>
      </c>
      <c r="D74" s="95">
        <v>276000</v>
      </c>
      <c r="E74" s="95">
        <v>276000</v>
      </c>
      <c r="F74" s="95">
        <v>0</v>
      </c>
      <c r="G74" s="95">
        <v>0</v>
      </c>
      <c r="H74" s="95">
        <v>0</v>
      </c>
    </row>
    <row r="75" spans="1:8" ht="19.8" customHeight="1" x14ac:dyDescent="0.3">
      <c r="A75" s="98">
        <f t="shared" si="1"/>
        <v>11</v>
      </c>
      <c r="B75" s="92" t="s">
        <v>1132</v>
      </c>
      <c r="C75" s="92" t="s">
        <v>1133</v>
      </c>
      <c r="D75" s="95">
        <v>488502877.22000003</v>
      </c>
      <c r="E75" s="95">
        <v>488247585.05000001</v>
      </c>
      <c r="F75" s="95">
        <v>255292.17</v>
      </c>
      <c r="G75" s="95">
        <v>0</v>
      </c>
      <c r="H75" s="95">
        <v>255292.17</v>
      </c>
    </row>
    <row r="76" spans="1:8" ht="19.8" customHeight="1" x14ac:dyDescent="0.3">
      <c r="A76" s="98">
        <f t="shared" si="1"/>
        <v>15</v>
      </c>
      <c r="B76" s="92" t="s">
        <v>1134</v>
      </c>
      <c r="C76" s="92" t="s">
        <v>1135</v>
      </c>
      <c r="D76" s="95">
        <v>81176732.329999998</v>
      </c>
      <c r="E76" s="95">
        <v>81046039.829999998</v>
      </c>
      <c r="F76" s="95">
        <v>130692.5</v>
      </c>
      <c r="G76" s="95">
        <v>0</v>
      </c>
      <c r="H76" s="95">
        <v>130692.5</v>
      </c>
    </row>
    <row r="77" spans="1:8" ht="19.8" customHeight="1" x14ac:dyDescent="0.3">
      <c r="A77" s="98">
        <f t="shared" si="1"/>
        <v>15</v>
      </c>
      <c r="B77" s="92" t="s">
        <v>1136</v>
      </c>
      <c r="C77" s="92" t="s">
        <v>1137</v>
      </c>
      <c r="D77" s="95">
        <v>13400513.630000001</v>
      </c>
      <c r="E77" s="95">
        <v>13275913.960000001</v>
      </c>
      <c r="F77" s="95">
        <v>124599.67</v>
      </c>
      <c r="G77" s="95">
        <v>0</v>
      </c>
      <c r="H77" s="95">
        <v>124599.67</v>
      </c>
    </row>
    <row r="78" spans="1:8" ht="19.8" customHeight="1" x14ac:dyDescent="0.3">
      <c r="A78" s="98">
        <f t="shared" si="1"/>
        <v>15</v>
      </c>
      <c r="B78" s="92" t="s">
        <v>1138</v>
      </c>
      <c r="C78" s="92" t="s">
        <v>1139</v>
      </c>
      <c r="D78" s="95">
        <v>122672361.76000001</v>
      </c>
      <c r="E78" s="95">
        <v>122672361.76000001</v>
      </c>
      <c r="F78" s="95">
        <v>0</v>
      </c>
      <c r="G78" s="95">
        <v>0</v>
      </c>
      <c r="H78" s="95">
        <v>0</v>
      </c>
    </row>
    <row r="79" spans="1:8" ht="19.8" customHeight="1" x14ac:dyDescent="0.3">
      <c r="A79" s="98">
        <f t="shared" si="1"/>
        <v>15</v>
      </c>
      <c r="B79" s="92" t="s">
        <v>1140</v>
      </c>
      <c r="C79" s="92" t="s">
        <v>1141</v>
      </c>
      <c r="D79" s="95">
        <v>32717800</v>
      </c>
      <c r="E79" s="95">
        <v>32717800</v>
      </c>
      <c r="F79" s="95">
        <v>0</v>
      </c>
      <c r="G79" s="95">
        <v>0</v>
      </c>
      <c r="H79" s="95">
        <v>0</v>
      </c>
    </row>
    <row r="80" spans="1:8" ht="19.8" customHeight="1" x14ac:dyDescent="0.3">
      <c r="A80" s="98">
        <f t="shared" si="1"/>
        <v>15</v>
      </c>
      <c r="B80" s="92" t="s">
        <v>1142</v>
      </c>
      <c r="C80" s="92" t="s">
        <v>1143</v>
      </c>
      <c r="D80" s="95">
        <v>52468009.490000002</v>
      </c>
      <c r="E80" s="95">
        <v>52468009.490000002</v>
      </c>
      <c r="F80" s="95">
        <v>0</v>
      </c>
      <c r="G80" s="95">
        <v>0</v>
      </c>
      <c r="H80" s="95">
        <v>0</v>
      </c>
    </row>
    <row r="81" spans="1:8" ht="19.8" customHeight="1" x14ac:dyDescent="0.3">
      <c r="A81" s="98">
        <f t="shared" si="1"/>
        <v>15</v>
      </c>
      <c r="B81" s="92" t="s">
        <v>1144</v>
      </c>
      <c r="C81" s="92" t="s">
        <v>1145</v>
      </c>
      <c r="D81" s="95">
        <v>51786260.009999998</v>
      </c>
      <c r="E81" s="95">
        <v>51786260.009999998</v>
      </c>
      <c r="F81" s="95">
        <v>0</v>
      </c>
      <c r="G81" s="95">
        <v>0</v>
      </c>
      <c r="H81" s="95">
        <v>0</v>
      </c>
    </row>
    <row r="82" spans="1:8" ht="19.8" customHeight="1" x14ac:dyDescent="0.3">
      <c r="A82" s="98">
        <f t="shared" si="1"/>
        <v>15</v>
      </c>
      <c r="B82" s="92" t="s">
        <v>1146</v>
      </c>
      <c r="C82" s="92" t="s">
        <v>1147</v>
      </c>
      <c r="D82" s="95">
        <v>134281200</v>
      </c>
      <c r="E82" s="95">
        <v>134281200</v>
      </c>
      <c r="F82" s="95">
        <v>0</v>
      </c>
      <c r="G82" s="95">
        <v>0</v>
      </c>
      <c r="H82" s="95">
        <v>0</v>
      </c>
    </row>
    <row r="83" spans="1:8" ht="19.8" customHeight="1" x14ac:dyDescent="0.3">
      <c r="A83" s="98">
        <f t="shared" si="1"/>
        <v>11</v>
      </c>
      <c r="B83" s="92" t="s">
        <v>1148</v>
      </c>
      <c r="C83" s="92" t="s">
        <v>1149</v>
      </c>
      <c r="D83" s="95">
        <v>1869325.93</v>
      </c>
      <c r="E83" s="95">
        <v>1600763.27</v>
      </c>
      <c r="F83" s="95">
        <v>268562.65999999997</v>
      </c>
      <c r="G83" s="95">
        <v>0</v>
      </c>
      <c r="H83" s="95">
        <v>268562.65999999997</v>
      </c>
    </row>
    <row r="84" spans="1:8" ht="19.8" customHeight="1" x14ac:dyDescent="0.3">
      <c r="A84" s="98">
        <f t="shared" si="1"/>
        <v>15</v>
      </c>
      <c r="B84" s="92" t="s">
        <v>1150</v>
      </c>
      <c r="C84" s="92" t="s">
        <v>1151</v>
      </c>
      <c r="D84" s="95">
        <v>1618669.04</v>
      </c>
      <c r="E84" s="95">
        <v>1400751.12</v>
      </c>
      <c r="F84" s="95">
        <v>217917.92</v>
      </c>
      <c r="G84" s="95">
        <v>0</v>
      </c>
      <c r="H84" s="95">
        <v>217917.92</v>
      </c>
    </row>
    <row r="85" spans="1:8" ht="19.8" customHeight="1" x14ac:dyDescent="0.3">
      <c r="A85" s="98">
        <f t="shared" si="1"/>
        <v>15</v>
      </c>
      <c r="B85" s="92" t="s">
        <v>1152</v>
      </c>
      <c r="C85" s="92" t="s">
        <v>1153</v>
      </c>
      <c r="D85" s="95">
        <v>250656.89</v>
      </c>
      <c r="E85" s="95">
        <v>200012.15</v>
      </c>
      <c r="F85" s="95">
        <v>50644.74</v>
      </c>
      <c r="G85" s="95">
        <v>0</v>
      </c>
      <c r="H85" s="95">
        <v>50644.74</v>
      </c>
    </row>
    <row r="86" spans="1:8" ht="19.8" customHeight="1" x14ac:dyDescent="0.3">
      <c r="A86" s="98">
        <f t="shared" si="1"/>
        <v>11</v>
      </c>
      <c r="B86" s="92" t="s">
        <v>1154</v>
      </c>
      <c r="C86" s="92" t="s">
        <v>1155</v>
      </c>
      <c r="D86" s="95">
        <v>1002342986.96</v>
      </c>
      <c r="E86" s="95">
        <v>999701416.10000002</v>
      </c>
      <c r="F86" s="95">
        <v>2641570.86</v>
      </c>
      <c r="G86" s="95">
        <v>0</v>
      </c>
      <c r="H86" s="95">
        <v>2641570.86</v>
      </c>
    </row>
    <row r="87" spans="1:8" ht="19.8" customHeight="1" x14ac:dyDescent="0.3">
      <c r="A87" s="98">
        <f t="shared" si="1"/>
        <v>15</v>
      </c>
      <c r="B87" s="92" t="s">
        <v>1156</v>
      </c>
      <c r="C87" s="92" t="s">
        <v>1157</v>
      </c>
      <c r="D87" s="95">
        <v>552890972.27999997</v>
      </c>
      <c r="E87" s="95">
        <v>552540972.27999997</v>
      </c>
      <c r="F87" s="95">
        <v>350000</v>
      </c>
      <c r="G87" s="95">
        <v>0</v>
      </c>
      <c r="H87" s="95">
        <v>350000</v>
      </c>
    </row>
    <row r="88" spans="1:8" ht="19.8" customHeight="1" x14ac:dyDescent="0.3">
      <c r="A88" s="98">
        <f t="shared" si="1"/>
        <v>15</v>
      </c>
      <c r="B88" s="92" t="s">
        <v>1158</v>
      </c>
      <c r="C88" s="92" t="s">
        <v>1159</v>
      </c>
      <c r="D88" s="95">
        <v>115393425.56999999</v>
      </c>
      <c r="E88" s="95">
        <v>113583264.02</v>
      </c>
      <c r="F88" s="95">
        <v>1810161.55</v>
      </c>
      <c r="G88" s="95">
        <v>0</v>
      </c>
      <c r="H88" s="95">
        <v>1810161.55</v>
      </c>
    </row>
    <row r="89" spans="1:8" ht="19.8" customHeight="1" x14ac:dyDescent="0.3">
      <c r="A89" s="98">
        <f t="shared" si="1"/>
        <v>15</v>
      </c>
      <c r="B89" s="92" t="s">
        <v>1160</v>
      </c>
      <c r="C89" s="92" t="s">
        <v>1161</v>
      </c>
      <c r="D89" s="95">
        <v>68296883.560000002</v>
      </c>
      <c r="E89" s="95">
        <v>67815474.25</v>
      </c>
      <c r="F89" s="95">
        <v>481409.31</v>
      </c>
      <c r="G89" s="95">
        <v>0</v>
      </c>
      <c r="H89" s="95">
        <v>481409.31</v>
      </c>
    </row>
    <row r="90" spans="1:8" ht="19.8" customHeight="1" x14ac:dyDescent="0.3">
      <c r="A90" s="98">
        <f t="shared" si="1"/>
        <v>15</v>
      </c>
      <c r="B90" s="92" t="s">
        <v>1162</v>
      </c>
      <c r="C90" s="92" t="s">
        <v>1163</v>
      </c>
      <c r="D90" s="95">
        <v>75761705.549999997</v>
      </c>
      <c r="E90" s="95">
        <v>75761705.549999997</v>
      </c>
      <c r="F90" s="95">
        <v>0</v>
      </c>
      <c r="G90" s="95">
        <v>0</v>
      </c>
      <c r="H90" s="95">
        <v>0</v>
      </c>
    </row>
    <row r="91" spans="1:8" ht="19.8" customHeight="1" x14ac:dyDescent="0.3">
      <c r="A91" s="98">
        <f t="shared" si="1"/>
        <v>15</v>
      </c>
      <c r="B91" s="92" t="s">
        <v>1164</v>
      </c>
      <c r="C91" s="92" t="s">
        <v>1165</v>
      </c>
      <c r="D91" s="95">
        <v>190000000</v>
      </c>
      <c r="E91" s="95">
        <v>190000000</v>
      </c>
      <c r="F91" s="95">
        <v>0</v>
      </c>
      <c r="G91" s="95">
        <v>0</v>
      </c>
      <c r="H91" s="95">
        <v>0</v>
      </c>
    </row>
    <row r="92" spans="1:8" ht="19.8" customHeight="1" x14ac:dyDescent="0.3">
      <c r="A92" s="98">
        <f t="shared" si="1"/>
        <v>11</v>
      </c>
      <c r="B92" s="92" t="s">
        <v>1166</v>
      </c>
      <c r="C92" s="92" t="s">
        <v>1167</v>
      </c>
      <c r="D92" s="95">
        <v>478583596.13999999</v>
      </c>
      <c r="E92" s="95">
        <v>477331194.48000002</v>
      </c>
      <c r="F92" s="95">
        <v>1252401.6599999999</v>
      </c>
      <c r="G92" s="95">
        <v>0</v>
      </c>
      <c r="H92" s="95">
        <v>1252401.6599999999</v>
      </c>
    </row>
    <row r="93" spans="1:8" ht="19.8" customHeight="1" x14ac:dyDescent="0.3">
      <c r="A93" s="98">
        <f t="shared" si="1"/>
        <v>15</v>
      </c>
      <c r="B93" s="92" t="s">
        <v>1168</v>
      </c>
      <c r="C93" s="92" t="s">
        <v>1169</v>
      </c>
      <c r="D93" s="95">
        <v>11854711.6</v>
      </c>
      <c r="E93" s="95">
        <v>11854711.6</v>
      </c>
      <c r="F93" s="95">
        <v>0</v>
      </c>
      <c r="G93" s="95">
        <v>0</v>
      </c>
      <c r="H93" s="95">
        <v>0</v>
      </c>
    </row>
    <row r="94" spans="1:8" ht="19.8" customHeight="1" x14ac:dyDescent="0.3">
      <c r="A94" s="98">
        <f t="shared" si="1"/>
        <v>15</v>
      </c>
      <c r="B94" s="92" t="s">
        <v>1170</v>
      </c>
      <c r="C94" s="92" t="s">
        <v>1171</v>
      </c>
      <c r="D94" s="95">
        <v>4677524.09</v>
      </c>
      <c r="E94" s="95">
        <v>4677524.09</v>
      </c>
      <c r="F94" s="95">
        <v>0</v>
      </c>
      <c r="G94" s="95">
        <v>0</v>
      </c>
      <c r="H94" s="95">
        <v>0</v>
      </c>
    </row>
    <row r="95" spans="1:8" ht="19.8" customHeight="1" x14ac:dyDescent="0.3">
      <c r="A95" s="98">
        <f t="shared" si="1"/>
        <v>15</v>
      </c>
      <c r="B95" s="92" t="s">
        <v>1172</v>
      </c>
      <c r="C95" s="92" t="s">
        <v>1173</v>
      </c>
      <c r="D95" s="95">
        <v>105050000</v>
      </c>
      <c r="E95" s="95">
        <v>105050000</v>
      </c>
      <c r="F95" s="95">
        <v>0</v>
      </c>
      <c r="G95" s="95">
        <v>0</v>
      </c>
      <c r="H95" s="95">
        <v>0</v>
      </c>
    </row>
    <row r="96" spans="1:8" ht="19.8" customHeight="1" x14ac:dyDescent="0.3">
      <c r="A96" s="98">
        <f t="shared" si="1"/>
        <v>15</v>
      </c>
      <c r="B96" s="92" t="s">
        <v>1174</v>
      </c>
      <c r="C96" s="92" t="s">
        <v>1175</v>
      </c>
      <c r="D96" s="95">
        <v>2174230.21</v>
      </c>
      <c r="E96" s="95">
        <v>2174230.21</v>
      </c>
      <c r="F96" s="95">
        <v>0</v>
      </c>
      <c r="G96" s="95">
        <v>0</v>
      </c>
      <c r="H96" s="95">
        <v>0</v>
      </c>
    </row>
    <row r="97" spans="1:8" ht="19.8" customHeight="1" x14ac:dyDescent="0.3">
      <c r="A97" s="98">
        <f t="shared" si="1"/>
        <v>15</v>
      </c>
      <c r="B97" s="92" t="s">
        <v>1176</v>
      </c>
      <c r="C97" s="92" t="s">
        <v>1177</v>
      </c>
      <c r="D97" s="95">
        <v>255625840.15000001</v>
      </c>
      <c r="E97" s="95">
        <v>254978377.81999999</v>
      </c>
      <c r="F97" s="95">
        <v>647462.32999999996</v>
      </c>
      <c r="G97" s="95">
        <v>0</v>
      </c>
      <c r="H97" s="95">
        <v>647462.32999999996</v>
      </c>
    </row>
    <row r="98" spans="1:8" ht="19.8" customHeight="1" x14ac:dyDescent="0.3">
      <c r="A98" s="98">
        <f t="shared" si="1"/>
        <v>15</v>
      </c>
      <c r="B98" s="92" t="s">
        <v>1178</v>
      </c>
      <c r="C98" s="92" t="s">
        <v>1179</v>
      </c>
      <c r="D98" s="95">
        <v>66600082.409999996</v>
      </c>
      <c r="E98" s="95">
        <v>66434382.670000002</v>
      </c>
      <c r="F98" s="95">
        <v>165699.74</v>
      </c>
      <c r="G98" s="95">
        <v>0</v>
      </c>
      <c r="H98" s="95">
        <v>165699.74</v>
      </c>
    </row>
    <row r="99" spans="1:8" ht="19.8" customHeight="1" x14ac:dyDescent="0.3">
      <c r="A99" s="98">
        <f t="shared" si="1"/>
        <v>15</v>
      </c>
      <c r="B99" s="92" t="s">
        <v>1180</v>
      </c>
      <c r="C99" s="92" t="s">
        <v>1181</v>
      </c>
      <c r="D99" s="95">
        <v>32346751.73</v>
      </c>
      <c r="E99" s="95">
        <v>31907958.16</v>
      </c>
      <c r="F99" s="95">
        <v>438793.57</v>
      </c>
      <c r="G99" s="95">
        <v>0</v>
      </c>
      <c r="H99" s="95">
        <v>438793.57</v>
      </c>
    </row>
    <row r="100" spans="1:8" ht="19.8" customHeight="1" x14ac:dyDescent="0.3">
      <c r="A100" s="98">
        <f t="shared" si="1"/>
        <v>15</v>
      </c>
      <c r="B100" s="92" t="s">
        <v>1182</v>
      </c>
      <c r="C100" s="92" t="s">
        <v>1183</v>
      </c>
      <c r="D100" s="95">
        <v>254455.95</v>
      </c>
      <c r="E100" s="95">
        <v>254009.93</v>
      </c>
      <c r="F100" s="95">
        <v>446.02</v>
      </c>
      <c r="G100" s="95">
        <v>0</v>
      </c>
      <c r="H100" s="95">
        <v>446.02</v>
      </c>
    </row>
    <row r="101" spans="1:8" ht="19.8" customHeight="1" x14ac:dyDescent="0.3">
      <c r="A101" s="98">
        <f t="shared" si="1"/>
        <v>11</v>
      </c>
      <c r="B101" s="92" t="s">
        <v>1184</v>
      </c>
      <c r="C101" s="92" t="s">
        <v>1185</v>
      </c>
      <c r="D101" s="95">
        <v>192465051.50999999</v>
      </c>
      <c r="E101" s="95">
        <v>191375672.65000001</v>
      </c>
      <c r="F101" s="95">
        <v>1089378.8600000001</v>
      </c>
      <c r="G101" s="95">
        <v>0</v>
      </c>
      <c r="H101" s="95">
        <v>1089378.8600000001</v>
      </c>
    </row>
    <row r="102" spans="1:8" ht="19.8" customHeight="1" x14ac:dyDescent="0.3">
      <c r="A102" s="98">
        <f t="shared" si="1"/>
        <v>15</v>
      </c>
      <c r="B102" s="92" t="s">
        <v>1186</v>
      </c>
      <c r="C102" s="92" t="s">
        <v>1187</v>
      </c>
      <c r="D102" s="95">
        <v>150049657.28999999</v>
      </c>
      <c r="E102" s="95">
        <v>148960278.43000001</v>
      </c>
      <c r="F102" s="95">
        <v>1089378.8600000001</v>
      </c>
      <c r="G102" s="95">
        <v>0</v>
      </c>
      <c r="H102" s="95">
        <v>1089378.8600000001</v>
      </c>
    </row>
    <row r="103" spans="1:8" ht="19.8" customHeight="1" x14ac:dyDescent="0.3">
      <c r="A103" s="98">
        <f t="shared" si="1"/>
        <v>15</v>
      </c>
      <c r="B103" s="92" t="s">
        <v>1188</v>
      </c>
      <c r="C103" s="92" t="s">
        <v>1189</v>
      </c>
      <c r="D103" s="95">
        <v>24415394.219999999</v>
      </c>
      <c r="E103" s="95">
        <v>24415394.219999999</v>
      </c>
      <c r="F103" s="95">
        <v>0</v>
      </c>
      <c r="G103" s="95">
        <v>0</v>
      </c>
      <c r="H103" s="95">
        <v>0</v>
      </c>
    </row>
    <row r="104" spans="1:8" ht="19.8" customHeight="1" x14ac:dyDescent="0.3">
      <c r="A104" s="98">
        <f t="shared" si="1"/>
        <v>15</v>
      </c>
      <c r="B104" s="92" t="s">
        <v>1190</v>
      </c>
      <c r="C104" s="92" t="s">
        <v>1191</v>
      </c>
      <c r="D104" s="95">
        <v>18000000</v>
      </c>
      <c r="E104" s="95">
        <v>18000000</v>
      </c>
      <c r="F104" s="95">
        <v>0</v>
      </c>
      <c r="G104" s="95">
        <v>0</v>
      </c>
      <c r="H104" s="95">
        <v>0</v>
      </c>
    </row>
    <row r="105" spans="1:8" ht="19.8" customHeight="1" x14ac:dyDescent="0.3">
      <c r="A105" s="98">
        <f t="shared" si="1"/>
        <v>11</v>
      </c>
      <c r="B105" s="92" t="s">
        <v>1192</v>
      </c>
      <c r="C105" s="92" t="s">
        <v>1193</v>
      </c>
      <c r="D105" s="95">
        <v>284335969.44</v>
      </c>
      <c r="E105" s="95">
        <v>279927537.67000002</v>
      </c>
      <c r="F105" s="95">
        <v>4408431.7699999996</v>
      </c>
      <c r="G105" s="95">
        <v>0</v>
      </c>
      <c r="H105" s="95">
        <v>4408431.7699999996</v>
      </c>
    </row>
    <row r="106" spans="1:8" ht="19.8" customHeight="1" x14ac:dyDescent="0.3">
      <c r="A106" s="98">
        <f t="shared" si="1"/>
        <v>15</v>
      </c>
      <c r="B106" s="92" t="s">
        <v>1194</v>
      </c>
      <c r="C106" s="92" t="s">
        <v>1195</v>
      </c>
      <c r="D106" s="95">
        <v>14100000</v>
      </c>
      <c r="E106" s="95">
        <v>14100000</v>
      </c>
      <c r="F106" s="95">
        <v>0</v>
      </c>
      <c r="G106" s="95">
        <v>0</v>
      </c>
      <c r="H106" s="95">
        <v>0</v>
      </c>
    </row>
    <row r="107" spans="1:8" ht="19.8" customHeight="1" x14ac:dyDescent="0.3">
      <c r="A107" s="98">
        <f t="shared" si="1"/>
        <v>15</v>
      </c>
      <c r="B107" s="92" t="s">
        <v>1196</v>
      </c>
      <c r="C107" s="92" t="s">
        <v>1197</v>
      </c>
      <c r="D107" s="95">
        <v>4965261.46</v>
      </c>
      <c r="E107" s="95">
        <v>2960000</v>
      </c>
      <c r="F107" s="95">
        <v>2005261.46</v>
      </c>
      <c r="G107" s="95">
        <v>0</v>
      </c>
      <c r="H107" s="95">
        <v>2005261.46</v>
      </c>
    </row>
    <row r="108" spans="1:8" ht="19.8" customHeight="1" x14ac:dyDescent="0.3">
      <c r="A108" s="98">
        <f t="shared" si="1"/>
        <v>15</v>
      </c>
      <c r="B108" s="92" t="s">
        <v>1198</v>
      </c>
      <c r="C108" s="92" t="s">
        <v>1199</v>
      </c>
      <c r="D108" s="95">
        <v>142805214.99000001</v>
      </c>
      <c r="E108" s="95">
        <v>142106745.31999999</v>
      </c>
      <c r="F108" s="95">
        <v>698469.67</v>
      </c>
      <c r="G108" s="95">
        <v>0</v>
      </c>
      <c r="H108" s="95">
        <v>698469.67</v>
      </c>
    </row>
    <row r="109" spans="1:8" ht="19.8" customHeight="1" x14ac:dyDescent="0.3">
      <c r="A109" s="98">
        <f t="shared" si="1"/>
        <v>15</v>
      </c>
      <c r="B109" s="92" t="s">
        <v>1200</v>
      </c>
      <c r="C109" s="92" t="s">
        <v>1201</v>
      </c>
      <c r="D109" s="95">
        <v>36499624.789999999</v>
      </c>
      <c r="E109" s="95">
        <v>36050596.880000003</v>
      </c>
      <c r="F109" s="95">
        <v>449027.91</v>
      </c>
      <c r="G109" s="95">
        <v>0</v>
      </c>
      <c r="H109" s="95">
        <v>449027.91</v>
      </c>
    </row>
    <row r="110" spans="1:8" ht="19.8" customHeight="1" x14ac:dyDescent="0.3">
      <c r="A110" s="98">
        <f t="shared" si="1"/>
        <v>15</v>
      </c>
      <c r="B110" s="92" t="s">
        <v>1202</v>
      </c>
      <c r="C110" s="92" t="s">
        <v>1203</v>
      </c>
      <c r="D110" s="95">
        <v>85965868.200000003</v>
      </c>
      <c r="E110" s="95">
        <v>84710195.469999999</v>
      </c>
      <c r="F110" s="95">
        <v>1255672.73</v>
      </c>
      <c r="G110" s="95">
        <v>0</v>
      </c>
      <c r="H110" s="95">
        <v>1255672.73</v>
      </c>
    </row>
    <row r="111" spans="1:8" ht="19.8" customHeight="1" x14ac:dyDescent="0.3">
      <c r="A111" s="98">
        <f t="shared" si="1"/>
        <v>11</v>
      </c>
      <c r="B111" s="92" t="s">
        <v>1204</v>
      </c>
      <c r="C111" s="92" t="s">
        <v>1205</v>
      </c>
      <c r="D111" s="95">
        <v>4998447363.3400002</v>
      </c>
      <c r="E111" s="95">
        <v>4793710638.2200003</v>
      </c>
      <c r="F111" s="95">
        <v>204736725.12</v>
      </c>
      <c r="G111" s="95">
        <v>0</v>
      </c>
      <c r="H111" s="95">
        <v>204736725.12</v>
      </c>
    </row>
    <row r="112" spans="1:8" ht="19.8" customHeight="1" x14ac:dyDescent="0.3">
      <c r="A112" s="98">
        <f t="shared" si="1"/>
        <v>15</v>
      </c>
      <c r="B112" s="92" t="s">
        <v>1206</v>
      </c>
      <c r="C112" s="92" t="s">
        <v>1207</v>
      </c>
      <c r="D112" s="95">
        <v>2873739650.4499998</v>
      </c>
      <c r="E112" s="95">
        <v>2873628698.4499998</v>
      </c>
      <c r="F112" s="95">
        <v>110952</v>
      </c>
      <c r="G112" s="95">
        <v>0</v>
      </c>
      <c r="H112" s="95">
        <v>110952</v>
      </c>
    </row>
    <row r="113" spans="1:8" ht="19.8" customHeight="1" x14ac:dyDescent="0.3">
      <c r="A113" s="98">
        <f t="shared" si="1"/>
        <v>15</v>
      </c>
      <c r="B113" s="92" t="s">
        <v>1208</v>
      </c>
      <c r="C113" s="92" t="s">
        <v>1209</v>
      </c>
      <c r="D113" s="95">
        <v>102037197.73</v>
      </c>
      <c r="E113" s="95">
        <v>102034749.28</v>
      </c>
      <c r="F113" s="95">
        <v>2448.4499999999998</v>
      </c>
      <c r="G113" s="95">
        <v>0</v>
      </c>
      <c r="H113" s="95">
        <v>2448.4499999999998</v>
      </c>
    </row>
    <row r="114" spans="1:8" ht="19.8" customHeight="1" x14ac:dyDescent="0.3">
      <c r="A114" s="98">
        <f t="shared" si="1"/>
        <v>15</v>
      </c>
      <c r="B114" s="92" t="s">
        <v>1210</v>
      </c>
      <c r="C114" s="92" t="s">
        <v>1211</v>
      </c>
      <c r="D114" s="95">
        <v>1744133351.5999999</v>
      </c>
      <c r="E114" s="95">
        <v>1544899999.6199999</v>
      </c>
      <c r="F114" s="95">
        <v>199233351.97999999</v>
      </c>
      <c r="G114" s="95">
        <v>0</v>
      </c>
      <c r="H114" s="95">
        <v>199233351.97999999</v>
      </c>
    </row>
    <row r="115" spans="1:8" ht="19.8" customHeight="1" x14ac:dyDescent="0.3">
      <c r="A115" s="98">
        <f t="shared" si="1"/>
        <v>15</v>
      </c>
      <c r="B115" s="92" t="s">
        <v>1212</v>
      </c>
      <c r="C115" s="92" t="s">
        <v>1213</v>
      </c>
      <c r="D115" s="95">
        <v>33817320.009999998</v>
      </c>
      <c r="E115" s="95">
        <v>33817298.670000002</v>
      </c>
      <c r="F115" s="95">
        <v>21.340000000000099</v>
      </c>
      <c r="G115" s="95">
        <v>0</v>
      </c>
      <c r="H115" s="95">
        <v>21.340000000000099</v>
      </c>
    </row>
    <row r="116" spans="1:8" ht="19.8" customHeight="1" x14ac:dyDescent="0.3">
      <c r="A116" s="98">
        <f t="shared" si="1"/>
        <v>15</v>
      </c>
      <c r="B116" s="92" t="s">
        <v>1214</v>
      </c>
      <c r="C116" s="92" t="s">
        <v>1215</v>
      </c>
      <c r="D116" s="95">
        <v>165050762.16</v>
      </c>
      <c r="E116" s="95">
        <v>164850661.90000001</v>
      </c>
      <c r="F116" s="95">
        <v>200100.26</v>
      </c>
      <c r="G116" s="95">
        <v>0</v>
      </c>
      <c r="H116" s="95">
        <v>200100.26</v>
      </c>
    </row>
    <row r="117" spans="1:8" ht="19.8" customHeight="1" x14ac:dyDescent="0.3">
      <c r="A117" s="98">
        <f t="shared" si="1"/>
        <v>15</v>
      </c>
      <c r="B117" s="92" t="s">
        <v>1216</v>
      </c>
      <c r="C117" s="92" t="s">
        <v>1217</v>
      </c>
      <c r="D117" s="95">
        <v>42881779.479999997</v>
      </c>
      <c r="E117" s="95">
        <v>42691928.390000001</v>
      </c>
      <c r="F117" s="95">
        <v>189851.09</v>
      </c>
      <c r="G117" s="95">
        <v>0</v>
      </c>
      <c r="H117" s="95">
        <v>189851.09</v>
      </c>
    </row>
    <row r="118" spans="1:8" ht="19.8" customHeight="1" x14ac:dyDescent="0.3">
      <c r="A118" s="98">
        <f t="shared" si="1"/>
        <v>15</v>
      </c>
      <c r="B118" s="92" t="s">
        <v>1218</v>
      </c>
      <c r="C118" s="92" t="s">
        <v>1219</v>
      </c>
      <c r="D118" s="95">
        <v>36787301.909999996</v>
      </c>
      <c r="E118" s="95">
        <v>31787301.91</v>
      </c>
      <c r="F118" s="95">
        <v>5000000</v>
      </c>
      <c r="G118" s="95">
        <v>0</v>
      </c>
      <c r="H118" s="95">
        <v>5000000</v>
      </c>
    </row>
    <row r="119" spans="1:8" ht="19.8" customHeight="1" x14ac:dyDescent="0.3">
      <c r="A119" s="98">
        <f t="shared" si="1"/>
        <v>11</v>
      </c>
      <c r="B119" s="92" t="s">
        <v>1220</v>
      </c>
      <c r="C119" s="92" t="s">
        <v>1221</v>
      </c>
      <c r="D119" s="95">
        <v>30681451.93</v>
      </c>
      <c r="E119" s="95">
        <v>30378648.34</v>
      </c>
      <c r="F119" s="95">
        <v>302803.59000000003</v>
      </c>
      <c r="G119" s="95">
        <v>0</v>
      </c>
      <c r="H119" s="95">
        <v>302803.59000000003</v>
      </c>
    </row>
    <row r="120" spans="1:8" ht="19.8" customHeight="1" x14ac:dyDescent="0.3">
      <c r="A120" s="98">
        <f t="shared" si="1"/>
        <v>15</v>
      </c>
      <c r="B120" s="92" t="s">
        <v>1222</v>
      </c>
      <c r="C120" s="92" t="s">
        <v>1223</v>
      </c>
      <c r="D120" s="95">
        <v>17310300.670000002</v>
      </c>
      <c r="E120" s="95">
        <v>17018371.239999998</v>
      </c>
      <c r="F120" s="95">
        <v>291929.43</v>
      </c>
      <c r="G120" s="95">
        <v>0</v>
      </c>
      <c r="H120" s="95">
        <v>291929.43</v>
      </c>
    </row>
    <row r="121" spans="1:8" ht="19.8" customHeight="1" x14ac:dyDescent="0.3">
      <c r="A121" s="98">
        <f t="shared" si="1"/>
        <v>15</v>
      </c>
      <c r="B121" s="92" t="s">
        <v>1224</v>
      </c>
      <c r="C121" s="92" t="s">
        <v>1225</v>
      </c>
      <c r="D121" s="95">
        <v>13371151.26</v>
      </c>
      <c r="E121" s="95">
        <v>13360277.1</v>
      </c>
      <c r="F121" s="95">
        <v>10874.16</v>
      </c>
      <c r="G121" s="95">
        <v>0</v>
      </c>
      <c r="H121" s="95">
        <v>10874.16</v>
      </c>
    </row>
    <row r="122" spans="1:8" ht="19.8" customHeight="1" x14ac:dyDescent="0.3">
      <c r="A122" s="98">
        <f t="shared" si="1"/>
        <v>11</v>
      </c>
      <c r="B122" s="92" t="s">
        <v>1226</v>
      </c>
      <c r="C122" s="92" t="s">
        <v>1227</v>
      </c>
      <c r="D122" s="95">
        <v>19983546.02</v>
      </c>
      <c r="E122" s="95">
        <v>19949379.829999998</v>
      </c>
      <c r="F122" s="95">
        <v>34166.19</v>
      </c>
      <c r="G122" s="95">
        <v>0</v>
      </c>
      <c r="H122" s="95">
        <v>34166.19</v>
      </c>
    </row>
    <row r="123" spans="1:8" ht="19.8" customHeight="1" x14ac:dyDescent="0.3">
      <c r="A123" s="98">
        <f t="shared" si="1"/>
        <v>15</v>
      </c>
      <c r="B123" s="92" t="s">
        <v>1228</v>
      </c>
      <c r="C123" s="92" t="s">
        <v>1229</v>
      </c>
      <c r="D123" s="95">
        <v>19983546.02</v>
      </c>
      <c r="E123" s="95">
        <v>19949379.829999998</v>
      </c>
      <c r="F123" s="95">
        <v>34166.19</v>
      </c>
      <c r="G123" s="95">
        <v>0</v>
      </c>
      <c r="H123" s="95">
        <v>34166.19</v>
      </c>
    </row>
    <row r="124" spans="1:8" ht="19.8" customHeight="1" x14ac:dyDescent="0.3">
      <c r="A124" s="98">
        <f t="shared" si="1"/>
        <v>11</v>
      </c>
      <c r="B124" s="92" t="s">
        <v>1230</v>
      </c>
      <c r="C124" s="92" t="s">
        <v>1231</v>
      </c>
      <c r="D124" s="95">
        <v>28058306.469999999</v>
      </c>
      <c r="E124" s="95">
        <v>27613336.640000001</v>
      </c>
      <c r="F124" s="95">
        <v>444969.83</v>
      </c>
      <c r="G124" s="95">
        <v>0</v>
      </c>
      <c r="H124" s="95">
        <v>444969.83</v>
      </c>
    </row>
    <row r="125" spans="1:8" ht="19.8" customHeight="1" x14ac:dyDescent="0.3">
      <c r="A125" s="98">
        <f t="shared" si="1"/>
        <v>15</v>
      </c>
      <c r="B125" s="92" t="s">
        <v>1232</v>
      </c>
      <c r="C125" s="92" t="s">
        <v>1233</v>
      </c>
      <c r="D125" s="95">
        <v>28058306.469999999</v>
      </c>
      <c r="E125" s="95">
        <v>27613336.640000001</v>
      </c>
      <c r="F125" s="95">
        <v>444969.83</v>
      </c>
      <c r="G125" s="95">
        <v>0</v>
      </c>
      <c r="H125" s="95">
        <v>444969.83</v>
      </c>
    </row>
    <row r="126" spans="1:8" ht="19.8" customHeight="1" x14ac:dyDescent="0.3">
      <c r="A126" s="98">
        <f t="shared" si="1"/>
        <v>11</v>
      </c>
      <c r="B126" s="92" t="s">
        <v>1234</v>
      </c>
      <c r="C126" s="92" t="s">
        <v>1235</v>
      </c>
      <c r="D126" s="95">
        <v>139681297.47</v>
      </c>
      <c r="E126" s="95">
        <v>139272305.58000001</v>
      </c>
      <c r="F126" s="95">
        <v>408991.89</v>
      </c>
      <c r="G126" s="95">
        <v>0</v>
      </c>
      <c r="H126" s="95">
        <v>408991.89</v>
      </c>
    </row>
    <row r="127" spans="1:8" ht="19.8" customHeight="1" x14ac:dyDescent="0.3">
      <c r="A127" s="98">
        <f t="shared" si="1"/>
        <v>15</v>
      </c>
      <c r="B127" s="92" t="s">
        <v>1236</v>
      </c>
      <c r="C127" s="92" t="s">
        <v>1237</v>
      </c>
      <c r="D127" s="95">
        <v>130804232.28</v>
      </c>
      <c r="E127" s="95">
        <v>130395240.39</v>
      </c>
      <c r="F127" s="95">
        <v>408991.89</v>
      </c>
      <c r="G127" s="95">
        <v>0</v>
      </c>
      <c r="H127" s="95">
        <v>408991.89</v>
      </c>
    </row>
    <row r="128" spans="1:8" ht="19.8" customHeight="1" x14ac:dyDescent="0.3">
      <c r="A128" s="98">
        <f t="shared" si="1"/>
        <v>15</v>
      </c>
      <c r="B128" s="92" t="s">
        <v>1238</v>
      </c>
      <c r="C128" s="92" t="s">
        <v>1239</v>
      </c>
      <c r="D128" s="95">
        <v>4427065.1900000004</v>
      </c>
      <c r="E128" s="95">
        <v>4427065.1900000004</v>
      </c>
      <c r="F128" s="95">
        <v>0</v>
      </c>
      <c r="G128" s="95">
        <v>0</v>
      </c>
      <c r="H128" s="95">
        <v>0</v>
      </c>
    </row>
    <row r="129" spans="1:8" ht="19.8" customHeight="1" x14ac:dyDescent="0.3">
      <c r="A129" s="98">
        <f t="shared" si="1"/>
        <v>15</v>
      </c>
      <c r="B129" s="92" t="s">
        <v>1240</v>
      </c>
      <c r="C129" s="92" t="s">
        <v>1241</v>
      </c>
      <c r="D129" s="95">
        <v>4450000</v>
      </c>
      <c r="E129" s="95">
        <v>4450000</v>
      </c>
      <c r="F129" s="95">
        <v>0</v>
      </c>
      <c r="G129" s="95">
        <v>0</v>
      </c>
      <c r="H129" s="95">
        <v>0</v>
      </c>
    </row>
    <row r="130" spans="1:8" ht="19.8" customHeight="1" x14ac:dyDescent="0.3">
      <c r="A130" s="98">
        <f t="shared" si="1"/>
        <v>11</v>
      </c>
      <c r="B130" s="92" t="s">
        <v>1242</v>
      </c>
      <c r="C130" s="92" t="s">
        <v>1243</v>
      </c>
      <c r="D130" s="95">
        <v>41396601.509999998</v>
      </c>
      <c r="E130" s="95">
        <v>26380267.199999999</v>
      </c>
      <c r="F130" s="95">
        <v>15016334.310000001</v>
      </c>
      <c r="G130" s="95">
        <v>0</v>
      </c>
      <c r="H130" s="95">
        <v>15016334.310000001</v>
      </c>
    </row>
    <row r="131" spans="1:8" ht="19.8" customHeight="1" x14ac:dyDescent="0.3">
      <c r="A131" s="98">
        <f t="shared" ref="A131:A194" si="2">+LEN(B131)</f>
        <v>15</v>
      </c>
      <c r="B131" s="92" t="s">
        <v>1244</v>
      </c>
      <c r="C131" s="92" t="s">
        <v>1245</v>
      </c>
      <c r="D131" s="95">
        <v>41396601.509999998</v>
      </c>
      <c r="E131" s="95">
        <v>26380267.199999999</v>
      </c>
      <c r="F131" s="95">
        <v>15016334.310000001</v>
      </c>
      <c r="G131" s="95">
        <v>0</v>
      </c>
      <c r="H131" s="95">
        <v>15016334.310000001</v>
      </c>
    </row>
    <row r="132" spans="1:8" ht="19.8" customHeight="1" x14ac:dyDescent="0.3">
      <c r="A132" s="98">
        <f t="shared" si="2"/>
        <v>11</v>
      </c>
      <c r="B132" s="92" t="s">
        <v>1246</v>
      </c>
      <c r="C132" s="92" t="s">
        <v>1247</v>
      </c>
      <c r="D132" s="95">
        <v>179844621.13</v>
      </c>
      <c r="E132" s="95">
        <v>179701422.59999999</v>
      </c>
      <c r="F132" s="95">
        <v>143198.53</v>
      </c>
      <c r="G132" s="95">
        <v>0</v>
      </c>
      <c r="H132" s="95">
        <v>143198.53</v>
      </c>
    </row>
    <row r="133" spans="1:8" ht="19.8" customHeight="1" x14ac:dyDescent="0.3">
      <c r="A133" s="98">
        <f t="shared" si="2"/>
        <v>15</v>
      </c>
      <c r="B133" s="92" t="s">
        <v>1248</v>
      </c>
      <c r="C133" s="92" t="s">
        <v>1249</v>
      </c>
      <c r="D133" s="95">
        <v>125888060.54000001</v>
      </c>
      <c r="E133" s="95">
        <v>125744862.01000001</v>
      </c>
      <c r="F133" s="95">
        <v>143198.53</v>
      </c>
      <c r="G133" s="95">
        <v>0</v>
      </c>
      <c r="H133" s="95">
        <v>143198.53</v>
      </c>
    </row>
    <row r="134" spans="1:8" ht="19.8" customHeight="1" x14ac:dyDescent="0.3">
      <c r="A134" s="98">
        <f t="shared" si="2"/>
        <v>15</v>
      </c>
      <c r="B134" s="92" t="s">
        <v>1250</v>
      </c>
      <c r="C134" s="92" t="s">
        <v>1251</v>
      </c>
      <c r="D134" s="95">
        <v>52519321.219999999</v>
      </c>
      <c r="E134" s="95">
        <v>52519321.219999999</v>
      </c>
      <c r="F134" s="95">
        <v>0</v>
      </c>
      <c r="G134" s="95">
        <v>0</v>
      </c>
      <c r="H134" s="95">
        <v>0</v>
      </c>
    </row>
    <row r="135" spans="1:8" ht="19.8" customHeight="1" x14ac:dyDescent="0.3">
      <c r="A135" s="98">
        <f t="shared" si="2"/>
        <v>15</v>
      </c>
      <c r="B135" s="92" t="s">
        <v>1252</v>
      </c>
      <c r="C135" s="92" t="s">
        <v>1253</v>
      </c>
      <c r="D135" s="95">
        <v>1437239.37</v>
      </c>
      <c r="E135" s="95">
        <v>1437239.37</v>
      </c>
      <c r="F135" s="95">
        <v>0</v>
      </c>
      <c r="G135" s="95">
        <v>0</v>
      </c>
      <c r="H135" s="95">
        <v>0</v>
      </c>
    </row>
    <row r="136" spans="1:8" ht="19.8" customHeight="1" x14ac:dyDescent="0.3">
      <c r="A136" s="98">
        <f t="shared" si="2"/>
        <v>11</v>
      </c>
      <c r="B136" s="92" t="s">
        <v>1254</v>
      </c>
      <c r="C136" s="92" t="s">
        <v>1255</v>
      </c>
      <c r="D136" s="95">
        <v>25546313.260000002</v>
      </c>
      <c r="E136" s="95">
        <v>24966004.859999999</v>
      </c>
      <c r="F136" s="95">
        <v>580308.4</v>
      </c>
      <c r="G136" s="95">
        <v>0</v>
      </c>
      <c r="H136" s="95">
        <v>580308.4</v>
      </c>
    </row>
    <row r="137" spans="1:8" ht="19.8" customHeight="1" x14ac:dyDescent="0.3">
      <c r="A137" s="98">
        <f t="shared" si="2"/>
        <v>15</v>
      </c>
      <c r="B137" s="92" t="s">
        <v>1256</v>
      </c>
      <c r="C137" s="92" t="s">
        <v>1257</v>
      </c>
      <c r="D137" s="95">
        <v>25090160.260000002</v>
      </c>
      <c r="E137" s="95">
        <v>24966004.859999999</v>
      </c>
      <c r="F137" s="95">
        <v>124155.4</v>
      </c>
      <c r="G137" s="95">
        <v>0</v>
      </c>
      <c r="H137" s="95">
        <v>124155.4</v>
      </c>
    </row>
    <row r="138" spans="1:8" ht="19.8" customHeight="1" x14ac:dyDescent="0.3">
      <c r="A138" s="98">
        <f t="shared" si="2"/>
        <v>15</v>
      </c>
      <c r="B138" s="92" t="s">
        <v>1258</v>
      </c>
      <c r="C138" s="92" t="s">
        <v>1259</v>
      </c>
      <c r="D138" s="95">
        <v>456153</v>
      </c>
      <c r="E138" s="95">
        <v>0</v>
      </c>
      <c r="F138" s="95">
        <v>456153</v>
      </c>
      <c r="G138" s="95">
        <v>0</v>
      </c>
      <c r="H138" s="95">
        <v>456153</v>
      </c>
    </row>
    <row r="139" spans="1:8" ht="19.8" customHeight="1" x14ac:dyDescent="0.3">
      <c r="A139" s="98">
        <f t="shared" si="2"/>
        <v>11</v>
      </c>
      <c r="B139" s="92" t="s">
        <v>1260</v>
      </c>
      <c r="C139" s="92" t="s">
        <v>1261</v>
      </c>
      <c r="D139" s="95">
        <v>12942557.560000001</v>
      </c>
      <c r="E139" s="95">
        <v>12793546.25</v>
      </c>
      <c r="F139" s="95">
        <v>149011.31</v>
      </c>
      <c r="G139" s="95">
        <v>0</v>
      </c>
      <c r="H139" s="95">
        <v>149011.31</v>
      </c>
    </row>
    <row r="140" spans="1:8" ht="19.8" customHeight="1" x14ac:dyDescent="0.3">
      <c r="A140" s="98">
        <f t="shared" si="2"/>
        <v>15</v>
      </c>
      <c r="B140" s="92" t="s">
        <v>1262</v>
      </c>
      <c r="C140" s="92" t="s">
        <v>1263</v>
      </c>
      <c r="D140" s="95">
        <v>12942557.560000001</v>
      </c>
      <c r="E140" s="95">
        <v>12793546.25</v>
      </c>
      <c r="F140" s="95">
        <v>149011.31</v>
      </c>
      <c r="G140" s="95">
        <v>0</v>
      </c>
      <c r="H140" s="95">
        <v>149011.31</v>
      </c>
    </row>
    <row r="141" spans="1:8" ht="19.8" customHeight="1" x14ac:dyDescent="0.3">
      <c r="A141" s="98">
        <f t="shared" si="2"/>
        <v>11</v>
      </c>
      <c r="B141" s="92" t="s">
        <v>1264</v>
      </c>
      <c r="C141" s="92" t="s">
        <v>1265</v>
      </c>
      <c r="D141" s="95">
        <v>1000000</v>
      </c>
      <c r="E141" s="95">
        <v>1000000</v>
      </c>
      <c r="F141" s="95">
        <v>0</v>
      </c>
      <c r="G141" s="95">
        <v>0</v>
      </c>
      <c r="H141" s="95">
        <v>0</v>
      </c>
    </row>
    <row r="142" spans="1:8" ht="19.8" customHeight="1" x14ac:dyDescent="0.3">
      <c r="A142" s="98">
        <f t="shared" si="2"/>
        <v>15</v>
      </c>
      <c r="B142" s="92" t="s">
        <v>1266</v>
      </c>
      <c r="C142" s="92" t="s">
        <v>1267</v>
      </c>
      <c r="D142" s="95">
        <v>1000000</v>
      </c>
      <c r="E142" s="95">
        <v>1000000</v>
      </c>
      <c r="F142" s="95">
        <v>0</v>
      </c>
      <c r="G142" s="95">
        <v>0</v>
      </c>
      <c r="H142" s="95">
        <v>0</v>
      </c>
    </row>
    <row r="143" spans="1:8" ht="19.8" customHeight="1" x14ac:dyDescent="0.3">
      <c r="A143" s="98">
        <f t="shared" si="2"/>
        <v>7</v>
      </c>
      <c r="B143" s="92" t="s">
        <v>1268</v>
      </c>
      <c r="C143" s="92" t="s">
        <v>1269</v>
      </c>
      <c r="D143" s="95">
        <v>1695685746.1300001</v>
      </c>
      <c r="E143" s="95">
        <v>1682355606.6500001</v>
      </c>
      <c r="F143" s="95">
        <v>13330139.48</v>
      </c>
      <c r="G143" s="95">
        <v>0</v>
      </c>
      <c r="H143" s="95">
        <v>13330139.48</v>
      </c>
    </row>
    <row r="144" spans="1:8" ht="19.8" customHeight="1" x14ac:dyDescent="0.3">
      <c r="A144" s="98">
        <f t="shared" si="2"/>
        <v>11</v>
      </c>
      <c r="B144" s="92" t="s">
        <v>1270</v>
      </c>
      <c r="C144" s="92" t="s">
        <v>1271</v>
      </c>
      <c r="D144" s="95">
        <v>301537269.44999999</v>
      </c>
      <c r="E144" s="95">
        <v>299534280.92000002</v>
      </c>
      <c r="F144" s="95">
        <v>2002988.53</v>
      </c>
      <c r="G144" s="95">
        <v>0</v>
      </c>
      <c r="H144" s="95">
        <v>2002988.53</v>
      </c>
    </row>
    <row r="145" spans="1:8" ht="19.8" customHeight="1" x14ac:dyDescent="0.3">
      <c r="A145" s="98">
        <f t="shared" si="2"/>
        <v>11</v>
      </c>
      <c r="B145" s="92" t="s">
        <v>1272</v>
      </c>
      <c r="C145" s="92" t="s">
        <v>1273</v>
      </c>
      <c r="D145" s="95">
        <v>231627728.53999999</v>
      </c>
      <c r="E145" s="95">
        <v>231538635.46000001</v>
      </c>
      <c r="F145" s="95">
        <v>89093.08</v>
      </c>
      <c r="G145" s="95">
        <v>0</v>
      </c>
      <c r="H145" s="95">
        <v>89093.08</v>
      </c>
    </row>
    <row r="146" spans="1:8" ht="19.8" customHeight="1" x14ac:dyDescent="0.3">
      <c r="A146" s="98">
        <f t="shared" si="2"/>
        <v>11</v>
      </c>
      <c r="B146" s="92" t="s">
        <v>1274</v>
      </c>
      <c r="C146" s="92" t="s">
        <v>1275</v>
      </c>
      <c r="D146" s="95">
        <v>74360780</v>
      </c>
      <c r="E146" s="95">
        <v>72790870</v>
      </c>
      <c r="F146" s="95">
        <v>1569910</v>
      </c>
      <c r="G146" s="95">
        <v>0</v>
      </c>
      <c r="H146" s="95">
        <v>1569910</v>
      </c>
    </row>
    <row r="147" spans="1:8" ht="19.8" customHeight="1" x14ac:dyDescent="0.3">
      <c r="A147" s="98">
        <f t="shared" si="2"/>
        <v>11</v>
      </c>
      <c r="B147" s="92" t="s">
        <v>1276</v>
      </c>
      <c r="C147" s="92" t="s">
        <v>1277</v>
      </c>
      <c r="D147" s="95">
        <v>481156.68</v>
      </c>
      <c r="E147" s="95">
        <v>481156.68</v>
      </c>
      <c r="F147" s="95">
        <v>0</v>
      </c>
      <c r="G147" s="95">
        <v>0</v>
      </c>
      <c r="H147" s="95">
        <v>0</v>
      </c>
    </row>
    <row r="148" spans="1:8" ht="19.8" customHeight="1" x14ac:dyDescent="0.3">
      <c r="A148" s="98">
        <f t="shared" si="2"/>
        <v>11</v>
      </c>
      <c r="B148" s="92" t="s">
        <v>1278</v>
      </c>
      <c r="C148" s="92" t="s">
        <v>1279</v>
      </c>
      <c r="D148" s="95">
        <v>27073861.57</v>
      </c>
      <c r="E148" s="95">
        <v>27073861.57</v>
      </c>
      <c r="F148" s="95">
        <v>0</v>
      </c>
      <c r="G148" s="95">
        <v>0</v>
      </c>
      <c r="H148" s="95">
        <v>0</v>
      </c>
    </row>
    <row r="149" spans="1:8" ht="19.8" customHeight="1" x14ac:dyDescent="0.3">
      <c r="A149" s="98">
        <f t="shared" si="2"/>
        <v>11</v>
      </c>
      <c r="B149" s="92" t="s">
        <v>1280</v>
      </c>
      <c r="C149" s="92" t="s">
        <v>1281</v>
      </c>
      <c r="D149" s="95">
        <v>244474498.27000001</v>
      </c>
      <c r="E149" s="95">
        <v>240413066.59999999</v>
      </c>
      <c r="F149" s="95">
        <v>4061431.67</v>
      </c>
      <c r="G149" s="95">
        <v>0</v>
      </c>
      <c r="H149" s="95">
        <v>4061431.67</v>
      </c>
    </row>
    <row r="150" spans="1:8" ht="19.8" customHeight="1" x14ac:dyDescent="0.3">
      <c r="A150" s="98">
        <f t="shared" si="2"/>
        <v>11</v>
      </c>
      <c r="B150" s="92" t="s">
        <v>1282</v>
      </c>
      <c r="C150" s="92" t="s">
        <v>1283</v>
      </c>
      <c r="D150" s="95">
        <v>21680164.489999998</v>
      </c>
      <c r="E150" s="95">
        <v>21680164.489999998</v>
      </c>
      <c r="F150" s="95">
        <v>0</v>
      </c>
      <c r="G150" s="95">
        <v>0</v>
      </c>
      <c r="H150" s="95">
        <v>0</v>
      </c>
    </row>
    <row r="151" spans="1:8" ht="19.8" customHeight="1" x14ac:dyDescent="0.3">
      <c r="A151" s="98">
        <f t="shared" si="2"/>
        <v>11</v>
      </c>
      <c r="B151" s="92" t="s">
        <v>1284</v>
      </c>
      <c r="C151" s="92" t="s">
        <v>1285</v>
      </c>
      <c r="D151" s="95">
        <v>51500000</v>
      </c>
      <c r="E151" s="95">
        <v>51500000</v>
      </c>
      <c r="F151" s="95">
        <v>0</v>
      </c>
      <c r="G151" s="95">
        <v>0</v>
      </c>
      <c r="H151" s="95">
        <v>0</v>
      </c>
    </row>
    <row r="152" spans="1:8" ht="19.8" customHeight="1" x14ac:dyDescent="0.3">
      <c r="A152" s="98">
        <f t="shared" si="2"/>
        <v>11</v>
      </c>
      <c r="B152" s="92" t="s">
        <v>1286</v>
      </c>
      <c r="C152" s="92" t="s">
        <v>1287</v>
      </c>
      <c r="D152" s="95">
        <v>16291306.869999999</v>
      </c>
      <c r="E152" s="95">
        <v>16291306.869999999</v>
      </c>
      <c r="F152" s="95">
        <v>0</v>
      </c>
      <c r="G152" s="95">
        <v>0</v>
      </c>
      <c r="H152" s="95">
        <v>0</v>
      </c>
    </row>
    <row r="153" spans="1:8" ht="19.8" customHeight="1" x14ac:dyDescent="0.3">
      <c r="A153" s="98">
        <f t="shared" si="2"/>
        <v>11</v>
      </c>
      <c r="B153" s="92" t="s">
        <v>1288</v>
      </c>
      <c r="C153" s="92" t="s">
        <v>1289</v>
      </c>
      <c r="D153" s="95">
        <v>541526330.09000003</v>
      </c>
      <c r="E153" s="95">
        <v>539753636.58000004</v>
      </c>
      <c r="F153" s="95">
        <v>1772693.51</v>
      </c>
      <c r="G153" s="95">
        <v>0</v>
      </c>
      <c r="H153" s="95">
        <v>1772693.51</v>
      </c>
    </row>
    <row r="154" spans="1:8" ht="19.8" customHeight="1" x14ac:dyDescent="0.3">
      <c r="A154" s="98">
        <f t="shared" si="2"/>
        <v>11</v>
      </c>
      <c r="B154" s="92" t="s">
        <v>1290</v>
      </c>
      <c r="C154" s="92" t="s">
        <v>1291</v>
      </c>
      <c r="D154" s="95">
        <v>62957717.020000003</v>
      </c>
      <c r="E154" s="95">
        <v>59123694.329999998</v>
      </c>
      <c r="F154" s="95">
        <v>3834022.69</v>
      </c>
      <c r="G154" s="95">
        <v>0</v>
      </c>
      <c r="H154" s="95">
        <v>3834022.69</v>
      </c>
    </row>
    <row r="155" spans="1:8" ht="19.8" customHeight="1" x14ac:dyDescent="0.3">
      <c r="A155" s="98">
        <f t="shared" si="2"/>
        <v>11</v>
      </c>
      <c r="B155" s="92" t="s">
        <v>1292</v>
      </c>
      <c r="C155" s="92" t="s">
        <v>1293</v>
      </c>
      <c r="D155" s="95">
        <v>621.15</v>
      </c>
      <c r="E155" s="95">
        <v>621.15</v>
      </c>
      <c r="F155" s="95">
        <v>0</v>
      </c>
      <c r="G155" s="95">
        <v>0</v>
      </c>
      <c r="H155" s="95">
        <v>0</v>
      </c>
    </row>
    <row r="156" spans="1:8" ht="19.8" customHeight="1" x14ac:dyDescent="0.3">
      <c r="A156" s="98">
        <f t="shared" si="2"/>
        <v>11</v>
      </c>
      <c r="B156" s="92" t="s">
        <v>1294</v>
      </c>
      <c r="C156" s="92" t="s">
        <v>1295</v>
      </c>
      <c r="D156" s="95">
        <v>43859081.049999997</v>
      </c>
      <c r="E156" s="95">
        <v>43859081.049999997</v>
      </c>
      <c r="F156" s="95">
        <v>0</v>
      </c>
      <c r="G156" s="95">
        <v>0</v>
      </c>
      <c r="H156" s="95">
        <v>0</v>
      </c>
    </row>
    <row r="157" spans="1:8" ht="19.8" customHeight="1" x14ac:dyDescent="0.3">
      <c r="A157" s="98">
        <f t="shared" si="2"/>
        <v>11</v>
      </c>
      <c r="B157" s="92" t="s">
        <v>1296</v>
      </c>
      <c r="C157" s="92" t="s">
        <v>1297</v>
      </c>
      <c r="D157" s="95">
        <v>77365910.950000003</v>
      </c>
      <c r="E157" s="95">
        <v>77365910.950000003</v>
      </c>
      <c r="F157" s="95">
        <v>0</v>
      </c>
      <c r="G157" s="95">
        <v>0</v>
      </c>
      <c r="H157" s="95">
        <v>0</v>
      </c>
    </row>
    <row r="158" spans="1:8" ht="19.8" customHeight="1" x14ac:dyDescent="0.3">
      <c r="A158" s="98">
        <f t="shared" si="2"/>
        <v>10</v>
      </c>
      <c r="B158" s="92" t="s">
        <v>1298</v>
      </c>
      <c r="C158" s="92" t="s">
        <v>1299</v>
      </c>
      <c r="D158" s="95">
        <v>949320</v>
      </c>
      <c r="E158" s="95">
        <v>949320</v>
      </c>
      <c r="F158" s="95">
        <v>0</v>
      </c>
      <c r="G158" s="95">
        <v>0</v>
      </c>
      <c r="H158" s="95">
        <v>0</v>
      </c>
    </row>
    <row r="159" spans="1:8" ht="19.8" customHeight="1" x14ac:dyDescent="0.3">
      <c r="A159" s="98">
        <f t="shared" si="2"/>
        <v>3</v>
      </c>
      <c r="B159" s="92" t="s">
        <v>172</v>
      </c>
      <c r="C159" s="92" t="s">
        <v>425</v>
      </c>
      <c r="D159" s="95">
        <v>517356511.82999998</v>
      </c>
      <c r="E159" s="95">
        <v>517356511.82999998</v>
      </c>
      <c r="F159" s="95">
        <v>0</v>
      </c>
      <c r="G159" s="95">
        <v>0</v>
      </c>
      <c r="H159" s="95">
        <v>0</v>
      </c>
    </row>
    <row r="160" spans="1:8" ht="19.8" customHeight="1" x14ac:dyDescent="0.3">
      <c r="A160" s="98">
        <f t="shared" si="2"/>
        <v>7</v>
      </c>
      <c r="B160" s="92" t="s">
        <v>1300</v>
      </c>
      <c r="C160" s="92" t="s">
        <v>425</v>
      </c>
      <c r="D160" s="95">
        <v>517356511.82999998</v>
      </c>
      <c r="E160" s="95">
        <v>517356511.82999998</v>
      </c>
      <c r="F160" s="95">
        <v>0</v>
      </c>
      <c r="G160" s="95">
        <v>0</v>
      </c>
      <c r="H160" s="95">
        <v>0</v>
      </c>
    </row>
    <row r="161" spans="1:8" ht="19.8" customHeight="1" x14ac:dyDescent="0.3">
      <c r="A161" s="98">
        <f t="shared" si="2"/>
        <v>11</v>
      </c>
      <c r="B161" s="92" t="s">
        <v>1301</v>
      </c>
      <c r="C161" s="92" t="s">
        <v>1302</v>
      </c>
      <c r="D161" s="95">
        <v>97466961.180000007</v>
      </c>
      <c r="E161" s="95">
        <v>97466961.180000007</v>
      </c>
      <c r="F161" s="95">
        <v>0</v>
      </c>
      <c r="G161" s="95">
        <v>0</v>
      </c>
      <c r="H161" s="95">
        <v>0</v>
      </c>
    </row>
    <row r="162" spans="1:8" ht="19.8" customHeight="1" x14ac:dyDescent="0.3">
      <c r="A162" s="98">
        <f t="shared" si="2"/>
        <v>11</v>
      </c>
      <c r="B162" s="92" t="s">
        <v>1303</v>
      </c>
      <c r="C162" s="92" t="s">
        <v>1304</v>
      </c>
      <c r="D162" s="95">
        <v>334418225.69999999</v>
      </c>
      <c r="E162" s="95">
        <v>334418225.69999999</v>
      </c>
      <c r="F162" s="95">
        <v>0</v>
      </c>
      <c r="G162" s="95">
        <v>0</v>
      </c>
      <c r="H162" s="95">
        <v>0</v>
      </c>
    </row>
    <row r="163" spans="1:8" ht="19.8" customHeight="1" x14ac:dyDescent="0.3">
      <c r="A163" s="98">
        <f t="shared" si="2"/>
        <v>11</v>
      </c>
      <c r="B163" s="92" t="s">
        <v>1305</v>
      </c>
      <c r="C163" s="92" t="s">
        <v>1306</v>
      </c>
      <c r="D163" s="95">
        <v>85471324.950000003</v>
      </c>
      <c r="E163" s="95">
        <v>85471324.950000003</v>
      </c>
      <c r="F163" s="95">
        <v>0</v>
      </c>
      <c r="G163" s="95">
        <v>0</v>
      </c>
      <c r="H163" s="95">
        <v>0</v>
      </c>
    </row>
    <row r="164" spans="1:8" ht="19.8" customHeight="1" x14ac:dyDescent="0.3">
      <c r="A164" s="98">
        <f t="shared" si="2"/>
        <v>3</v>
      </c>
      <c r="B164" s="92" t="s">
        <v>173</v>
      </c>
      <c r="C164" s="92" t="s">
        <v>307</v>
      </c>
      <c r="D164" s="95">
        <v>933242882.08000004</v>
      </c>
      <c r="E164" s="95">
        <v>929744832.91999996</v>
      </c>
      <c r="F164" s="95">
        <v>3498049.16</v>
      </c>
      <c r="G164" s="95">
        <v>0</v>
      </c>
      <c r="H164" s="95">
        <v>3498049.16</v>
      </c>
    </row>
    <row r="165" spans="1:8" ht="19.8" customHeight="1" x14ac:dyDescent="0.3">
      <c r="A165" s="98">
        <f t="shared" si="2"/>
        <v>7</v>
      </c>
      <c r="B165" s="92" t="s">
        <v>1307</v>
      </c>
      <c r="C165" s="92" t="s">
        <v>1308</v>
      </c>
      <c r="D165" s="95">
        <v>833869100.91999996</v>
      </c>
      <c r="E165" s="95">
        <v>830371051.75999999</v>
      </c>
      <c r="F165" s="95">
        <v>3498049.16</v>
      </c>
      <c r="G165" s="95">
        <v>0</v>
      </c>
      <c r="H165" s="95">
        <v>3498049.16</v>
      </c>
    </row>
    <row r="166" spans="1:8" ht="19.8" customHeight="1" x14ac:dyDescent="0.3">
      <c r="A166" s="98">
        <f t="shared" si="2"/>
        <v>11</v>
      </c>
      <c r="B166" s="92" t="s">
        <v>1309</v>
      </c>
      <c r="C166" s="92" t="s">
        <v>1310</v>
      </c>
      <c r="D166" s="95">
        <v>301632181.38</v>
      </c>
      <c r="E166" s="95">
        <v>301037824.51999998</v>
      </c>
      <c r="F166" s="95">
        <v>594356.86</v>
      </c>
      <c r="G166" s="95">
        <v>0</v>
      </c>
      <c r="H166" s="95">
        <v>594356.86</v>
      </c>
    </row>
    <row r="167" spans="1:8" ht="19.8" customHeight="1" x14ac:dyDescent="0.3">
      <c r="A167" s="98">
        <f t="shared" si="2"/>
        <v>11</v>
      </c>
      <c r="B167" s="92" t="s">
        <v>1311</v>
      </c>
      <c r="C167" s="92" t="s">
        <v>1297</v>
      </c>
      <c r="D167" s="95">
        <v>78356169.519999996</v>
      </c>
      <c r="E167" s="95">
        <v>77352078.319999993</v>
      </c>
      <c r="F167" s="95">
        <v>1004091.2</v>
      </c>
      <c r="G167" s="95">
        <v>0</v>
      </c>
      <c r="H167" s="95">
        <v>1004091.2</v>
      </c>
    </row>
    <row r="168" spans="1:8" ht="19.8" customHeight="1" x14ac:dyDescent="0.3">
      <c r="A168" s="98">
        <f t="shared" si="2"/>
        <v>11</v>
      </c>
      <c r="B168" s="92" t="s">
        <v>1312</v>
      </c>
      <c r="C168" s="92" t="s">
        <v>1313</v>
      </c>
      <c r="D168" s="95">
        <v>76413363.129999995</v>
      </c>
      <c r="E168" s="95">
        <v>75765827.629999995</v>
      </c>
      <c r="F168" s="95">
        <v>647535.5</v>
      </c>
      <c r="G168" s="95">
        <v>0</v>
      </c>
      <c r="H168" s="95">
        <v>647535.5</v>
      </c>
    </row>
    <row r="169" spans="1:8" ht="19.8" customHeight="1" x14ac:dyDescent="0.3">
      <c r="A169" s="98">
        <f t="shared" si="2"/>
        <v>11</v>
      </c>
      <c r="B169" s="92" t="s">
        <v>1314</v>
      </c>
      <c r="C169" s="92" t="s">
        <v>1315</v>
      </c>
      <c r="D169" s="95">
        <v>86967837.340000004</v>
      </c>
      <c r="E169" s="95">
        <v>86228739.140000001</v>
      </c>
      <c r="F169" s="95">
        <v>739098.2</v>
      </c>
      <c r="G169" s="95">
        <v>0</v>
      </c>
      <c r="H169" s="95">
        <v>739098.2</v>
      </c>
    </row>
    <row r="170" spans="1:8" ht="19.8" customHeight="1" x14ac:dyDescent="0.3">
      <c r="A170" s="98">
        <f t="shared" si="2"/>
        <v>11</v>
      </c>
      <c r="B170" s="92" t="s">
        <v>1316</v>
      </c>
      <c r="C170" s="92" t="s">
        <v>1317</v>
      </c>
      <c r="D170" s="95">
        <v>21846030.09</v>
      </c>
      <c r="E170" s="95">
        <v>21685628.289999999</v>
      </c>
      <c r="F170" s="95">
        <v>160401.79999999999</v>
      </c>
      <c r="G170" s="95">
        <v>0</v>
      </c>
      <c r="H170" s="95">
        <v>160401.79999999999</v>
      </c>
    </row>
    <row r="171" spans="1:8" ht="19.8" customHeight="1" x14ac:dyDescent="0.3">
      <c r="A171" s="98">
        <f t="shared" si="2"/>
        <v>11</v>
      </c>
      <c r="B171" s="92" t="s">
        <v>1318</v>
      </c>
      <c r="C171" s="92" t="s">
        <v>1319</v>
      </c>
      <c r="D171" s="95">
        <v>4063946.34</v>
      </c>
      <c r="E171" s="95">
        <v>4063946.34</v>
      </c>
      <c r="F171" s="95">
        <v>0</v>
      </c>
      <c r="G171" s="95">
        <v>0</v>
      </c>
      <c r="H171" s="95">
        <v>0</v>
      </c>
    </row>
    <row r="172" spans="1:8" ht="19.8" customHeight="1" x14ac:dyDescent="0.3">
      <c r="A172" s="98">
        <f t="shared" si="2"/>
        <v>11</v>
      </c>
      <c r="B172" s="92" t="s">
        <v>1320</v>
      </c>
      <c r="C172" s="92" t="s">
        <v>1321</v>
      </c>
      <c r="D172" s="95">
        <v>639</v>
      </c>
      <c r="E172" s="95">
        <v>639</v>
      </c>
      <c r="F172" s="95">
        <v>0</v>
      </c>
      <c r="G172" s="95">
        <v>0</v>
      </c>
      <c r="H172" s="95">
        <v>0</v>
      </c>
    </row>
    <row r="173" spans="1:8" ht="19.8" customHeight="1" x14ac:dyDescent="0.3">
      <c r="A173" s="98">
        <f t="shared" si="2"/>
        <v>11</v>
      </c>
      <c r="B173" s="92" t="s">
        <v>1322</v>
      </c>
      <c r="C173" s="92" t="s">
        <v>1323</v>
      </c>
      <c r="D173" s="95">
        <v>65006576.649999999</v>
      </c>
      <c r="E173" s="95">
        <v>64878018.649999999</v>
      </c>
      <c r="F173" s="95">
        <v>128558</v>
      </c>
      <c r="G173" s="95">
        <v>0</v>
      </c>
      <c r="H173" s="95">
        <v>128558</v>
      </c>
    </row>
    <row r="174" spans="1:8" ht="19.8" customHeight="1" x14ac:dyDescent="0.3">
      <c r="A174" s="98">
        <f t="shared" si="2"/>
        <v>11</v>
      </c>
      <c r="B174" s="92" t="s">
        <v>1324</v>
      </c>
      <c r="C174" s="92" t="s">
        <v>1325</v>
      </c>
      <c r="D174" s="95">
        <v>35013482.75</v>
      </c>
      <c r="E174" s="95">
        <v>34822148.75</v>
      </c>
      <c r="F174" s="95">
        <v>191334</v>
      </c>
      <c r="G174" s="95">
        <v>0</v>
      </c>
      <c r="H174" s="95">
        <v>191334</v>
      </c>
    </row>
    <row r="175" spans="1:8" ht="19.8" customHeight="1" x14ac:dyDescent="0.3">
      <c r="A175" s="98">
        <f t="shared" si="2"/>
        <v>11</v>
      </c>
      <c r="B175" s="92" t="s">
        <v>1326</v>
      </c>
      <c r="C175" s="92" t="s">
        <v>1327</v>
      </c>
      <c r="D175" s="95">
        <v>164568874.72</v>
      </c>
      <c r="E175" s="95">
        <v>164536201.12</v>
      </c>
      <c r="F175" s="95">
        <v>32673.599999999999</v>
      </c>
      <c r="G175" s="95">
        <v>0</v>
      </c>
      <c r="H175" s="95">
        <v>32673.599999999999</v>
      </c>
    </row>
    <row r="176" spans="1:8" ht="19.8" customHeight="1" x14ac:dyDescent="0.3">
      <c r="A176" s="98">
        <f t="shared" si="2"/>
        <v>7</v>
      </c>
      <c r="B176" s="92" t="s">
        <v>1328</v>
      </c>
      <c r="C176" s="92" t="s">
        <v>1329</v>
      </c>
      <c r="D176" s="95">
        <v>99373781.159999996</v>
      </c>
      <c r="E176" s="95">
        <v>99373781.159999996</v>
      </c>
      <c r="F176" s="95">
        <v>0</v>
      </c>
      <c r="G176" s="95">
        <v>0</v>
      </c>
      <c r="H176" s="95">
        <v>0</v>
      </c>
    </row>
    <row r="177" spans="1:8" ht="19.8" customHeight="1" x14ac:dyDescent="0.3">
      <c r="A177" s="98">
        <f t="shared" si="2"/>
        <v>11</v>
      </c>
      <c r="B177" s="92" t="s">
        <v>1330</v>
      </c>
      <c r="C177" s="92" t="s">
        <v>1331</v>
      </c>
      <c r="D177" s="95">
        <v>5430098.9500000002</v>
      </c>
      <c r="E177" s="95">
        <v>5430098.9500000002</v>
      </c>
      <c r="F177" s="95">
        <v>0</v>
      </c>
      <c r="G177" s="95">
        <v>0</v>
      </c>
      <c r="H177" s="95">
        <v>0</v>
      </c>
    </row>
    <row r="178" spans="1:8" ht="19.8" customHeight="1" x14ac:dyDescent="0.3">
      <c r="A178" s="98">
        <f t="shared" si="2"/>
        <v>11</v>
      </c>
      <c r="B178" s="92" t="s">
        <v>1332</v>
      </c>
      <c r="C178" s="92" t="s">
        <v>1333</v>
      </c>
      <c r="D178" s="95">
        <v>11344098.59</v>
      </c>
      <c r="E178" s="95">
        <v>11344098.59</v>
      </c>
      <c r="F178" s="95">
        <v>0</v>
      </c>
      <c r="G178" s="95">
        <v>0</v>
      </c>
      <c r="H178" s="95">
        <v>0</v>
      </c>
    </row>
    <row r="179" spans="1:8" ht="19.8" customHeight="1" x14ac:dyDescent="0.3">
      <c r="A179" s="98">
        <f t="shared" si="2"/>
        <v>11</v>
      </c>
      <c r="B179" s="92" t="s">
        <v>1334</v>
      </c>
      <c r="C179" s="92" t="s">
        <v>1335</v>
      </c>
      <c r="D179" s="95">
        <v>41310902</v>
      </c>
      <c r="E179" s="95">
        <v>41310902</v>
      </c>
      <c r="F179" s="95">
        <v>0</v>
      </c>
      <c r="G179" s="95">
        <v>0</v>
      </c>
      <c r="H179" s="95">
        <v>0</v>
      </c>
    </row>
    <row r="180" spans="1:8" ht="19.8" customHeight="1" x14ac:dyDescent="0.3">
      <c r="A180" s="98">
        <f t="shared" si="2"/>
        <v>11</v>
      </c>
      <c r="B180" s="92" t="s">
        <v>1336</v>
      </c>
      <c r="C180" s="92" t="s">
        <v>1337</v>
      </c>
      <c r="D180" s="95">
        <v>431672.35</v>
      </c>
      <c r="E180" s="95">
        <v>431672.35</v>
      </c>
      <c r="F180" s="95">
        <v>0</v>
      </c>
      <c r="G180" s="95">
        <v>0</v>
      </c>
      <c r="H180" s="95">
        <v>0</v>
      </c>
    </row>
    <row r="181" spans="1:8" ht="19.8" customHeight="1" x14ac:dyDescent="0.3">
      <c r="A181" s="98">
        <f t="shared" si="2"/>
        <v>11</v>
      </c>
      <c r="B181" s="92" t="s">
        <v>1338</v>
      </c>
      <c r="C181" s="92" t="s">
        <v>1339</v>
      </c>
      <c r="D181" s="95">
        <v>38168710.07</v>
      </c>
      <c r="E181" s="95">
        <v>38168710.07</v>
      </c>
      <c r="F181" s="95">
        <v>0</v>
      </c>
      <c r="G181" s="95">
        <v>0</v>
      </c>
      <c r="H181" s="95">
        <v>0</v>
      </c>
    </row>
    <row r="182" spans="1:8" ht="19.8" customHeight="1" x14ac:dyDescent="0.3">
      <c r="A182" s="98">
        <f t="shared" si="2"/>
        <v>11</v>
      </c>
      <c r="B182" s="92" t="s">
        <v>1340</v>
      </c>
      <c r="C182" s="92" t="s">
        <v>1341</v>
      </c>
      <c r="D182" s="95">
        <v>2688299.2</v>
      </c>
      <c r="E182" s="95">
        <v>2688299.2</v>
      </c>
      <c r="F182" s="95">
        <v>0</v>
      </c>
      <c r="G182" s="95">
        <v>0</v>
      </c>
      <c r="H182" s="95">
        <v>0</v>
      </c>
    </row>
    <row r="183" spans="1:8" ht="19.8" customHeight="1" x14ac:dyDescent="0.3">
      <c r="A183" s="98">
        <f t="shared" si="2"/>
        <v>3</v>
      </c>
      <c r="B183" s="92" t="s">
        <v>419</v>
      </c>
      <c r="C183" s="92" t="s">
        <v>420</v>
      </c>
      <c r="D183" s="95">
        <v>141069886.33000001</v>
      </c>
      <c r="E183" s="95">
        <v>69819277.620000005</v>
      </c>
      <c r="F183" s="95">
        <v>71250608.709999993</v>
      </c>
      <c r="G183" s="95">
        <v>0</v>
      </c>
      <c r="H183" s="95">
        <v>71250608.709999993</v>
      </c>
    </row>
    <row r="184" spans="1:8" ht="19.8" customHeight="1" x14ac:dyDescent="0.3">
      <c r="A184" s="98">
        <f t="shared" si="2"/>
        <v>7</v>
      </c>
      <c r="B184" s="92" t="s">
        <v>1342</v>
      </c>
      <c r="C184" s="92" t="s">
        <v>1343</v>
      </c>
      <c r="D184" s="95">
        <v>141069886.33000001</v>
      </c>
      <c r="E184" s="95">
        <v>69819277.620000005</v>
      </c>
      <c r="F184" s="95">
        <v>71250608.709999993</v>
      </c>
      <c r="G184" s="95">
        <v>0</v>
      </c>
      <c r="H184" s="95">
        <v>71250608.709999993</v>
      </c>
    </row>
    <row r="185" spans="1:8" ht="19.8" customHeight="1" x14ac:dyDescent="0.3">
      <c r="A185" s="98">
        <f t="shared" si="2"/>
        <v>11</v>
      </c>
      <c r="B185" s="92" t="s">
        <v>1344</v>
      </c>
      <c r="C185" s="92" t="s">
        <v>1345</v>
      </c>
      <c r="D185" s="95">
        <v>140329419.97999999</v>
      </c>
      <c r="E185" s="95">
        <v>69556132.780000001</v>
      </c>
      <c r="F185" s="95">
        <v>70773287.200000003</v>
      </c>
      <c r="G185" s="95">
        <v>0</v>
      </c>
      <c r="H185" s="95">
        <v>70773287.200000003</v>
      </c>
    </row>
    <row r="186" spans="1:8" ht="19.8" customHeight="1" x14ac:dyDescent="0.3">
      <c r="A186" s="98">
        <f t="shared" si="2"/>
        <v>11</v>
      </c>
      <c r="B186" s="92" t="s">
        <v>1346</v>
      </c>
      <c r="C186" s="92" t="s">
        <v>1347</v>
      </c>
      <c r="D186" s="95">
        <v>545495.77</v>
      </c>
      <c r="E186" s="95">
        <v>91666.99</v>
      </c>
      <c r="F186" s="95">
        <v>453828.78</v>
      </c>
      <c r="G186" s="95">
        <v>0</v>
      </c>
      <c r="H186" s="95">
        <v>453828.78</v>
      </c>
    </row>
    <row r="187" spans="1:8" ht="19.8" customHeight="1" x14ac:dyDescent="0.3">
      <c r="A187" s="98">
        <f t="shared" si="2"/>
        <v>11</v>
      </c>
      <c r="B187" s="92" t="s">
        <v>1348</v>
      </c>
      <c r="C187" s="92" t="s">
        <v>1349</v>
      </c>
      <c r="D187" s="95">
        <v>194970.58</v>
      </c>
      <c r="E187" s="95">
        <v>171477.85</v>
      </c>
      <c r="F187" s="95">
        <v>23492.73</v>
      </c>
      <c r="G187" s="95">
        <v>0</v>
      </c>
      <c r="H187" s="95">
        <v>23492.73</v>
      </c>
    </row>
    <row r="188" spans="1:8" ht="19.8" customHeight="1" x14ac:dyDescent="0.3">
      <c r="A188" s="98">
        <f t="shared" si="2"/>
        <v>3</v>
      </c>
      <c r="B188" s="92" t="s">
        <v>430</v>
      </c>
      <c r="C188" s="92" t="s">
        <v>431</v>
      </c>
      <c r="D188" s="95">
        <v>337917357.75999999</v>
      </c>
      <c r="E188" s="95">
        <v>279834968.31999999</v>
      </c>
      <c r="F188" s="95">
        <v>58082389.439999998</v>
      </c>
      <c r="G188" s="95">
        <v>0</v>
      </c>
      <c r="H188" s="95">
        <v>58082389.439999998</v>
      </c>
    </row>
    <row r="189" spans="1:8" ht="19.8" customHeight="1" x14ac:dyDescent="0.3">
      <c r="A189" s="98">
        <f t="shared" si="2"/>
        <v>7</v>
      </c>
      <c r="B189" s="92" t="s">
        <v>1350</v>
      </c>
      <c r="C189" s="92" t="s">
        <v>431</v>
      </c>
      <c r="D189" s="95">
        <v>337917357.75999999</v>
      </c>
      <c r="E189" s="95">
        <v>279834968.31999999</v>
      </c>
      <c r="F189" s="95">
        <v>58082389.439999998</v>
      </c>
      <c r="G189" s="95">
        <v>0</v>
      </c>
      <c r="H189" s="95">
        <v>58082389.439999998</v>
      </c>
    </row>
    <row r="190" spans="1:8" ht="19.8" customHeight="1" x14ac:dyDescent="0.3">
      <c r="A190" s="98">
        <f t="shared" si="2"/>
        <v>11</v>
      </c>
      <c r="B190" s="92" t="s">
        <v>1351</v>
      </c>
      <c r="C190" s="92" t="s">
        <v>1352</v>
      </c>
      <c r="D190" s="95">
        <v>40505376.780000001</v>
      </c>
      <c r="E190" s="95">
        <v>17167066.850000001</v>
      </c>
      <c r="F190" s="95">
        <v>23338309.93</v>
      </c>
      <c r="G190" s="95">
        <v>0</v>
      </c>
      <c r="H190" s="95">
        <v>23338309.93</v>
      </c>
    </row>
    <row r="191" spans="1:8" ht="19.8" customHeight="1" x14ac:dyDescent="0.3">
      <c r="A191" s="98">
        <f t="shared" si="2"/>
        <v>11</v>
      </c>
      <c r="B191" s="92" t="s">
        <v>1353</v>
      </c>
      <c r="C191" s="92" t="s">
        <v>1354</v>
      </c>
      <c r="D191" s="95">
        <v>90921381.049999997</v>
      </c>
      <c r="E191" s="95">
        <v>56177301.539999999</v>
      </c>
      <c r="F191" s="95">
        <v>34744079.509999998</v>
      </c>
      <c r="G191" s="95">
        <v>0</v>
      </c>
      <c r="H191" s="95">
        <v>34744079.509999998</v>
      </c>
    </row>
    <row r="192" spans="1:8" ht="19.8" customHeight="1" x14ac:dyDescent="0.3">
      <c r="A192" s="98">
        <f t="shared" si="2"/>
        <v>11</v>
      </c>
      <c r="B192" s="92" t="s">
        <v>1355</v>
      </c>
      <c r="C192" s="92" t="s">
        <v>1356</v>
      </c>
      <c r="D192" s="95">
        <v>206490599.93000001</v>
      </c>
      <c r="E192" s="95">
        <v>206490599.93000001</v>
      </c>
      <c r="F192" s="95">
        <v>0</v>
      </c>
      <c r="G192" s="95">
        <v>0</v>
      </c>
      <c r="H192" s="95">
        <v>0</v>
      </c>
    </row>
    <row r="193" spans="1:8" ht="19.8" customHeight="1" x14ac:dyDescent="0.3">
      <c r="A193" s="98">
        <f t="shared" si="2"/>
        <v>3</v>
      </c>
      <c r="B193" s="92" t="s">
        <v>174</v>
      </c>
      <c r="C193" s="92" t="s">
        <v>308</v>
      </c>
      <c r="D193" s="95">
        <v>3978510599.9499998</v>
      </c>
      <c r="E193" s="95">
        <v>3671007758.3400002</v>
      </c>
      <c r="F193" s="95">
        <v>307502841.61000001</v>
      </c>
      <c r="G193" s="95">
        <v>0</v>
      </c>
      <c r="H193" s="95">
        <v>307502841.61000001</v>
      </c>
    </row>
    <row r="194" spans="1:8" ht="19.8" customHeight="1" x14ac:dyDescent="0.3">
      <c r="A194" s="98">
        <f t="shared" si="2"/>
        <v>7</v>
      </c>
      <c r="B194" s="92" t="s">
        <v>1357</v>
      </c>
      <c r="C194" s="92" t="s">
        <v>1358</v>
      </c>
      <c r="D194" s="95">
        <v>2485602817.0300002</v>
      </c>
      <c r="E194" s="95">
        <v>2296251464.9099998</v>
      </c>
      <c r="F194" s="95">
        <v>189351352.12</v>
      </c>
      <c r="G194" s="95">
        <v>0</v>
      </c>
      <c r="H194" s="95">
        <v>189351352.12</v>
      </c>
    </row>
    <row r="195" spans="1:8" ht="19.8" customHeight="1" x14ac:dyDescent="0.3">
      <c r="A195" s="98">
        <f t="shared" ref="A195:A258" si="3">+LEN(B195)</f>
        <v>11</v>
      </c>
      <c r="B195" s="92" t="s">
        <v>1359</v>
      </c>
      <c r="C195" s="92" t="s">
        <v>1360</v>
      </c>
      <c r="D195" s="95">
        <v>314639158.54000002</v>
      </c>
      <c r="E195" s="95">
        <v>303125416.63999999</v>
      </c>
      <c r="F195" s="95">
        <v>11513741.9</v>
      </c>
      <c r="G195" s="95">
        <v>0</v>
      </c>
      <c r="H195" s="95">
        <v>11513741.9</v>
      </c>
    </row>
    <row r="196" spans="1:8" ht="19.8" customHeight="1" x14ac:dyDescent="0.3">
      <c r="A196" s="98">
        <f t="shared" si="3"/>
        <v>11</v>
      </c>
      <c r="B196" s="92" t="s">
        <v>1361</v>
      </c>
      <c r="C196" s="92" t="s">
        <v>1362</v>
      </c>
      <c r="D196" s="95">
        <v>1331247709.1099999</v>
      </c>
      <c r="E196" s="95">
        <v>1204992385.6199999</v>
      </c>
      <c r="F196" s="95">
        <v>126255323.48999999</v>
      </c>
      <c r="G196" s="95">
        <v>0</v>
      </c>
      <c r="H196" s="95">
        <v>126255323.48999999</v>
      </c>
    </row>
    <row r="197" spans="1:8" ht="19.8" customHeight="1" x14ac:dyDescent="0.3">
      <c r="A197" s="98">
        <f t="shared" si="3"/>
        <v>11</v>
      </c>
      <c r="B197" s="92" t="s">
        <v>1363</v>
      </c>
      <c r="C197" s="92" t="s">
        <v>1364</v>
      </c>
      <c r="D197" s="95">
        <v>107204112.81999999</v>
      </c>
      <c r="E197" s="95">
        <v>77046250.019999996</v>
      </c>
      <c r="F197" s="95">
        <v>30157862.800000001</v>
      </c>
      <c r="G197" s="95">
        <v>0</v>
      </c>
      <c r="H197" s="95">
        <v>30157862.800000001</v>
      </c>
    </row>
    <row r="198" spans="1:8" ht="19.8" customHeight="1" x14ac:dyDescent="0.3">
      <c r="A198" s="98">
        <f t="shared" si="3"/>
        <v>11</v>
      </c>
      <c r="B198" s="92" t="s">
        <v>1365</v>
      </c>
      <c r="C198" s="92" t="s">
        <v>1366</v>
      </c>
      <c r="D198" s="95">
        <v>612058893.99000001</v>
      </c>
      <c r="E198" s="95">
        <v>612058893.99000001</v>
      </c>
      <c r="F198" s="95">
        <v>0</v>
      </c>
      <c r="G198" s="95">
        <v>0</v>
      </c>
      <c r="H198" s="95">
        <v>0</v>
      </c>
    </row>
    <row r="199" spans="1:8" ht="19.8" customHeight="1" x14ac:dyDescent="0.3">
      <c r="A199" s="98">
        <f t="shared" si="3"/>
        <v>11</v>
      </c>
      <c r="B199" s="92" t="s">
        <v>1367</v>
      </c>
      <c r="C199" s="92" t="s">
        <v>1368</v>
      </c>
      <c r="D199" s="95">
        <v>120452942.56999999</v>
      </c>
      <c r="E199" s="95">
        <v>99028518.640000001</v>
      </c>
      <c r="F199" s="95">
        <v>21424423.93</v>
      </c>
      <c r="G199" s="95">
        <v>0</v>
      </c>
      <c r="H199" s="95">
        <v>21424423.93</v>
      </c>
    </row>
    <row r="200" spans="1:8" ht="19.8" customHeight="1" x14ac:dyDescent="0.3">
      <c r="A200" s="98">
        <f t="shared" si="3"/>
        <v>7</v>
      </c>
      <c r="B200" s="92" t="s">
        <v>1369</v>
      </c>
      <c r="C200" s="92" t="s">
        <v>1370</v>
      </c>
      <c r="D200" s="95">
        <v>39482131.280000001</v>
      </c>
      <c r="E200" s="95">
        <v>21944836.219999999</v>
      </c>
      <c r="F200" s="95">
        <v>17537295.059999999</v>
      </c>
      <c r="G200" s="95">
        <v>0</v>
      </c>
      <c r="H200" s="95">
        <v>17537295.059999999</v>
      </c>
    </row>
    <row r="201" spans="1:8" ht="19.8" customHeight="1" x14ac:dyDescent="0.3">
      <c r="A201" s="98">
        <f t="shared" si="3"/>
        <v>11</v>
      </c>
      <c r="B201" s="92" t="s">
        <v>1371</v>
      </c>
      <c r="C201" s="92" t="s">
        <v>1372</v>
      </c>
      <c r="D201" s="95">
        <v>11661186.220000001</v>
      </c>
      <c r="E201" s="95">
        <v>7675922.3899999997</v>
      </c>
      <c r="F201" s="95">
        <v>3985263.83</v>
      </c>
      <c r="G201" s="95">
        <v>0</v>
      </c>
      <c r="H201" s="95">
        <v>3985263.83</v>
      </c>
    </row>
    <row r="202" spans="1:8" ht="19.8" customHeight="1" x14ac:dyDescent="0.3">
      <c r="A202" s="98">
        <f t="shared" si="3"/>
        <v>11</v>
      </c>
      <c r="B202" s="92" t="s">
        <v>1373</v>
      </c>
      <c r="C202" s="92" t="s">
        <v>1374</v>
      </c>
      <c r="D202" s="95">
        <v>16068353.470000001</v>
      </c>
      <c r="E202" s="95">
        <v>11680668.060000001</v>
      </c>
      <c r="F202" s="95">
        <v>4387685.41</v>
      </c>
      <c r="G202" s="95">
        <v>0</v>
      </c>
      <c r="H202" s="95">
        <v>4387685.41</v>
      </c>
    </row>
    <row r="203" spans="1:8" ht="19.8" customHeight="1" x14ac:dyDescent="0.3">
      <c r="A203" s="98">
        <f t="shared" si="3"/>
        <v>11</v>
      </c>
      <c r="B203" s="92" t="s">
        <v>1375</v>
      </c>
      <c r="C203" s="92" t="s">
        <v>1376</v>
      </c>
      <c r="D203" s="95">
        <v>11752591.59</v>
      </c>
      <c r="E203" s="95">
        <v>2588245.77</v>
      </c>
      <c r="F203" s="95">
        <v>9164345.8200000003</v>
      </c>
      <c r="G203" s="95">
        <v>0</v>
      </c>
      <c r="H203" s="95">
        <v>9164345.8200000003</v>
      </c>
    </row>
    <row r="204" spans="1:8" ht="19.8" customHeight="1" x14ac:dyDescent="0.3">
      <c r="A204" s="98">
        <f t="shared" si="3"/>
        <v>7</v>
      </c>
      <c r="B204" s="92" t="s">
        <v>1377</v>
      </c>
      <c r="C204" s="92" t="s">
        <v>1378</v>
      </c>
      <c r="D204" s="95">
        <v>1453425651.6400001</v>
      </c>
      <c r="E204" s="95">
        <v>1352811457.21</v>
      </c>
      <c r="F204" s="95">
        <v>100614194.43000001</v>
      </c>
      <c r="G204" s="95">
        <v>0</v>
      </c>
      <c r="H204" s="95">
        <v>100614194.43000001</v>
      </c>
    </row>
    <row r="205" spans="1:8" ht="19.8" customHeight="1" x14ac:dyDescent="0.3">
      <c r="A205" s="98">
        <f t="shared" si="3"/>
        <v>11</v>
      </c>
      <c r="B205" s="92" t="s">
        <v>1379</v>
      </c>
      <c r="C205" s="92" t="s">
        <v>1380</v>
      </c>
      <c r="D205" s="95">
        <v>958840510.82000005</v>
      </c>
      <c r="E205" s="95">
        <v>881869537.88999999</v>
      </c>
      <c r="F205" s="95">
        <v>76970972.930000007</v>
      </c>
      <c r="G205" s="95">
        <v>0</v>
      </c>
      <c r="H205" s="95">
        <v>76970972.930000007</v>
      </c>
    </row>
    <row r="206" spans="1:8" ht="19.8" customHeight="1" x14ac:dyDescent="0.3">
      <c r="A206" s="98">
        <f t="shared" si="3"/>
        <v>11</v>
      </c>
      <c r="B206" s="92" t="s">
        <v>1381</v>
      </c>
      <c r="C206" s="92" t="s">
        <v>1382</v>
      </c>
      <c r="D206" s="95">
        <v>5753424.5999999996</v>
      </c>
      <c r="E206" s="95">
        <v>5753424.5999999996</v>
      </c>
      <c r="F206" s="95">
        <v>0</v>
      </c>
      <c r="G206" s="95">
        <v>0</v>
      </c>
      <c r="H206" s="95">
        <v>0</v>
      </c>
    </row>
    <row r="207" spans="1:8" ht="19.8" customHeight="1" x14ac:dyDescent="0.3">
      <c r="A207" s="98">
        <f t="shared" si="3"/>
        <v>11</v>
      </c>
      <c r="B207" s="92" t="s">
        <v>1383</v>
      </c>
      <c r="C207" s="92" t="s">
        <v>1384</v>
      </c>
      <c r="D207" s="95">
        <v>488720070.97000003</v>
      </c>
      <c r="E207" s="95">
        <v>465079749.72000003</v>
      </c>
      <c r="F207" s="95">
        <v>23640321.25</v>
      </c>
      <c r="G207" s="95">
        <v>0</v>
      </c>
      <c r="H207" s="95">
        <v>23640321.25</v>
      </c>
    </row>
    <row r="208" spans="1:8" ht="19.8" customHeight="1" x14ac:dyDescent="0.3">
      <c r="A208" s="98">
        <f t="shared" si="3"/>
        <v>11</v>
      </c>
      <c r="B208" s="92" t="s">
        <v>1385</v>
      </c>
      <c r="C208" s="92" t="s">
        <v>435</v>
      </c>
      <c r="D208" s="95">
        <v>111645.25</v>
      </c>
      <c r="E208" s="95">
        <v>108745</v>
      </c>
      <c r="F208" s="95">
        <v>2900.25</v>
      </c>
      <c r="G208" s="95">
        <v>0</v>
      </c>
      <c r="H208" s="95">
        <v>2900.25</v>
      </c>
    </row>
    <row r="209" spans="1:8" ht="19.8" customHeight="1" x14ac:dyDescent="0.3">
      <c r="A209" s="98">
        <f t="shared" si="3"/>
        <v>3</v>
      </c>
      <c r="B209" s="92" t="s">
        <v>176</v>
      </c>
      <c r="C209" s="92" t="s">
        <v>309</v>
      </c>
      <c r="D209" s="95">
        <v>123546759.73999999</v>
      </c>
      <c r="E209" s="95">
        <v>85011031.629999995</v>
      </c>
      <c r="F209" s="95">
        <v>38535728.109999999</v>
      </c>
      <c r="G209" s="95">
        <v>0</v>
      </c>
      <c r="H209" s="95">
        <v>38535728.109999999</v>
      </c>
    </row>
    <row r="210" spans="1:8" ht="19.8" customHeight="1" x14ac:dyDescent="0.3">
      <c r="A210" s="98">
        <f t="shared" si="3"/>
        <v>7</v>
      </c>
      <c r="B210" s="92" t="s">
        <v>1386</v>
      </c>
      <c r="C210" s="92" t="s">
        <v>1387</v>
      </c>
      <c r="D210" s="95">
        <v>48500</v>
      </c>
      <c r="E210" s="95">
        <v>0</v>
      </c>
      <c r="F210" s="95">
        <v>48500</v>
      </c>
      <c r="G210" s="95">
        <v>0</v>
      </c>
      <c r="H210" s="95">
        <v>48500</v>
      </c>
    </row>
    <row r="211" spans="1:8" ht="19.8" customHeight="1" x14ac:dyDescent="0.3">
      <c r="A211" s="98">
        <f t="shared" si="3"/>
        <v>11</v>
      </c>
      <c r="B211" s="92" t="s">
        <v>1388</v>
      </c>
      <c r="C211" s="92" t="s">
        <v>1387</v>
      </c>
      <c r="D211" s="95">
        <v>48500</v>
      </c>
      <c r="E211" s="95">
        <v>0</v>
      </c>
      <c r="F211" s="95">
        <v>48500</v>
      </c>
      <c r="G211" s="95">
        <v>0</v>
      </c>
      <c r="H211" s="95">
        <v>48500</v>
      </c>
    </row>
    <row r="212" spans="1:8" ht="19.8" customHeight="1" x14ac:dyDescent="0.3">
      <c r="A212" s="98">
        <f t="shared" si="3"/>
        <v>7</v>
      </c>
      <c r="B212" s="92" t="s">
        <v>1389</v>
      </c>
      <c r="C212" s="92" t="s">
        <v>1390</v>
      </c>
      <c r="D212" s="95">
        <v>122069230.87</v>
      </c>
      <c r="E212" s="95">
        <v>84409739.629999995</v>
      </c>
      <c r="F212" s="95">
        <v>37659491.240000002</v>
      </c>
      <c r="G212" s="95">
        <v>0</v>
      </c>
      <c r="H212" s="95">
        <v>37659491.240000002</v>
      </c>
    </row>
    <row r="213" spans="1:8" ht="19.8" customHeight="1" x14ac:dyDescent="0.3">
      <c r="A213" s="98">
        <f t="shared" si="3"/>
        <v>11</v>
      </c>
      <c r="B213" s="92" t="s">
        <v>1391</v>
      </c>
      <c r="C213" s="92" t="s">
        <v>1392</v>
      </c>
      <c r="D213" s="95">
        <v>66502290.509999998</v>
      </c>
      <c r="E213" s="95">
        <v>35073985.090000004</v>
      </c>
      <c r="F213" s="95">
        <v>31428305.420000002</v>
      </c>
      <c r="G213" s="95">
        <v>0</v>
      </c>
      <c r="H213" s="95">
        <v>31428305.420000002</v>
      </c>
    </row>
    <row r="214" spans="1:8" ht="19.8" customHeight="1" x14ac:dyDescent="0.3">
      <c r="A214" s="98">
        <f t="shared" si="3"/>
        <v>11</v>
      </c>
      <c r="B214" s="92" t="s">
        <v>1393</v>
      </c>
      <c r="C214" s="92" t="s">
        <v>1394</v>
      </c>
      <c r="D214" s="95">
        <v>27502769.73</v>
      </c>
      <c r="E214" s="95">
        <v>27436855.710000001</v>
      </c>
      <c r="F214" s="95">
        <v>65914.02</v>
      </c>
      <c r="G214" s="95">
        <v>0</v>
      </c>
      <c r="H214" s="95">
        <v>65914.02</v>
      </c>
    </row>
    <row r="215" spans="1:8" ht="19.8" customHeight="1" x14ac:dyDescent="0.3">
      <c r="A215" s="98">
        <f t="shared" si="3"/>
        <v>11</v>
      </c>
      <c r="B215" s="92" t="s">
        <v>1395</v>
      </c>
      <c r="C215" s="92" t="s">
        <v>1396</v>
      </c>
      <c r="D215" s="95">
        <v>12802433.23</v>
      </c>
      <c r="E215" s="95">
        <v>6637161.4299999997</v>
      </c>
      <c r="F215" s="95">
        <v>6165271.7999999998</v>
      </c>
      <c r="G215" s="95">
        <v>0</v>
      </c>
      <c r="H215" s="95">
        <v>6165271.7999999998</v>
      </c>
    </row>
    <row r="216" spans="1:8" ht="19.8" customHeight="1" x14ac:dyDescent="0.3">
      <c r="A216" s="98">
        <f t="shared" si="3"/>
        <v>11</v>
      </c>
      <c r="B216" s="92" t="s">
        <v>1397</v>
      </c>
      <c r="C216" s="92" t="s">
        <v>1398</v>
      </c>
      <c r="D216" s="95">
        <v>15261737.4</v>
      </c>
      <c r="E216" s="95">
        <v>15261737.4</v>
      </c>
      <c r="F216" s="95">
        <v>0</v>
      </c>
      <c r="G216" s="95">
        <v>0</v>
      </c>
      <c r="H216" s="95">
        <v>0</v>
      </c>
    </row>
    <row r="217" spans="1:8" ht="19.8" customHeight="1" x14ac:dyDescent="0.3">
      <c r="A217" s="98">
        <f t="shared" si="3"/>
        <v>7</v>
      </c>
      <c r="B217" s="92" t="s">
        <v>1399</v>
      </c>
      <c r="C217" s="92" t="s">
        <v>309</v>
      </c>
      <c r="D217" s="95">
        <v>1422254.56</v>
      </c>
      <c r="E217" s="95">
        <v>600792</v>
      </c>
      <c r="F217" s="95">
        <v>821462.56</v>
      </c>
      <c r="G217" s="95">
        <v>0</v>
      </c>
      <c r="H217" s="95">
        <v>821462.56</v>
      </c>
    </row>
    <row r="218" spans="1:8" ht="19.8" customHeight="1" x14ac:dyDescent="0.3">
      <c r="A218" s="98">
        <f t="shared" si="3"/>
        <v>11</v>
      </c>
      <c r="B218" s="92" t="s">
        <v>1400</v>
      </c>
      <c r="C218" s="92" t="s">
        <v>1401</v>
      </c>
      <c r="D218" s="95">
        <v>8292</v>
      </c>
      <c r="E218" s="95">
        <v>0</v>
      </c>
      <c r="F218" s="95">
        <v>8292</v>
      </c>
      <c r="G218" s="95">
        <v>0</v>
      </c>
      <c r="H218" s="95">
        <v>8292</v>
      </c>
    </row>
    <row r="219" spans="1:8" ht="19.8" customHeight="1" x14ac:dyDescent="0.3">
      <c r="A219" s="98">
        <f t="shared" si="3"/>
        <v>11</v>
      </c>
      <c r="B219" s="92" t="s">
        <v>1402</v>
      </c>
      <c r="C219" s="92" t="s">
        <v>1403</v>
      </c>
      <c r="D219" s="95">
        <v>813962.56</v>
      </c>
      <c r="E219" s="95">
        <v>792</v>
      </c>
      <c r="F219" s="95">
        <v>813170.56</v>
      </c>
      <c r="G219" s="95">
        <v>0</v>
      </c>
      <c r="H219" s="95">
        <v>813170.56</v>
      </c>
    </row>
    <row r="220" spans="1:8" ht="19.8" customHeight="1" x14ac:dyDescent="0.3">
      <c r="A220" s="98">
        <f t="shared" si="3"/>
        <v>11</v>
      </c>
      <c r="B220" s="92" t="s">
        <v>1404</v>
      </c>
      <c r="C220" s="92" t="s">
        <v>1405</v>
      </c>
      <c r="D220" s="95">
        <v>600000</v>
      </c>
      <c r="E220" s="95">
        <v>600000</v>
      </c>
      <c r="F220" s="95">
        <v>0</v>
      </c>
      <c r="G220" s="95">
        <v>0</v>
      </c>
      <c r="H220" s="95">
        <v>0</v>
      </c>
    </row>
    <row r="221" spans="1:8" ht="19.8" customHeight="1" x14ac:dyDescent="0.3">
      <c r="A221" s="98">
        <f t="shared" si="3"/>
        <v>7</v>
      </c>
      <c r="B221" s="92" t="s">
        <v>1406</v>
      </c>
      <c r="C221" s="92" t="s">
        <v>1407</v>
      </c>
      <c r="D221" s="95">
        <v>500</v>
      </c>
      <c r="E221" s="95">
        <v>500</v>
      </c>
      <c r="F221" s="95">
        <v>0</v>
      </c>
      <c r="G221" s="95">
        <v>0</v>
      </c>
      <c r="H221" s="95">
        <v>0</v>
      </c>
    </row>
    <row r="222" spans="1:8" ht="19.8" customHeight="1" x14ac:dyDescent="0.3">
      <c r="A222" s="98">
        <f t="shared" si="3"/>
        <v>11</v>
      </c>
      <c r="B222" s="92" t="s">
        <v>1408</v>
      </c>
      <c r="C222" s="92" t="s">
        <v>1409</v>
      </c>
      <c r="D222" s="95">
        <v>500</v>
      </c>
      <c r="E222" s="95">
        <v>500</v>
      </c>
      <c r="F222" s="95">
        <v>0</v>
      </c>
      <c r="G222" s="95">
        <v>0</v>
      </c>
      <c r="H222" s="95">
        <v>0</v>
      </c>
    </row>
    <row r="223" spans="1:8" ht="19.8" customHeight="1" x14ac:dyDescent="0.3">
      <c r="A223" s="98">
        <f t="shared" si="3"/>
        <v>7</v>
      </c>
      <c r="B223" s="92" t="s">
        <v>1410</v>
      </c>
      <c r="C223" s="92" t="s">
        <v>1407</v>
      </c>
      <c r="D223" s="95">
        <v>6274.31</v>
      </c>
      <c r="E223" s="95">
        <v>0</v>
      </c>
      <c r="F223" s="95">
        <v>6274.31</v>
      </c>
      <c r="G223" s="95">
        <v>0</v>
      </c>
      <c r="H223" s="95">
        <v>6274.31</v>
      </c>
    </row>
    <row r="224" spans="1:8" ht="19.8" customHeight="1" x14ac:dyDescent="0.3">
      <c r="A224" s="98">
        <f t="shared" si="3"/>
        <v>11</v>
      </c>
      <c r="B224" s="92" t="s">
        <v>1411</v>
      </c>
      <c r="C224" s="92" t="s">
        <v>1412</v>
      </c>
      <c r="D224" s="95">
        <v>6274.31</v>
      </c>
      <c r="E224" s="95">
        <v>0</v>
      </c>
      <c r="F224" s="95">
        <v>6274.31</v>
      </c>
      <c r="G224" s="95">
        <v>0</v>
      </c>
      <c r="H224" s="95">
        <v>6274.31</v>
      </c>
    </row>
    <row r="225" spans="1:8" ht="19.8" customHeight="1" x14ac:dyDescent="0.3">
      <c r="A225" s="98">
        <f t="shared" si="3"/>
        <v>3</v>
      </c>
      <c r="B225" s="92" t="s">
        <v>177</v>
      </c>
      <c r="C225" s="92" t="s">
        <v>435</v>
      </c>
      <c r="D225" s="95">
        <v>3578938.16</v>
      </c>
      <c r="E225" s="95">
        <v>0</v>
      </c>
      <c r="F225" s="95">
        <v>3578938.16</v>
      </c>
      <c r="G225" s="95">
        <v>0</v>
      </c>
      <c r="H225" s="95">
        <v>3578938.16</v>
      </c>
    </row>
    <row r="226" spans="1:8" ht="19.8" customHeight="1" x14ac:dyDescent="0.3">
      <c r="A226" s="98">
        <f t="shared" si="3"/>
        <v>7</v>
      </c>
      <c r="B226" s="92" t="s">
        <v>1413</v>
      </c>
      <c r="C226" s="92" t="s">
        <v>435</v>
      </c>
      <c r="D226" s="95">
        <v>3578938.16</v>
      </c>
      <c r="E226" s="95">
        <v>0</v>
      </c>
      <c r="F226" s="95">
        <v>3578938.16</v>
      </c>
      <c r="G226" s="95">
        <v>0</v>
      </c>
      <c r="H226" s="95">
        <v>3578938.16</v>
      </c>
    </row>
    <row r="227" spans="1:8" ht="19.8" customHeight="1" x14ac:dyDescent="0.3">
      <c r="A227" s="98">
        <f t="shared" si="3"/>
        <v>11</v>
      </c>
      <c r="B227" s="92" t="s">
        <v>1414</v>
      </c>
      <c r="C227" s="92" t="s">
        <v>1415</v>
      </c>
      <c r="D227" s="95">
        <v>3578938.16</v>
      </c>
      <c r="E227" s="95">
        <v>0</v>
      </c>
      <c r="F227" s="95">
        <v>3578938.16</v>
      </c>
      <c r="G227" s="95">
        <v>0</v>
      </c>
      <c r="H227" s="95">
        <v>3578938.16</v>
      </c>
    </row>
    <row r="228" spans="1:8" ht="19.8" customHeight="1" x14ac:dyDescent="0.3">
      <c r="A228" s="98">
        <f t="shared" si="3"/>
        <v>3</v>
      </c>
      <c r="B228" s="92" t="s">
        <v>178</v>
      </c>
      <c r="C228" s="92" t="s">
        <v>310</v>
      </c>
      <c r="D228" s="95">
        <v>28183628.600000001</v>
      </c>
      <c r="E228" s="95">
        <v>18112974.359999999</v>
      </c>
      <c r="F228" s="95">
        <v>10070654.24</v>
      </c>
      <c r="G228" s="95">
        <v>0</v>
      </c>
      <c r="H228" s="95">
        <v>10070654.24</v>
      </c>
    </row>
    <row r="229" spans="1:8" ht="19.8" customHeight="1" x14ac:dyDescent="0.3">
      <c r="A229" s="98">
        <f t="shared" si="3"/>
        <v>7</v>
      </c>
      <c r="B229" s="92" t="s">
        <v>1416</v>
      </c>
      <c r="C229" s="92" t="s">
        <v>310</v>
      </c>
      <c r="D229" s="95">
        <v>13736237.43</v>
      </c>
      <c r="E229" s="95">
        <v>13736233.25</v>
      </c>
      <c r="F229" s="95">
        <v>4.1800000000002902</v>
      </c>
      <c r="G229" s="95">
        <v>0</v>
      </c>
      <c r="H229" s="95">
        <v>4.1800000000002902</v>
      </c>
    </row>
    <row r="230" spans="1:8" ht="19.8" customHeight="1" x14ac:dyDescent="0.3">
      <c r="A230" s="98">
        <f t="shared" si="3"/>
        <v>11</v>
      </c>
      <c r="B230" s="92" t="s">
        <v>1417</v>
      </c>
      <c r="C230" s="92" t="s">
        <v>1418</v>
      </c>
      <c r="D230" s="95">
        <v>13736237.43</v>
      </c>
      <c r="E230" s="95">
        <v>13736233.25</v>
      </c>
      <c r="F230" s="95">
        <v>4.1800000000002902</v>
      </c>
      <c r="G230" s="95">
        <v>0</v>
      </c>
      <c r="H230" s="95">
        <v>4.1800000000002902</v>
      </c>
    </row>
    <row r="231" spans="1:8" ht="19.8" customHeight="1" x14ac:dyDescent="0.3">
      <c r="A231" s="98">
        <f t="shared" si="3"/>
        <v>7</v>
      </c>
      <c r="B231" s="92" t="s">
        <v>1419</v>
      </c>
      <c r="C231" s="92" t="s">
        <v>310</v>
      </c>
      <c r="D231" s="95">
        <v>14447391.17</v>
      </c>
      <c r="E231" s="95">
        <v>4376741.1100000003</v>
      </c>
      <c r="F231" s="95">
        <v>10070650.060000001</v>
      </c>
      <c r="G231" s="95">
        <v>0</v>
      </c>
      <c r="H231" s="95">
        <v>10070650.060000001</v>
      </c>
    </row>
    <row r="232" spans="1:8" ht="19.8" customHeight="1" x14ac:dyDescent="0.3">
      <c r="A232" s="98">
        <f t="shared" si="3"/>
        <v>11</v>
      </c>
      <c r="B232" s="92" t="s">
        <v>1420</v>
      </c>
      <c r="C232" s="92" t="s">
        <v>1421</v>
      </c>
      <c r="D232" s="95">
        <v>14447391.17</v>
      </c>
      <c r="E232" s="95">
        <v>4376741.1100000003</v>
      </c>
      <c r="F232" s="95">
        <v>10070650.060000001</v>
      </c>
      <c r="G232" s="95">
        <v>0</v>
      </c>
      <c r="H232" s="95">
        <v>10070650.060000001</v>
      </c>
    </row>
    <row r="233" spans="1:8" ht="19.8" customHeight="1" x14ac:dyDescent="0.3">
      <c r="A233" s="98">
        <f t="shared" si="3"/>
        <v>3</v>
      </c>
      <c r="B233" s="92" t="s">
        <v>179</v>
      </c>
      <c r="C233" s="92" t="s">
        <v>311</v>
      </c>
      <c r="D233" s="95">
        <v>305326563.44999999</v>
      </c>
      <c r="E233" s="95">
        <v>300063399.5</v>
      </c>
      <c r="F233" s="95">
        <v>5263163.95</v>
      </c>
      <c r="G233" s="95">
        <v>0</v>
      </c>
      <c r="H233" s="95">
        <v>5263163.95</v>
      </c>
    </row>
    <row r="234" spans="1:8" ht="19.8" customHeight="1" x14ac:dyDescent="0.3">
      <c r="A234" s="98">
        <f t="shared" si="3"/>
        <v>7</v>
      </c>
      <c r="B234" s="92" t="s">
        <v>1422</v>
      </c>
      <c r="C234" s="92" t="s">
        <v>311</v>
      </c>
      <c r="D234" s="95">
        <v>39093743.32</v>
      </c>
      <c r="E234" s="95">
        <v>36125847.68</v>
      </c>
      <c r="F234" s="95">
        <v>2967895.64</v>
      </c>
      <c r="G234" s="95">
        <v>0</v>
      </c>
      <c r="H234" s="95">
        <v>2967895.64</v>
      </c>
    </row>
    <row r="235" spans="1:8" ht="19.8" customHeight="1" x14ac:dyDescent="0.3">
      <c r="A235" s="98">
        <f t="shared" si="3"/>
        <v>11</v>
      </c>
      <c r="B235" s="92" t="s">
        <v>1423</v>
      </c>
      <c r="C235" s="92" t="s">
        <v>311</v>
      </c>
      <c r="D235" s="95">
        <v>24461432.809999999</v>
      </c>
      <c r="E235" s="95">
        <v>21663334.350000001</v>
      </c>
      <c r="F235" s="95">
        <v>2798098.46</v>
      </c>
      <c r="G235" s="95">
        <v>0</v>
      </c>
      <c r="H235" s="95">
        <v>2798098.46</v>
      </c>
    </row>
    <row r="236" spans="1:8" ht="19.8" customHeight="1" x14ac:dyDescent="0.3">
      <c r="A236" s="98">
        <f t="shared" si="3"/>
        <v>11</v>
      </c>
      <c r="B236" s="92" t="s">
        <v>1424</v>
      </c>
      <c r="C236" s="92" t="s">
        <v>1425</v>
      </c>
      <c r="D236" s="95">
        <v>0.24</v>
      </c>
      <c r="E236" s="95">
        <v>0.24</v>
      </c>
      <c r="F236" s="95">
        <v>0</v>
      </c>
      <c r="G236" s="95">
        <v>0</v>
      </c>
      <c r="H236" s="95">
        <v>0</v>
      </c>
    </row>
    <row r="237" spans="1:8" ht="19.8" customHeight="1" x14ac:dyDescent="0.3">
      <c r="A237" s="98">
        <f t="shared" si="3"/>
        <v>11</v>
      </c>
      <c r="B237" s="92" t="s">
        <v>1426</v>
      </c>
      <c r="C237" s="92" t="s">
        <v>1427</v>
      </c>
      <c r="D237" s="95">
        <v>14462513.09</v>
      </c>
      <c r="E237" s="95">
        <v>14462513.09</v>
      </c>
      <c r="F237" s="95">
        <v>0</v>
      </c>
      <c r="G237" s="95">
        <v>0</v>
      </c>
      <c r="H237" s="95">
        <v>0</v>
      </c>
    </row>
    <row r="238" spans="1:8" ht="19.8" customHeight="1" x14ac:dyDescent="0.3">
      <c r="A238" s="98">
        <f t="shared" si="3"/>
        <v>11</v>
      </c>
      <c r="B238" s="92" t="s">
        <v>1428</v>
      </c>
      <c r="C238" s="92" t="s">
        <v>1429</v>
      </c>
      <c r="D238" s="95">
        <v>164109.18</v>
      </c>
      <c r="E238" s="95">
        <v>0</v>
      </c>
      <c r="F238" s="95">
        <v>164109.18</v>
      </c>
      <c r="G238" s="95">
        <v>0</v>
      </c>
      <c r="H238" s="95">
        <v>164109.18</v>
      </c>
    </row>
    <row r="239" spans="1:8" ht="19.8" customHeight="1" x14ac:dyDescent="0.3">
      <c r="A239" s="98">
        <f t="shared" si="3"/>
        <v>11</v>
      </c>
      <c r="B239" s="92" t="s">
        <v>1430</v>
      </c>
      <c r="C239" s="92" t="s">
        <v>1431</v>
      </c>
      <c r="D239" s="95">
        <v>5688</v>
      </c>
      <c r="E239" s="95">
        <v>0</v>
      </c>
      <c r="F239" s="95">
        <v>5688</v>
      </c>
      <c r="G239" s="95">
        <v>0</v>
      </c>
      <c r="H239" s="95">
        <v>5688</v>
      </c>
    </row>
    <row r="240" spans="1:8" ht="19.8" customHeight="1" x14ac:dyDescent="0.3">
      <c r="A240" s="98">
        <f t="shared" si="3"/>
        <v>7</v>
      </c>
      <c r="B240" s="92" t="s">
        <v>1432</v>
      </c>
      <c r="C240" s="92" t="s">
        <v>435</v>
      </c>
      <c r="D240" s="95">
        <v>266232820.13</v>
      </c>
      <c r="E240" s="95">
        <v>263937551.81999999</v>
      </c>
      <c r="F240" s="95">
        <v>2295268.31</v>
      </c>
      <c r="G240" s="95">
        <v>0</v>
      </c>
      <c r="H240" s="95">
        <v>2295268.31</v>
      </c>
    </row>
    <row r="241" spans="1:8" ht="19.8" customHeight="1" x14ac:dyDescent="0.3">
      <c r="A241" s="98">
        <f t="shared" si="3"/>
        <v>11</v>
      </c>
      <c r="B241" s="92" t="s">
        <v>1433</v>
      </c>
      <c r="C241" s="92" t="s">
        <v>1434</v>
      </c>
      <c r="D241" s="95">
        <v>266219551.33000001</v>
      </c>
      <c r="E241" s="95">
        <v>263924283.02000001</v>
      </c>
      <c r="F241" s="95">
        <v>2295268.31</v>
      </c>
      <c r="G241" s="95">
        <v>0</v>
      </c>
      <c r="H241" s="95">
        <v>2295268.31</v>
      </c>
    </row>
    <row r="242" spans="1:8" ht="19.8" customHeight="1" x14ac:dyDescent="0.3">
      <c r="A242" s="98">
        <f t="shared" si="3"/>
        <v>11</v>
      </c>
      <c r="B242" s="92" t="s">
        <v>1435</v>
      </c>
      <c r="C242" s="92" t="s">
        <v>1436</v>
      </c>
      <c r="D242" s="95">
        <v>13268.8</v>
      </c>
      <c r="E242" s="95">
        <v>13268.8</v>
      </c>
      <c r="F242" s="95">
        <v>0</v>
      </c>
      <c r="G242" s="95">
        <v>0</v>
      </c>
      <c r="H242" s="95">
        <v>0</v>
      </c>
    </row>
    <row r="243" spans="1:8" ht="19.8" customHeight="1" x14ac:dyDescent="0.3">
      <c r="A243" s="98">
        <f t="shared" si="3"/>
        <v>3</v>
      </c>
      <c r="B243" s="92" t="s">
        <v>266</v>
      </c>
      <c r="C243" s="92" t="s">
        <v>387</v>
      </c>
      <c r="D243" s="95">
        <v>143839.03</v>
      </c>
      <c r="E243" s="95">
        <v>0</v>
      </c>
      <c r="F243" s="95">
        <v>143839.03</v>
      </c>
      <c r="G243" s="95">
        <v>0</v>
      </c>
      <c r="H243" s="95">
        <v>143839.03</v>
      </c>
    </row>
    <row r="244" spans="1:8" ht="19.8" customHeight="1" x14ac:dyDescent="0.3">
      <c r="A244" s="98">
        <f t="shared" si="3"/>
        <v>7</v>
      </c>
      <c r="B244" s="92" t="s">
        <v>1437</v>
      </c>
      <c r="C244" s="92" t="s">
        <v>387</v>
      </c>
      <c r="D244" s="95">
        <v>143839.03</v>
      </c>
      <c r="E244" s="95">
        <v>0</v>
      </c>
      <c r="F244" s="95">
        <v>143839.03</v>
      </c>
      <c r="G244" s="95">
        <v>0</v>
      </c>
      <c r="H244" s="95">
        <v>143839.03</v>
      </c>
    </row>
    <row r="245" spans="1:8" ht="19.8" customHeight="1" x14ac:dyDescent="0.3">
      <c r="A245" s="98">
        <f t="shared" si="3"/>
        <v>11</v>
      </c>
      <c r="B245" s="92" t="s">
        <v>1438</v>
      </c>
      <c r="C245" s="92" t="s">
        <v>387</v>
      </c>
      <c r="D245" s="95">
        <v>143839.03</v>
      </c>
      <c r="E245" s="95">
        <v>0</v>
      </c>
      <c r="F245" s="95">
        <v>143839.03</v>
      </c>
      <c r="G245" s="95">
        <v>0</v>
      </c>
      <c r="H245" s="95">
        <v>143839.03</v>
      </c>
    </row>
    <row r="246" spans="1:8" ht="19.8" customHeight="1" x14ac:dyDescent="0.3">
      <c r="A246" s="98">
        <f t="shared" si="3"/>
        <v>3</v>
      </c>
      <c r="B246" s="92" t="s">
        <v>267</v>
      </c>
      <c r="C246" s="92" t="s">
        <v>388</v>
      </c>
      <c r="D246" s="95">
        <v>0</v>
      </c>
      <c r="E246" s="95">
        <v>96840.41</v>
      </c>
      <c r="F246" s="95">
        <v>0</v>
      </c>
      <c r="G246" s="95">
        <v>96840.41</v>
      </c>
      <c r="H246" s="95">
        <v>-96840.41</v>
      </c>
    </row>
    <row r="247" spans="1:8" ht="19.8" customHeight="1" x14ac:dyDescent="0.3">
      <c r="A247" s="98">
        <f t="shared" si="3"/>
        <v>7</v>
      </c>
      <c r="B247" s="92" t="s">
        <v>1439</v>
      </c>
      <c r="C247" s="92" t="s">
        <v>388</v>
      </c>
      <c r="D247" s="95">
        <v>0</v>
      </c>
      <c r="E247" s="95">
        <v>96840.41</v>
      </c>
      <c r="F247" s="95">
        <v>0</v>
      </c>
      <c r="G247" s="95">
        <v>96840.41</v>
      </c>
      <c r="H247" s="95">
        <v>-96840.41</v>
      </c>
    </row>
    <row r="248" spans="1:8" ht="19.8" customHeight="1" x14ac:dyDescent="0.3">
      <c r="A248" s="98">
        <f t="shared" si="3"/>
        <v>11</v>
      </c>
      <c r="B248" s="92" t="s">
        <v>1440</v>
      </c>
      <c r="C248" s="92" t="s">
        <v>1441</v>
      </c>
      <c r="D248" s="95">
        <v>0</v>
      </c>
      <c r="E248" s="95">
        <v>96840.41</v>
      </c>
      <c r="F248" s="95">
        <v>0</v>
      </c>
      <c r="G248" s="95">
        <v>96840.41</v>
      </c>
      <c r="H248" s="95">
        <v>-96840.41</v>
      </c>
    </row>
    <row r="249" spans="1:8" ht="19.8" customHeight="1" x14ac:dyDescent="0.3">
      <c r="A249" s="98">
        <f t="shared" si="3"/>
        <v>3</v>
      </c>
      <c r="B249" s="92" t="s">
        <v>180</v>
      </c>
      <c r="C249" s="92" t="s">
        <v>312</v>
      </c>
      <c r="D249" s="95">
        <v>1112158295.23</v>
      </c>
      <c r="E249" s="95">
        <v>1082863521.53</v>
      </c>
      <c r="F249" s="95">
        <v>29294773.699999999</v>
      </c>
      <c r="G249" s="95">
        <v>0</v>
      </c>
      <c r="H249" s="95">
        <v>29294773.699999999</v>
      </c>
    </row>
    <row r="250" spans="1:8" ht="19.8" customHeight="1" x14ac:dyDescent="0.3">
      <c r="A250" s="98">
        <f t="shared" si="3"/>
        <v>7</v>
      </c>
      <c r="B250" s="92" t="s">
        <v>1442</v>
      </c>
      <c r="C250" s="92" t="s">
        <v>1443</v>
      </c>
      <c r="D250" s="95">
        <v>808978866.85000002</v>
      </c>
      <c r="E250" s="95">
        <v>789808283.08000004</v>
      </c>
      <c r="F250" s="95">
        <v>19170583.77</v>
      </c>
      <c r="G250" s="95">
        <v>0</v>
      </c>
      <c r="H250" s="95">
        <v>19170583.77</v>
      </c>
    </row>
    <row r="251" spans="1:8" ht="19.8" customHeight="1" x14ac:dyDescent="0.3">
      <c r="A251" s="98">
        <f t="shared" si="3"/>
        <v>11</v>
      </c>
      <c r="B251" s="92" t="s">
        <v>1444</v>
      </c>
      <c r="C251" s="92" t="s">
        <v>1445</v>
      </c>
      <c r="D251" s="95">
        <v>793934082.49000001</v>
      </c>
      <c r="E251" s="95">
        <v>774763498.72000003</v>
      </c>
      <c r="F251" s="95">
        <v>19170583.77</v>
      </c>
      <c r="G251" s="95">
        <v>0</v>
      </c>
      <c r="H251" s="95">
        <v>19170583.77</v>
      </c>
    </row>
    <row r="252" spans="1:8" ht="19.8" customHeight="1" x14ac:dyDescent="0.3">
      <c r="A252" s="98">
        <f t="shared" si="3"/>
        <v>11</v>
      </c>
      <c r="B252" s="92" t="s">
        <v>1446</v>
      </c>
      <c r="C252" s="92" t="s">
        <v>1447</v>
      </c>
      <c r="D252" s="95">
        <v>281499.18</v>
      </c>
      <c r="E252" s="95">
        <v>281499.18</v>
      </c>
      <c r="F252" s="95">
        <v>0</v>
      </c>
      <c r="G252" s="95">
        <v>0</v>
      </c>
      <c r="H252" s="95">
        <v>0</v>
      </c>
    </row>
    <row r="253" spans="1:8" ht="19.8" customHeight="1" x14ac:dyDescent="0.3">
      <c r="A253" s="98">
        <f t="shared" si="3"/>
        <v>11</v>
      </c>
      <c r="B253" s="92" t="s">
        <v>1448</v>
      </c>
      <c r="C253" s="92" t="s">
        <v>1449</v>
      </c>
      <c r="D253" s="95">
        <v>14763285.18</v>
      </c>
      <c r="E253" s="95">
        <v>14763285.18</v>
      </c>
      <c r="F253" s="95">
        <v>0</v>
      </c>
      <c r="G253" s="95">
        <v>0</v>
      </c>
      <c r="H253" s="95">
        <v>0</v>
      </c>
    </row>
    <row r="254" spans="1:8" ht="19.8" customHeight="1" x14ac:dyDescent="0.3">
      <c r="A254" s="98">
        <f t="shared" si="3"/>
        <v>7</v>
      </c>
      <c r="B254" s="92" t="s">
        <v>1450</v>
      </c>
      <c r="C254" s="92" t="s">
        <v>1451</v>
      </c>
      <c r="D254" s="95">
        <v>171799945.05000001</v>
      </c>
      <c r="E254" s="95">
        <v>161675755.12</v>
      </c>
      <c r="F254" s="95">
        <v>10124189.93</v>
      </c>
      <c r="G254" s="95">
        <v>0</v>
      </c>
      <c r="H254" s="95">
        <v>10124189.93</v>
      </c>
    </row>
    <row r="255" spans="1:8" ht="19.8" customHeight="1" x14ac:dyDescent="0.3">
      <c r="A255" s="98">
        <f t="shared" si="3"/>
        <v>11</v>
      </c>
      <c r="B255" s="92" t="s">
        <v>1452</v>
      </c>
      <c r="C255" s="92" t="s">
        <v>1445</v>
      </c>
      <c r="D255" s="95">
        <v>118900214.31999999</v>
      </c>
      <c r="E255" s="95">
        <v>113411660.22</v>
      </c>
      <c r="F255" s="95">
        <v>5488554.0999999996</v>
      </c>
      <c r="G255" s="95">
        <v>0</v>
      </c>
      <c r="H255" s="95">
        <v>5488554.0999999996</v>
      </c>
    </row>
    <row r="256" spans="1:8" ht="19.8" customHeight="1" x14ac:dyDescent="0.3">
      <c r="A256" s="98">
        <f t="shared" si="3"/>
        <v>11</v>
      </c>
      <c r="B256" s="92" t="s">
        <v>1453</v>
      </c>
      <c r="C256" s="92" t="s">
        <v>1447</v>
      </c>
      <c r="D256" s="95">
        <v>34828013.390000001</v>
      </c>
      <c r="E256" s="95">
        <v>33019271.640000001</v>
      </c>
      <c r="F256" s="95">
        <v>1808741.75</v>
      </c>
      <c r="G256" s="95">
        <v>0</v>
      </c>
      <c r="H256" s="95">
        <v>1808741.75</v>
      </c>
    </row>
    <row r="257" spans="1:8" ht="19.8" customHeight="1" x14ac:dyDescent="0.3">
      <c r="A257" s="98">
        <f t="shared" si="3"/>
        <v>11</v>
      </c>
      <c r="B257" s="92" t="s">
        <v>1454</v>
      </c>
      <c r="C257" s="92" t="s">
        <v>1449</v>
      </c>
      <c r="D257" s="95">
        <v>16370344.08</v>
      </c>
      <c r="E257" s="95">
        <v>15001816.810000001</v>
      </c>
      <c r="F257" s="95">
        <v>1368527.27</v>
      </c>
      <c r="G257" s="95">
        <v>0</v>
      </c>
      <c r="H257" s="95">
        <v>1368527.27</v>
      </c>
    </row>
    <row r="258" spans="1:8" ht="19.8" customHeight="1" x14ac:dyDescent="0.3">
      <c r="A258" s="98">
        <f t="shared" si="3"/>
        <v>11</v>
      </c>
      <c r="B258" s="92" t="s">
        <v>1455</v>
      </c>
      <c r="C258" s="92" t="s">
        <v>1456</v>
      </c>
      <c r="D258" s="95">
        <v>455.96</v>
      </c>
      <c r="E258" s="95">
        <v>455.96</v>
      </c>
      <c r="F258" s="95">
        <v>0</v>
      </c>
      <c r="G258" s="95">
        <v>0</v>
      </c>
      <c r="H258" s="95">
        <v>0</v>
      </c>
    </row>
    <row r="259" spans="1:8" ht="19.8" customHeight="1" x14ac:dyDescent="0.3">
      <c r="A259" s="98">
        <f t="shared" ref="A259:A322" si="4">+LEN(B259)</f>
        <v>11</v>
      </c>
      <c r="B259" s="92" t="s">
        <v>1457</v>
      </c>
      <c r="C259" s="92" t="s">
        <v>1458</v>
      </c>
      <c r="D259" s="95">
        <v>47292</v>
      </c>
      <c r="E259" s="95">
        <v>47292</v>
      </c>
      <c r="F259" s="95">
        <v>0</v>
      </c>
      <c r="G259" s="95">
        <v>0</v>
      </c>
      <c r="H259" s="95">
        <v>0</v>
      </c>
    </row>
    <row r="260" spans="1:8" ht="19.8" customHeight="1" x14ac:dyDescent="0.3">
      <c r="A260" s="98">
        <f t="shared" si="4"/>
        <v>11</v>
      </c>
      <c r="B260" s="92" t="s">
        <v>1459</v>
      </c>
      <c r="C260" s="92" t="s">
        <v>1460</v>
      </c>
      <c r="D260" s="95">
        <v>1653625.3</v>
      </c>
      <c r="E260" s="95">
        <v>195258.49</v>
      </c>
      <c r="F260" s="95">
        <v>1458366.81</v>
      </c>
      <c r="G260" s="95">
        <v>0</v>
      </c>
      <c r="H260" s="95">
        <v>1458366.81</v>
      </c>
    </row>
    <row r="261" spans="1:8" ht="19.8" customHeight="1" x14ac:dyDescent="0.3">
      <c r="A261" s="98">
        <f t="shared" si="4"/>
        <v>7</v>
      </c>
      <c r="B261" s="92" t="s">
        <v>1461</v>
      </c>
      <c r="C261" s="92" t="s">
        <v>1462</v>
      </c>
      <c r="D261" s="95">
        <v>131379483.33</v>
      </c>
      <c r="E261" s="95">
        <v>131379483.33</v>
      </c>
      <c r="F261" s="95">
        <v>0</v>
      </c>
      <c r="G261" s="95">
        <v>0</v>
      </c>
      <c r="H261" s="95">
        <v>0</v>
      </c>
    </row>
    <row r="262" spans="1:8" ht="19.8" customHeight="1" x14ac:dyDescent="0.3">
      <c r="A262" s="98">
        <f t="shared" si="4"/>
        <v>11</v>
      </c>
      <c r="B262" s="92" t="s">
        <v>1463</v>
      </c>
      <c r="C262" s="92" t="s">
        <v>1464</v>
      </c>
      <c r="D262" s="95">
        <v>131379483.33</v>
      </c>
      <c r="E262" s="95">
        <v>131379483.33</v>
      </c>
      <c r="F262" s="95">
        <v>0</v>
      </c>
      <c r="G262" s="95">
        <v>0</v>
      </c>
      <c r="H262" s="95">
        <v>0</v>
      </c>
    </row>
    <row r="263" spans="1:8" ht="19.8" customHeight="1" x14ac:dyDescent="0.3">
      <c r="A263" s="98">
        <f t="shared" si="4"/>
        <v>3</v>
      </c>
      <c r="B263" s="92" t="s">
        <v>181</v>
      </c>
      <c r="C263" s="92" t="s">
        <v>313</v>
      </c>
      <c r="D263" s="95">
        <v>925042270.92999995</v>
      </c>
      <c r="E263" s="95">
        <v>874798885.95000005</v>
      </c>
      <c r="F263" s="95">
        <v>50243384.979999997</v>
      </c>
      <c r="G263" s="95">
        <v>0</v>
      </c>
      <c r="H263" s="95">
        <v>50243384.979999997</v>
      </c>
    </row>
    <row r="264" spans="1:8" ht="19.8" customHeight="1" x14ac:dyDescent="0.3">
      <c r="A264" s="98">
        <f t="shared" si="4"/>
        <v>7</v>
      </c>
      <c r="B264" s="92" t="s">
        <v>1465</v>
      </c>
      <c r="C264" s="92" t="s">
        <v>313</v>
      </c>
      <c r="D264" s="95">
        <v>925042270.92999995</v>
      </c>
      <c r="E264" s="95">
        <v>874798885.95000005</v>
      </c>
      <c r="F264" s="95">
        <v>50243384.979999997</v>
      </c>
      <c r="G264" s="95">
        <v>0</v>
      </c>
      <c r="H264" s="95">
        <v>50243384.979999997</v>
      </c>
    </row>
    <row r="265" spans="1:8" ht="19.8" customHeight="1" x14ac:dyDescent="0.3">
      <c r="A265" s="98">
        <f t="shared" si="4"/>
        <v>11</v>
      </c>
      <c r="B265" s="92" t="s">
        <v>1466</v>
      </c>
      <c r="C265" s="92" t="s">
        <v>1467</v>
      </c>
      <c r="D265" s="95">
        <v>792923376.08000004</v>
      </c>
      <c r="E265" s="95">
        <v>751510620.69000006</v>
      </c>
      <c r="F265" s="95">
        <v>41412755.390000001</v>
      </c>
      <c r="G265" s="95">
        <v>0</v>
      </c>
      <c r="H265" s="95">
        <v>41412755.390000001</v>
      </c>
    </row>
    <row r="266" spans="1:8" ht="19.8" customHeight="1" x14ac:dyDescent="0.3">
      <c r="A266" s="98">
        <f t="shared" si="4"/>
        <v>11</v>
      </c>
      <c r="B266" s="92" t="s">
        <v>1468</v>
      </c>
      <c r="C266" s="92" t="s">
        <v>1469</v>
      </c>
      <c r="D266" s="95">
        <v>21847604.989999998</v>
      </c>
      <c r="E266" s="95">
        <v>19012334.77</v>
      </c>
      <c r="F266" s="95">
        <v>2835270.22</v>
      </c>
      <c r="G266" s="95">
        <v>0</v>
      </c>
      <c r="H266" s="95">
        <v>2835270.22</v>
      </c>
    </row>
    <row r="267" spans="1:8" ht="19.8" customHeight="1" x14ac:dyDescent="0.3">
      <c r="A267" s="98">
        <f t="shared" si="4"/>
        <v>11</v>
      </c>
      <c r="B267" s="92" t="s">
        <v>1470</v>
      </c>
      <c r="C267" s="92" t="s">
        <v>1471</v>
      </c>
      <c r="D267" s="95">
        <v>98928615.170000002</v>
      </c>
      <c r="E267" s="95">
        <v>98458288.969999999</v>
      </c>
      <c r="F267" s="95">
        <v>470326.2</v>
      </c>
      <c r="G267" s="95">
        <v>0</v>
      </c>
      <c r="H267" s="95">
        <v>470326.2</v>
      </c>
    </row>
    <row r="268" spans="1:8" ht="19.8" customHeight="1" x14ac:dyDescent="0.3">
      <c r="A268" s="98">
        <f t="shared" si="4"/>
        <v>11</v>
      </c>
      <c r="B268" s="92" t="s">
        <v>1472</v>
      </c>
      <c r="C268" s="92" t="s">
        <v>1473</v>
      </c>
      <c r="D268" s="95">
        <v>3380758</v>
      </c>
      <c r="E268" s="95">
        <v>2602366</v>
      </c>
      <c r="F268" s="95">
        <v>778392</v>
      </c>
      <c r="G268" s="95">
        <v>0</v>
      </c>
      <c r="H268" s="95">
        <v>778392</v>
      </c>
    </row>
    <row r="269" spans="1:8" ht="19.8" customHeight="1" x14ac:dyDescent="0.3">
      <c r="A269" s="98">
        <f t="shared" si="4"/>
        <v>11</v>
      </c>
      <c r="B269" s="92" t="s">
        <v>1474</v>
      </c>
      <c r="C269" s="92" t="s">
        <v>1475</v>
      </c>
      <c r="D269" s="95">
        <v>5520048</v>
      </c>
      <c r="E269" s="95">
        <v>2435517</v>
      </c>
      <c r="F269" s="95">
        <v>3084531</v>
      </c>
      <c r="G269" s="95">
        <v>0</v>
      </c>
      <c r="H269" s="95">
        <v>3084531</v>
      </c>
    </row>
    <row r="270" spans="1:8" ht="19.8" customHeight="1" x14ac:dyDescent="0.3">
      <c r="A270" s="98">
        <f t="shared" si="4"/>
        <v>11</v>
      </c>
      <c r="B270" s="92" t="s">
        <v>1476</v>
      </c>
      <c r="C270" s="92" t="s">
        <v>1477</v>
      </c>
      <c r="D270" s="95">
        <v>2441868.69</v>
      </c>
      <c r="E270" s="95">
        <v>779758.52</v>
      </c>
      <c r="F270" s="95">
        <v>1662110.17</v>
      </c>
      <c r="G270" s="95">
        <v>0</v>
      </c>
      <c r="H270" s="95">
        <v>1662110.17</v>
      </c>
    </row>
    <row r="271" spans="1:8" ht="19.8" customHeight="1" x14ac:dyDescent="0.3">
      <c r="A271" s="98">
        <f t="shared" si="4"/>
        <v>3</v>
      </c>
      <c r="B271" s="92" t="s">
        <v>182</v>
      </c>
      <c r="C271" s="92" t="s">
        <v>382</v>
      </c>
      <c r="D271" s="95">
        <v>156938176.71000001</v>
      </c>
      <c r="E271" s="95">
        <v>156938176.71000001</v>
      </c>
      <c r="F271" s="95">
        <v>0</v>
      </c>
      <c r="G271" s="95">
        <v>0</v>
      </c>
      <c r="H271" s="95">
        <v>0</v>
      </c>
    </row>
    <row r="272" spans="1:8" ht="19.8" customHeight="1" x14ac:dyDescent="0.3">
      <c r="A272" s="98">
        <f t="shared" si="4"/>
        <v>7</v>
      </c>
      <c r="B272" s="92" t="s">
        <v>1478</v>
      </c>
      <c r="C272" s="92" t="s">
        <v>382</v>
      </c>
      <c r="D272" s="95">
        <v>156938176.71000001</v>
      </c>
      <c r="E272" s="95">
        <v>156938176.71000001</v>
      </c>
      <c r="F272" s="95">
        <v>0</v>
      </c>
      <c r="G272" s="95">
        <v>0</v>
      </c>
      <c r="H272" s="95">
        <v>0</v>
      </c>
    </row>
    <row r="273" spans="1:8" ht="19.8" customHeight="1" x14ac:dyDescent="0.3">
      <c r="A273" s="98">
        <f t="shared" si="4"/>
        <v>11</v>
      </c>
      <c r="B273" s="92" t="s">
        <v>1479</v>
      </c>
      <c r="C273" s="92" t="s">
        <v>1467</v>
      </c>
      <c r="D273" s="95">
        <v>111671738.64</v>
      </c>
      <c r="E273" s="95">
        <v>111671738.64</v>
      </c>
      <c r="F273" s="95">
        <v>0</v>
      </c>
      <c r="G273" s="95">
        <v>0</v>
      </c>
      <c r="H273" s="95">
        <v>0</v>
      </c>
    </row>
    <row r="274" spans="1:8" ht="19.8" customHeight="1" x14ac:dyDescent="0.3">
      <c r="A274" s="98">
        <f t="shared" si="4"/>
        <v>11</v>
      </c>
      <c r="B274" s="92" t="s">
        <v>1480</v>
      </c>
      <c r="C274" s="92" t="s">
        <v>1469</v>
      </c>
      <c r="D274" s="95">
        <v>3427822.26</v>
      </c>
      <c r="E274" s="95">
        <v>3427822.26</v>
      </c>
      <c r="F274" s="95">
        <v>0</v>
      </c>
      <c r="G274" s="95">
        <v>0</v>
      </c>
      <c r="H274" s="95">
        <v>0</v>
      </c>
    </row>
    <row r="275" spans="1:8" ht="19.8" customHeight="1" x14ac:dyDescent="0.3">
      <c r="A275" s="98">
        <f t="shared" si="4"/>
        <v>11</v>
      </c>
      <c r="B275" s="92" t="s">
        <v>1481</v>
      </c>
      <c r="C275" s="92" t="s">
        <v>1482</v>
      </c>
      <c r="D275" s="95">
        <v>538171.09</v>
      </c>
      <c r="E275" s="95">
        <v>538171.09</v>
      </c>
      <c r="F275" s="95">
        <v>0</v>
      </c>
      <c r="G275" s="95">
        <v>0</v>
      </c>
      <c r="H275" s="95">
        <v>0</v>
      </c>
    </row>
    <row r="276" spans="1:8" ht="19.8" customHeight="1" x14ac:dyDescent="0.3">
      <c r="A276" s="98">
        <f t="shared" si="4"/>
        <v>11</v>
      </c>
      <c r="B276" s="92" t="s">
        <v>1483</v>
      </c>
      <c r="C276" s="92" t="s">
        <v>1484</v>
      </c>
      <c r="D276" s="95">
        <v>18659777.66</v>
      </c>
      <c r="E276" s="95">
        <v>18659777.66</v>
      </c>
      <c r="F276" s="95">
        <v>0</v>
      </c>
      <c r="G276" s="95">
        <v>0</v>
      </c>
      <c r="H276" s="95">
        <v>0</v>
      </c>
    </row>
    <row r="277" spans="1:8" ht="19.8" customHeight="1" x14ac:dyDescent="0.3">
      <c r="A277" s="98">
        <f t="shared" si="4"/>
        <v>11</v>
      </c>
      <c r="B277" s="92" t="s">
        <v>1485</v>
      </c>
      <c r="C277" s="92" t="s">
        <v>1486</v>
      </c>
      <c r="D277" s="95">
        <v>18135377.219999999</v>
      </c>
      <c r="E277" s="95">
        <v>18135377.219999999</v>
      </c>
      <c r="F277" s="95">
        <v>0</v>
      </c>
      <c r="G277" s="95">
        <v>0</v>
      </c>
      <c r="H277" s="95">
        <v>0</v>
      </c>
    </row>
    <row r="278" spans="1:8" ht="19.8" customHeight="1" x14ac:dyDescent="0.3">
      <c r="A278" s="98">
        <f t="shared" si="4"/>
        <v>11</v>
      </c>
      <c r="B278" s="92" t="s">
        <v>1487</v>
      </c>
      <c r="C278" s="92" t="s">
        <v>1488</v>
      </c>
      <c r="D278" s="95">
        <v>4075045.58</v>
      </c>
      <c r="E278" s="95">
        <v>4075045.58</v>
      </c>
      <c r="F278" s="95">
        <v>0</v>
      </c>
      <c r="G278" s="95">
        <v>0</v>
      </c>
      <c r="H278" s="95">
        <v>0</v>
      </c>
    </row>
    <row r="279" spans="1:8" ht="19.8" customHeight="1" x14ac:dyDescent="0.3">
      <c r="A279" s="98">
        <f t="shared" si="4"/>
        <v>11</v>
      </c>
      <c r="B279" s="92" t="s">
        <v>1489</v>
      </c>
      <c r="C279" s="92" t="s">
        <v>1473</v>
      </c>
      <c r="D279" s="95">
        <v>279654</v>
      </c>
      <c r="E279" s="95">
        <v>279654</v>
      </c>
      <c r="F279" s="95">
        <v>0</v>
      </c>
      <c r="G279" s="95">
        <v>0</v>
      </c>
      <c r="H279" s="95">
        <v>0</v>
      </c>
    </row>
    <row r="280" spans="1:8" ht="19.8" customHeight="1" x14ac:dyDescent="0.3">
      <c r="A280" s="98">
        <f t="shared" si="4"/>
        <v>11</v>
      </c>
      <c r="B280" s="92" t="s">
        <v>1490</v>
      </c>
      <c r="C280" s="92" t="s">
        <v>1475</v>
      </c>
      <c r="D280" s="95">
        <v>92501.18</v>
      </c>
      <c r="E280" s="95">
        <v>92501.18</v>
      </c>
      <c r="F280" s="95">
        <v>0</v>
      </c>
      <c r="G280" s="95">
        <v>0</v>
      </c>
      <c r="H280" s="95">
        <v>0</v>
      </c>
    </row>
    <row r="281" spans="1:8" ht="19.8" customHeight="1" x14ac:dyDescent="0.3">
      <c r="A281" s="98">
        <f t="shared" si="4"/>
        <v>11</v>
      </c>
      <c r="B281" s="92" t="s">
        <v>1491</v>
      </c>
      <c r="C281" s="92" t="s">
        <v>1492</v>
      </c>
      <c r="D281" s="95">
        <v>58089.08</v>
      </c>
      <c r="E281" s="95">
        <v>58089.08</v>
      </c>
      <c r="F281" s="95">
        <v>0</v>
      </c>
      <c r="G281" s="95">
        <v>0</v>
      </c>
      <c r="H281" s="95">
        <v>0</v>
      </c>
    </row>
    <row r="282" spans="1:8" ht="19.8" customHeight="1" x14ac:dyDescent="0.3">
      <c r="A282" s="98">
        <f t="shared" si="4"/>
        <v>3</v>
      </c>
      <c r="B282" s="92" t="s">
        <v>183</v>
      </c>
      <c r="C282" s="92" t="s">
        <v>314</v>
      </c>
      <c r="D282" s="95">
        <v>942223708.24000001</v>
      </c>
      <c r="E282" s="95">
        <v>813529424.63999999</v>
      </c>
      <c r="F282" s="95">
        <v>128694283.59999999</v>
      </c>
      <c r="G282" s="95">
        <v>0</v>
      </c>
      <c r="H282" s="95">
        <v>128694283.59999999</v>
      </c>
    </row>
    <row r="283" spans="1:8" ht="19.8" customHeight="1" x14ac:dyDescent="0.3">
      <c r="A283" s="98">
        <f t="shared" si="4"/>
        <v>7</v>
      </c>
      <c r="B283" s="92" t="s">
        <v>1493</v>
      </c>
      <c r="C283" s="92" t="s">
        <v>1494</v>
      </c>
      <c r="D283" s="95">
        <v>920439724.08000004</v>
      </c>
      <c r="E283" s="95">
        <v>793556017.20000005</v>
      </c>
      <c r="F283" s="95">
        <v>126883706.88</v>
      </c>
      <c r="G283" s="95">
        <v>0</v>
      </c>
      <c r="H283" s="95">
        <v>126883706.88</v>
      </c>
    </row>
    <row r="284" spans="1:8" ht="19.8" customHeight="1" x14ac:dyDescent="0.3">
      <c r="A284" s="98">
        <f t="shared" si="4"/>
        <v>11</v>
      </c>
      <c r="B284" s="92" t="s">
        <v>1495</v>
      </c>
      <c r="C284" s="92" t="s">
        <v>1496</v>
      </c>
      <c r="D284" s="95">
        <v>666966857.10000002</v>
      </c>
      <c r="E284" s="95">
        <v>584441930.96000004</v>
      </c>
      <c r="F284" s="95">
        <v>82524926.140000001</v>
      </c>
      <c r="G284" s="95">
        <v>0</v>
      </c>
      <c r="H284" s="95">
        <v>82524926.140000001</v>
      </c>
    </row>
    <row r="285" spans="1:8" ht="19.8" customHeight="1" x14ac:dyDescent="0.3">
      <c r="A285" s="98">
        <f t="shared" si="4"/>
        <v>11</v>
      </c>
      <c r="B285" s="92" t="s">
        <v>1497</v>
      </c>
      <c r="C285" s="92" t="s">
        <v>1498</v>
      </c>
      <c r="D285" s="95">
        <v>34416093.219999999</v>
      </c>
      <c r="E285" s="95">
        <v>31748906.670000002</v>
      </c>
      <c r="F285" s="95">
        <v>2667186.5499999998</v>
      </c>
      <c r="G285" s="95">
        <v>0</v>
      </c>
      <c r="H285" s="95">
        <v>2667186.5499999998</v>
      </c>
    </row>
    <row r="286" spans="1:8" ht="19.8" customHeight="1" x14ac:dyDescent="0.3">
      <c r="A286" s="98">
        <f t="shared" si="4"/>
        <v>11</v>
      </c>
      <c r="B286" s="92" t="s">
        <v>1499</v>
      </c>
      <c r="C286" s="92" t="s">
        <v>1500</v>
      </c>
      <c r="D286" s="95">
        <v>93986154.189999998</v>
      </c>
      <c r="E286" s="95">
        <v>85228515.599999994</v>
      </c>
      <c r="F286" s="95">
        <v>8757638.5899999999</v>
      </c>
      <c r="G286" s="95">
        <v>0</v>
      </c>
      <c r="H286" s="95">
        <v>8757638.5899999999</v>
      </c>
    </row>
    <row r="287" spans="1:8" ht="19.8" customHeight="1" x14ac:dyDescent="0.3">
      <c r="A287" s="98">
        <f t="shared" si="4"/>
        <v>11</v>
      </c>
      <c r="B287" s="92" t="s">
        <v>1501</v>
      </c>
      <c r="C287" s="92" t="s">
        <v>1502</v>
      </c>
      <c r="D287" s="95">
        <v>9493367.3399999999</v>
      </c>
      <c r="E287" s="95">
        <v>8700571.4100000001</v>
      </c>
      <c r="F287" s="95">
        <v>792795.93</v>
      </c>
      <c r="G287" s="95">
        <v>0</v>
      </c>
      <c r="H287" s="95">
        <v>792795.93</v>
      </c>
    </row>
    <row r="288" spans="1:8" ht="19.8" customHeight="1" x14ac:dyDescent="0.3">
      <c r="A288" s="98">
        <f t="shared" si="4"/>
        <v>11</v>
      </c>
      <c r="B288" s="92" t="s">
        <v>1503</v>
      </c>
      <c r="C288" s="92" t="s">
        <v>1504</v>
      </c>
      <c r="D288" s="95">
        <v>23903062.870000001</v>
      </c>
      <c r="E288" s="95">
        <v>16448054.550000001</v>
      </c>
      <c r="F288" s="95">
        <v>7455008.3200000003</v>
      </c>
      <c r="G288" s="95">
        <v>0</v>
      </c>
      <c r="H288" s="95">
        <v>7455008.3200000003</v>
      </c>
    </row>
    <row r="289" spans="1:8" ht="19.8" customHeight="1" x14ac:dyDescent="0.3">
      <c r="A289" s="98">
        <f t="shared" si="4"/>
        <v>11</v>
      </c>
      <c r="B289" s="92" t="s">
        <v>1505</v>
      </c>
      <c r="C289" s="92" t="s">
        <v>1506</v>
      </c>
      <c r="D289" s="95">
        <v>83840152.670000002</v>
      </c>
      <c r="E289" s="95">
        <v>63411359.329999998</v>
      </c>
      <c r="F289" s="95">
        <v>20428793.34</v>
      </c>
      <c r="G289" s="95">
        <v>0</v>
      </c>
      <c r="H289" s="95">
        <v>20428793.34</v>
      </c>
    </row>
    <row r="290" spans="1:8" ht="19.8" customHeight="1" x14ac:dyDescent="0.3">
      <c r="A290" s="98">
        <f t="shared" si="4"/>
        <v>11</v>
      </c>
      <c r="B290" s="92" t="s">
        <v>1507</v>
      </c>
      <c r="C290" s="92" t="s">
        <v>1508</v>
      </c>
      <c r="D290" s="95">
        <v>7834036.6900000004</v>
      </c>
      <c r="E290" s="95">
        <v>3576678.68</v>
      </c>
      <c r="F290" s="95">
        <v>4257358.01</v>
      </c>
      <c r="G290" s="95">
        <v>0</v>
      </c>
      <c r="H290" s="95">
        <v>4257358.01</v>
      </c>
    </row>
    <row r="291" spans="1:8" ht="19.8" customHeight="1" x14ac:dyDescent="0.3">
      <c r="A291" s="98">
        <f t="shared" si="4"/>
        <v>7</v>
      </c>
      <c r="B291" s="92" t="s">
        <v>1509</v>
      </c>
      <c r="C291" s="92" t="s">
        <v>1510</v>
      </c>
      <c r="D291" s="95">
        <v>21783984.16</v>
      </c>
      <c r="E291" s="95">
        <v>19973407.440000001</v>
      </c>
      <c r="F291" s="95">
        <v>1810576.72</v>
      </c>
      <c r="G291" s="95">
        <v>0</v>
      </c>
      <c r="H291" s="95">
        <v>1810576.72</v>
      </c>
    </row>
    <row r="292" spans="1:8" ht="19.8" customHeight="1" x14ac:dyDescent="0.3">
      <c r="A292" s="98">
        <f t="shared" si="4"/>
        <v>11</v>
      </c>
      <c r="B292" s="92" t="s">
        <v>1511</v>
      </c>
      <c r="C292" s="92" t="s">
        <v>1496</v>
      </c>
      <c r="D292" s="95">
        <v>28999.200000000001</v>
      </c>
      <c r="E292" s="95">
        <v>28999.200000000001</v>
      </c>
      <c r="F292" s="95">
        <v>0</v>
      </c>
      <c r="G292" s="95">
        <v>0</v>
      </c>
      <c r="H292" s="95">
        <v>0</v>
      </c>
    </row>
    <row r="293" spans="1:8" ht="19.8" customHeight="1" x14ac:dyDescent="0.3">
      <c r="A293" s="98">
        <f t="shared" si="4"/>
        <v>11</v>
      </c>
      <c r="B293" s="92" t="s">
        <v>1512</v>
      </c>
      <c r="C293" s="92" t="s">
        <v>1498</v>
      </c>
      <c r="D293" s="95">
        <v>1209303.31</v>
      </c>
      <c r="E293" s="95">
        <v>1209303.31</v>
      </c>
      <c r="F293" s="95">
        <v>0</v>
      </c>
      <c r="G293" s="95">
        <v>0</v>
      </c>
      <c r="H293" s="95">
        <v>0</v>
      </c>
    </row>
    <row r="294" spans="1:8" ht="19.8" customHeight="1" x14ac:dyDescent="0.3">
      <c r="A294" s="98">
        <f t="shared" si="4"/>
        <v>11</v>
      </c>
      <c r="B294" s="92" t="s">
        <v>1513</v>
      </c>
      <c r="C294" s="92" t="s">
        <v>1500</v>
      </c>
      <c r="D294" s="95">
        <v>1459913.53</v>
      </c>
      <c r="E294" s="95">
        <v>1459913.53</v>
      </c>
      <c r="F294" s="95">
        <v>0</v>
      </c>
      <c r="G294" s="95">
        <v>0</v>
      </c>
      <c r="H294" s="95">
        <v>0</v>
      </c>
    </row>
    <row r="295" spans="1:8" ht="19.8" customHeight="1" x14ac:dyDescent="0.3">
      <c r="A295" s="98">
        <f t="shared" si="4"/>
        <v>11</v>
      </c>
      <c r="B295" s="92" t="s">
        <v>1514</v>
      </c>
      <c r="C295" s="92" t="s">
        <v>1502</v>
      </c>
      <c r="D295" s="95">
        <v>2871075.16</v>
      </c>
      <c r="E295" s="95">
        <v>2279427.5299999998</v>
      </c>
      <c r="F295" s="95">
        <v>591647.63</v>
      </c>
      <c r="G295" s="95">
        <v>0</v>
      </c>
      <c r="H295" s="95">
        <v>591647.63</v>
      </c>
    </row>
    <row r="296" spans="1:8" ht="19.8" customHeight="1" x14ac:dyDescent="0.3">
      <c r="A296" s="98">
        <f t="shared" si="4"/>
        <v>11</v>
      </c>
      <c r="B296" s="92" t="s">
        <v>1515</v>
      </c>
      <c r="C296" s="92" t="s">
        <v>1504</v>
      </c>
      <c r="D296" s="95">
        <v>9046348.9600000009</v>
      </c>
      <c r="E296" s="95">
        <v>9045838.4499999993</v>
      </c>
      <c r="F296" s="95">
        <v>510.51</v>
      </c>
      <c r="G296" s="95">
        <v>0</v>
      </c>
      <c r="H296" s="95">
        <v>510.51</v>
      </c>
    </row>
    <row r="297" spans="1:8" ht="19.8" customHeight="1" x14ac:dyDescent="0.3">
      <c r="A297" s="98">
        <f t="shared" si="4"/>
        <v>11</v>
      </c>
      <c r="B297" s="92" t="s">
        <v>1516</v>
      </c>
      <c r="C297" s="92" t="s">
        <v>1506</v>
      </c>
      <c r="D297" s="95">
        <v>7168344</v>
      </c>
      <c r="E297" s="95">
        <v>5949925.4199999999</v>
      </c>
      <c r="F297" s="95">
        <v>1218418.58</v>
      </c>
      <c r="G297" s="95">
        <v>0</v>
      </c>
      <c r="H297" s="95">
        <v>1218418.58</v>
      </c>
    </row>
    <row r="298" spans="1:8" ht="19.8" customHeight="1" x14ac:dyDescent="0.3">
      <c r="A298" s="98">
        <f t="shared" si="4"/>
        <v>3</v>
      </c>
      <c r="B298" s="92" t="s">
        <v>268</v>
      </c>
      <c r="C298" s="92" t="s">
        <v>315</v>
      </c>
      <c r="D298" s="95">
        <v>11144713.93</v>
      </c>
      <c r="E298" s="95">
        <v>11144713.93</v>
      </c>
      <c r="F298" s="95">
        <v>0</v>
      </c>
      <c r="G298" s="95">
        <v>0</v>
      </c>
      <c r="H298" s="95">
        <v>0</v>
      </c>
    </row>
    <row r="299" spans="1:8" ht="19.8" customHeight="1" x14ac:dyDescent="0.3">
      <c r="A299" s="98">
        <f t="shared" si="4"/>
        <v>7</v>
      </c>
      <c r="B299" s="92" t="s">
        <v>1517</v>
      </c>
      <c r="C299" s="92" t="s">
        <v>315</v>
      </c>
      <c r="D299" s="95">
        <v>11144713.93</v>
      </c>
      <c r="E299" s="95">
        <v>11144713.93</v>
      </c>
      <c r="F299" s="95">
        <v>0</v>
      </c>
      <c r="G299" s="95">
        <v>0</v>
      </c>
      <c r="H299" s="95">
        <v>0</v>
      </c>
    </row>
    <row r="300" spans="1:8" ht="19.8" customHeight="1" x14ac:dyDescent="0.3">
      <c r="A300" s="98">
        <f t="shared" si="4"/>
        <v>11</v>
      </c>
      <c r="B300" s="92" t="s">
        <v>1518</v>
      </c>
      <c r="C300" s="92" t="s">
        <v>315</v>
      </c>
      <c r="D300" s="95">
        <v>27000</v>
      </c>
      <c r="E300" s="95">
        <v>27000</v>
      </c>
      <c r="F300" s="95">
        <v>0</v>
      </c>
      <c r="G300" s="95">
        <v>0</v>
      </c>
      <c r="H300" s="95">
        <v>0</v>
      </c>
    </row>
    <row r="301" spans="1:8" ht="19.8" customHeight="1" x14ac:dyDescent="0.3">
      <c r="A301" s="98">
        <f t="shared" si="4"/>
        <v>11</v>
      </c>
      <c r="B301" s="92" t="s">
        <v>1519</v>
      </c>
      <c r="C301" s="92" t="s">
        <v>1520</v>
      </c>
      <c r="D301" s="95">
        <v>9960</v>
      </c>
      <c r="E301" s="95">
        <v>9960</v>
      </c>
      <c r="F301" s="95">
        <v>0</v>
      </c>
      <c r="G301" s="95">
        <v>0</v>
      </c>
      <c r="H301" s="95">
        <v>0</v>
      </c>
    </row>
    <row r="302" spans="1:8" ht="19.8" customHeight="1" x14ac:dyDescent="0.3">
      <c r="A302" s="98">
        <f t="shared" si="4"/>
        <v>11</v>
      </c>
      <c r="B302" s="92" t="s">
        <v>1521</v>
      </c>
      <c r="C302" s="92" t="s">
        <v>1522</v>
      </c>
      <c r="D302" s="95">
        <v>778062.38</v>
      </c>
      <c r="E302" s="95">
        <v>778062.38</v>
      </c>
      <c r="F302" s="95">
        <v>0</v>
      </c>
      <c r="G302" s="95">
        <v>0</v>
      </c>
      <c r="H302" s="95">
        <v>0</v>
      </c>
    </row>
    <row r="303" spans="1:8" ht="19.8" customHeight="1" x14ac:dyDescent="0.3">
      <c r="A303" s="98">
        <f t="shared" si="4"/>
        <v>11</v>
      </c>
      <c r="B303" s="92" t="s">
        <v>1523</v>
      </c>
      <c r="C303" s="92" t="s">
        <v>1524</v>
      </c>
      <c r="D303" s="95">
        <v>4779017.76</v>
      </c>
      <c r="E303" s="95">
        <v>4779017.76</v>
      </c>
      <c r="F303" s="95">
        <v>0</v>
      </c>
      <c r="G303" s="95">
        <v>0</v>
      </c>
      <c r="H303" s="95">
        <v>0</v>
      </c>
    </row>
    <row r="304" spans="1:8" ht="19.8" customHeight="1" x14ac:dyDescent="0.3">
      <c r="A304" s="98">
        <f t="shared" si="4"/>
        <v>11</v>
      </c>
      <c r="B304" s="92" t="s">
        <v>1525</v>
      </c>
      <c r="C304" s="92" t="s">
        <v>1526</v>
      </c>
      <c r="D304" s="95">
        <v>4101716.83</v>
      </c>
      <c r="E304" s="95">
        <v>4101716.83</v>
      </c>
      <c r="F304" s="95">
        <v>0</v>
      </c>
      <c r="G304" s="95">
        <v>0</v>
      </c>
      <c r="H304" s="95">
        <v>0</v>
      </c>
    </row>
    <row r="305" spans="1:8" ht="19.8" customHeight="1" x14ac:dyDescent="0.3">
      <c r="A305" s="98">
        <f t="shared" si="4"/>
        <v>11</v>
      </c>
      <c r="B305" s="92" t="s">
        <v>1527</v>
      </c>
      <c r="C305" s="92" t="s">
        <v>1528</v>
      </c>
      <c r="D305" s="95">
        <v>1128792.3</v>
      </c>
      <c r="E305" s="95">
        <v>1128792.3</v>
      </c>
      <c r="F305" s="95">
        <v>0</v>
      </c>
      <c r="G305" s="95">
        <v>0</v>
      </c>
      <c r="H305" s="95">
        <v>0</v>
      </c>
    </row>
    <row r="306" spans="1:8" ht="19.8" customHeight="1" x14ac:dyDescent="0.3">
      <c r="A306" s="98">
        <f t="shared" si="4"/>
        <v>11</v>
      </c>
      <c r="B306" s="92" t="s">
        <v>1529</v>
      </c>
      <c r="C306" s="92" t="s">
        <v>1530</v>
      </c>
      <c r="D306" s="95">
        <v>43184.9</v>
      </c>
      <c r="E306" s="95">
        <v>43184.9</v>
      </c>
      <c r="F306" s="95">
        <v>0</v>
      </c>
      <c r="G306" s="95">
        <v>0</v>
      </c>
      <c r="H306" s="95">
        <v>0</v>
      </c>
    </row>
    <row r="307" spans="1:8" ht="19.8" customHeight="1" x14ac:dyDescent="0.3">
      <c r="A307" s="98">
        <f t="shared" si="4"/>
        <v>11</v>
      </c>
      <c r="B307" s="92" t="s">
        <v>1531</v>
      </c>
      <c r="C307" s="92" t="s">
        <v>1532</v>
      </c>
      <c r="D307" s="95">
        <v>245580</v>
      </c>
      <c r="E307" s="95">
        <v>245580</v>
      </c>
      <c r="F307" s="95">
        <v>0</v>
      </c>
      <c r="G307" s="95">
        <v>0</v>
      </c>
      <c r="H307" s="95">
        <v>0</v>
      </c>
    </row>
    <row r="308" spans="1:8" ht="19.8" customHeight="1" x14ac:dyDescent="0.3">
      <c r="A308" s="98">
        <f t="shared" si="4"/>
        <v>11</v>
      </c>
      <c r="B308" s="92" t="s">
        <v>1533</v>
      </c>
      <c r="C308" s="92" t="s">
        <v>1534</v>
      </c>
      <c r="D308" s="95">
        <v>31399.759999999998</v>
      </c>
      <c r="E308" s="95">
        <v>31399.759999999998</v>
      </c>
      <c r="F308" s="95">
        <v>0</v>
      </c>
      <c r="G308" s="95">
        <v>0</v>
      </c>
      <c r="H308" s="95">
        <v>0</v>
      </c>
    </row>
    <row r="309" spans="1:8" ht="19.8" customHeight="1" x14ac:dyDescent="0.3">
      <c r="A309" s="98">
        <f t="shared" si="4"/>
        <v>3</v>
      </c>
      <c r="B309" s="92" t="s">
        <v>184</v>
      </c>
      <c r="C309" s="92" t="s">
        <v>316</v>
      </c>
      <c r="D309" s="95">
        <v>133919707.31999999</v>
      </c>
      <c r="E309" s="95">
        <v>124012772.09</v>
      </c>
      <c r="F309" s="95">
        <v>9906935.2300000004</v>
      </c>
      <c r="G309" s="95">
        <v>0</v>
      </c>
      <c r="H309" s="95">
        <v>9906935.2300000004</v>
      </c>
    </row>
    <row r="310" spans="1:8" ht="19.8" customHeight="1" x14ac:dyDescent="0.3">
      <c r="A310" s="98">
        <f t="shared" si="4"/>
        <v>7</v>
      </c>
      <c r="B310" s="92" t="s">
        <v>1535</v>
      </c>
      <c r="C310" s="92" t="s">
        <v>316</v>
      </c>
      <c r="D310" s="95">
        <v>123271182.51000001</v>
      </c>
      <c r="E310" s="95">
        <v>114204167.78</v>
      </c>
      <c r="F310" s="95">
        <v>9067014.7300000004</v>
      </c>
      <c r="G310" s="95">
        <v>0</v>
      </c>
      <c r="H310" s="95">
        <v>9067014.7300000004</v>
      </c>
    </row>
    <row r="311" spans="1:8" ht="19.8" customHeight="1" x14ac:dyDescent="0.3">
      <c r="A311" s="98">
        <f t="shared" si="4"/>
        <v>11</v>
      </c>
      <c r="B311" s="92" t="s">
        <v>1536</v>
      </c>
      <c r="C311" s="92" t="s">
        <v>316</v>
      </c>
      <c r="D311" s="95">
        <v>122869966.38</v>
      </c>
      <c r="E311" s="95">
        <v>113802951.65000001</v>
      </c>
      <c r="F311" s="95">
        <v>9067014.7300000004</v>
      </c>
      <c r="G311" s="95">
        <v>0</v>
      </c>
      <c r="H311" s="95">
        <v>9067014.7300000004</v>
      </c>
    </row>
    <row r="312" spans="1:8" ht="19.8" customHeight="1" x14ac:dyDescent="0.3">
      <c r="A312" s="98">
        <f t="shared" si="4"/>
        <v>11</v>
      </c>
      <c r="B312" s="92" t="s">
        <v>1537</v>
      </c>
      <c r="C312" s="92" t="s">
        <v>1538</v>
      </c>
      <c r="D312" s="95">
        <v>401216.13</v>
      </c>
      <c r="E312" s="95">
        <v>401216.13</v>
      </c>
      <c r="F312" s="95">
        <v>0</v>
      </c>
      <c r="G312" s="95">
        <v>0</v>
      </c>
      <c r="H312" s="95">
        <v>0</v>
      </c>
    </row>
    <row r="313" spans="1:8" ht="19.8" customHeight="1" x14ac:dyDescent="0.3">
      <c r="A313" s="98">
        <f t="shared" si="4"/>
        <v>7</v>
      </c>
      <c r="B313" s="92" t="s">
        <v>1539</v>
      </c>
      <c r="C313" s="92" t="s">
        <v>316</v>
      </c>
      <c r="D313" s="95">
        <v>10648524.810000001</v>
      </c>
      <c r="E313" s="95">
        <v>9808604.3100000005</v>
      </c>
      <c r="F313" s="95">
        <v>839920.5</v>
      </c>
      <c r="G313" s="95">
        <v>0</v>
      </c>
      <c r="H313" s="95">
        <v>839920.5</v>
      </c>
    </row>
    <row r="314" spans="1:8" ht="19.8" customHeight="1" x14ac:dyDescent="0.3">
      <c r="A314" s="98">
        <f t="shared" si="4"/>
        <v>11</v>
      </c>
      <c r="B314" s="92" t="s">
        <v>1540</v>
      </c>
      <c r="C314" s="92" t="s">
        <v>1541</v>
      </c>
      <c r="D314" s="95">
        <v>1899218.94</v>
      </c>
      <c r="E314" s="95">
        <v>1887218.94</v>
      </c>
      <c r="F314" s="95">
        <v>12000</v>
      </c>
      <c r="G314" s="95">
        <v>0</v>
      </c>
      <c r="H314" s="95">
        <v>12000</v>
      </c>
    </row>
    <row r="315" spans="1:8" ht="19.8" customHeight="1" x14ac:dyDescent="0.3">
      <c r="A315" s="98">
        <f t="shared" si="4"/>
        <v>11</v>
      </c>
      <c r="B315" s="92" t="s">
        <v>1542</v>
      </c>
      <c r="C315" s="92" t="s">
        <v>1543</v>
      </c>
      <c r="D315" s="95">
        <v>8749305.8699999992</v>
      </c>
      <c r="E315" s="95">
        <v>7921385.3700000001</v>
      </c>
      <c r="F315" s="95">
        <v>827920.5</v>
      </c>
      <c r="G315" s="95">
        <v>0</v>
      </c>
      <c r="H315" s="95">
        <v>827920.5</v>
      </c>
    </row>
    <row r="316" spans="1:8" ht="19.8" customHeight="1" x14ac:dyDescent="0.3">
      <c r="A316" s="98">
        <f t="shared" si="4"/>
        <v>3</v>
      </c>
      <c r="B316" s="92" t="s">
        <v>185</v>
      </c>
      <c r="C316" s="92" t="s">
        <v>317</v>
      </c>
      <c r="D316" s="95">
        <v>59527939.960000001</v>
      </c>
      <c r="E316" s="95">
        <v>17305257.600000001</v>
      </c>
      <c r="F316" s="95">
        <v>42222682.359999999</v>
      </c>
      <c r="G316" s="95">
        <v>0</v>
      </c>
      <c r="H316" s="95">
        <v>42222682.359999999</v>
      </c>
    </row>
    <row r="317" spans="1:8" ht="19.8" customHeight="1" x14ac:dyDescent="0.3">
      <c r="A317" s="98">
        <f t="shared" si="4"/>
        <v>7</v>
      </c>
      <c r="B317" s="92" t="s">
        <v>1544</v>
      </c>
      <c r="C317" s="92" t="s">
        <v>317</v>
      </c>
      <c r="D317" s="95">
        <v>46205034.340000004</v>
      </c>
      <c r="E317" s="95">
        <v>15122471.550000001</v>
      </c>
      <c r="F317" s="95">
        <v>31082562.789999999</v>
      </c>
      <c r="G317" s="95">
        <v>0</v>
      </c>
      <c r="H317" s="95">
        <v>31082562.789999999</v>
      </c>
    </row>
    <row r="318" spans="1:8" ht="19.8" customHeight="1" x14ac:dyDescent="0.3">
      <c r="A318" s="98">
        <f t="shared" si="4"/>
        <v>11</v>
      </c>
      <c r="B318" s="92" t="s">
        <v>1545</v>
      </c>
      <c r="C318" s="92" t="s">
        <v>1546</v>
      </c>
      <c r="D318" s="95">
        <v>6746633.8099999996</v>
      </c>
      <c r="E318" s="95">
        <v>2315826.37</v>
      </c>
      <c r="F318" s="95">
        <v>4430807.4400000004</v>
      </c>
      <c r="G318" s="95">
        <v>0</v>
      </c>
      <c r="H318" s="95">
        <v>4430807.4400000004</v>
      </c>
    </row>
    <row r="319" spans="1:8" ht="19.8" customHeight="1" x14ac:dyDescent="0.3">
      <c r="A319" s="98">
        <f t="shared" si="4"/>
        <v>11</v>
      </c>
      <c r="B319" s="92" t="s">
        <v>1547</v>
      </c>
      <c r="C319" s="92" t="s">
        <v>1548</v>
      </c>
      <c r="D319" s="95">
        <v>26674193.960000001</v>
      </c>
      <c r="E319" s="95">
        <v>11758283.02</v>
      </c>
      <c r="F319" s="95">
        <v>14915910.939999999</v>
      </c>
      <c r="G319" s="95">
        <v>0</v>
      </c>
      <c r="H319" s="95">
        <v>14915910.939999999</v>
      </c>
    </row>
    <row r="320" spans="1:8" ht="19.8" customHeight="1" x14ac:dyDescent="0.3">
      <c r="A320" s="98">
        <f t="shared" si="4"/>
        <v>11</v>
      </c>
      <c r="B320" s="92" t="s">
        <v>1549</v>
      </c>
      <c r="C320" s="92" t="s">
        <v>1550</v>
      </c>
      <c r="D320" s="95">
        <v>156572.57</v>
      </c>
      <c r="E320" s="95">
        <v>104072.57</v>
      </c>
      <c r="F320" s="95">
        <v>52500</v>
      </c>
      <c r="G320" s="95">
        <v>0</v>
      </c>
      <c r="H320" s="95">
        <v>52500</v>
      </c>
    </row>
    <row r="321" spans="1:8" ht="19.8" customHeight="1" x14ac:dyDescent="0.3">
      <c r="A321" s="98">
        <f t="shared" si="4"/>
        <v>11</v>
      </c>
      <c r="B321" s="92" t="s">
        <v>1551</v>
      </c>
      <c r="C321" s="92" t="s">
        <v>1552</v>
      </c>
      <c r="D321" s="95">
        <v>74959.990000000005</v>
      </c>
      <c r="E321" s="95">
        <v>46874.99</v>
      </c>
      <c r="F321" s="95">
        <v>28085</v>
      </c>
      <c r="G321" s="95">
        <v>0</v>
      </c>
      <c r="H321" s="95">
        <v>28085</v>
      </c>
    </row>
    <row r="322" spans="1:8" ht="19.8" customHeight="1" x14ac:dyDescent="0.3">
      <c r="A322" s="98">
        <f t="shared" si="4"/>
        <v>11</v>
      </c>
      <c r="B322" s="92" t="s">
        <v>1553</v>
      </c>
      <c r="C322" s="92" t="s">
        <v>1554</v>
      </c>
      <c r="D322" s="95">
        <v>2694697.42</v>
      </c>
      <c r="E322" s="95">
        <v>897414.6</v>
      </c>
      <c r="F322" s="95">
        <v>1797282.82</v>
      </c>
      <c r="G322" s="95">
        <v>0</v>
      </c>
      <c r="H322" s="95">
        <v>1797282.82</v>
      </c>
    </row>
    <row r="323" spans="1:8" ht="19.8" customHeight="1" x14ac:dyDescent="0.3">
      <c r="A323" s="98">
        <f t="shared" ref="A323:A386" si="5">+LEN(B323)</f>
        <v>11</v>
      </c>
      <c r="B323" s="92" t="s">
        <v>1555</v>
      </c>
      <c r="C323" s="92" t="s">
        <v>1556</v>
      </c>
      <c r="D323" s="95">
        <v>4259325.5599999996</v>
      </c>
      <c r="E323" s="95">
        <v>0</v>
      </c>
      <c r="F323" s="95">
        <v>4259325.5599999996</v>
      </c>
      <c r="G323" s="95">
        <v>0</v>
      </c>
      <c r="H323" s="95">
        <v>4259325.5599999996</v>
      </c>
    </row>
    <row r="324" spans="1:8" ht="19.8" customHeight="1" x14ac:dyDescent="0.3">
      <c r="A324" s="98">
        <f t="shared" si="5"/>
        <v>11</v>
      </c>
      <c r="B324" s="92" t="s">
        <v>1557</v>
      </c>
      <c r="C324" s="92" t="s">
        <v>1558</v>
      </c>
      <c r="D324" s="95">
        <v>5598651.0300000003</v>
      </c>
      <c r="E324" s="95">
        <v>0</v>
      </c>
      <c r="F324" s="95">
        <v>5598651.0300000003</v>
      </c>
      <c r="G324" s="95">
        <v>0</v>
      </c>
      <c r="H324" s="95">
        <v>5598651.0300000003</v>
      </c>
    </row>
    <row r="325" spans="1:8" ht="19.8" customHeight="1" x14ac:dyDescent="0.3">
      <c r="A325" s="98">
        <f t="shared" si="5"/>
        <v>7</v>
      </c>
      <c r="B325" s="92" t="s">
        <v>1559</v>
      </c>
      <c r="C325" s="92" t="s">
        <v>1560</v>
      </c>
      <c r="D325" s="95">
        <v>4187425.94</v>
      </c>
      <c r="E325" s="95">
        <v>2182786.0499999998</v>
      </c>
      <c r="F325" s="95">
        <v>2004639.89</v>
      </c>
      <c r="G325" s="95">
        <v>0</v>
      </c>
      <c r="H325" s="95">
        <v>2004639.89</v>
      </c>
    </row>
    <row r="326" spans="1:8" ht="19.8" customHeight="1" x14ac:dyDescent="0.3">
      <c r="A326" s="98">
        <f t="shared" si="5"/>
        <v>11</v>
      </c>
      <c r="B326" s="92" t="s">
        <v>1561</v>
      </c>
      <c r="C326" s="92" t="s">
        <v>1562</v>
      </c>
      <c r="D326" s="95">
        <v>2957099.11</v>
      </c>
      <c r="E326" s="95">
        <v>1528319.59</v>
      </c>
      <c r="F326" s="95">
        <v>1428779.52</v>
      </c>
      <c r="G326" s="95">
        <v>0</v>
      </c>
      <c r="H326" s="95">
        <v>1428779.52</v>
      </c>
    </row>
    <row r="327" spans="1:8" ht="19.8" customHeight="1" x14ac:dyDescent="0.3">
      <c r="A327" s="98">
        <f t="shared" si="5"/>
        <v>11</v>
      </c>
      <c r="B327" s="92" t="s">
        <v>1563</v>
      </c>
      <c r="C327" s="92" t="s">
        <v>1564</v>
      </c>
      <c r="D327" s="95">
        <v>1230326.83</v>
      </c>
      <c r="E327" s="95">
        <v>654466.46</v>
      </c>
      <c r="F327" s="95">
        <v>575860.37</v>
      </c>
      <c r="G327" s="95">
        <v>0</v>
      </c>
      <c r="H327" s="95">
        <v>575860.37</v>
      </c>
    </row>
    <row r="328" spans="1:8" ht="19.8" customHeight="1" x14ac:dyDescent="0.3">
      <c r="A328" s="98">
        <f t="shared" si="5"/>
        <v>7</v>
      </c>
      <c r="B328" s="92" t="s">
        <v>1565</v>
      </c>
      <c r="C328" s="92" t="s">
        <v>1566</v>
      </c>
      <c r="D328" s="95">
        <v>9135479.6799999997</v>
      </c>
      <c r="E328" s="95">
        <v>0</v>
      </c>
      <c r="F328" s="95">
        <v>9135479.6799999997</v>
      </c>
      <c r="G328" s="95">
        <v>0</v>
      </c>
      <c r="H328" s="95">
        <v>9135479.6799999997</v>
      </c>
    </row>
    <row r="329" spans="1:8" ht="19.8" customHeight="1" x14ac:dyDescent="0.3">
      <c r="A329" s="98">
        <f t="shared" si="5"/>
        <v>11</v>
      </c>
      <c r="B329" s="92" t="s">
        <v>1567</v>
      </c>
      <c r="C329" s="92" t="s">
        <v>1566</v>
      </c>
      <c r="D329" s="95">
        <v>9135479.6799999997</v>
      </c>
      <c r="E329" s="95">
        <v>0</v>
      </c>
      <c r="F329" s="95">
        <v>9135479.6799999997</v>
      </c>
      <c r="G329" s="95">
        <v>0</v>
      </c>
      <c r="H329" s="95">
        <v>9135479.6799999997</v>
      </c>
    </row>
    <row r="330" spans="1:8" ht="19.8" customHeight="1" x14ac:dyDescent="0.3">
      <c r="A330" s="98">
        <f t="shared" si="5"/>
        <v>3</v>
      </c>
      <c r="B330" s="92" t="s">
        <v>186</v>
      </c>
      <c r="C330" s="92" t="s">
        <v>318</v>
      </c>
      <c r="D330" s="95">
        <v>104729180.40000001</v>
      </c>
      <c r="E330" s="95">
        <v>102271966.48</v>
      </c>
      <c r="F330" s="95">
        <v>2457213.92</v>
      </c>
      <c r="G330" s="95">
        <v>0</v>
      </c>
      <c r="H330" s="95">
        <v>2457213.92</v>
      </c>
    </row>
    <row r="331" spans="1:8" ht="19.8" customHeight="1" x14ac:dyDescent="0.3">
      <c r="A331" s="98">
        <f t="shared" si="5"/>
        <v>7</v>
      </c>
      <c r="B331" s="92" t="s">
        <v>1568</v>
      </c>
      <c r="C331" s="92" t="s">
        <v>318</v>
      </c>
      <c r="D331" s="95">
        <v>24787998.800000001</v>
      </c>
      <c r="E331" s="95">
        <v>22521911.670000002</v>
      </c>
      <c r="F331" s="95">
        <v>2266087.13</v>
      </c>
      <c r="G331" s="95">
        <v>0</v>
      </c>
      <c r="H331" s="95">
        <v>2266087.13</v>
      </c>
    </row>
    <row r="332" spans="1:8" ht="19.8" customHeight="1" x14ac:dyDescent="0.3">
      <c r="A332" s="98">
        <f t="shared" si="5"/>
        <v>11</v>
      </c>
      <c r="B332" s="92" t="s">
        <v>1569</v>
      </c>
      <c r="C332" s="92" t="s">
        <v>1570</v>
      </c>
      <c r="D332" s="95">
        <v>1525728.89</v>
      </c>
      <c r="E332" s="95">
        <v>362110.98</v>
      </c>
      <c r="F332" s="95">
        <v>1163617.9099999999</v>
      </c>
      <c r="G332" s="95">
        <v>0</v>
      </c>
      <c r="H332" s="95">
        <v>1163617.9099999999</v>
      </c>
    </row>
    <row r="333" spans="1:8" ht="19.8" customHeight="1" x14ac:dyDescent="0.3">
      <c r="A333" s="98">
        <f t="shared" si="5"/>
        <v>11</v>
      </c>
      <c r="B333" s="92" t="s">
        <v>1571</v>
      </c>
      <c r="C333" s="92" t="s">
        <v>1572</v>
      </c>
      <c r="D333" s="95">
        <v>1065414.74</v>
      </c>
      <c r="E333" s="95">
        <v>1065414.74</v>
      </c>
      <c r="F333" s="95">
        <v>0</v>
      </c>
      <c r="G333" s="95">
        <v>0</v>
      </c>
      <c r="H333" s="95">
        <v>0</v>
      </c>
    </row>
    <row r="334" spans="1:8" ht="19.8" customHeight="1" x14ac:dyDescent="0.3">
      <c r="A334" s="98">
        <f t="shared" si="5"/>
        <v>11</v>
      </c>
      <c r="B334" s="92" t="s">
        <v>1573</v>
      </c>
      <c r="C334" s="92" t="s">
        <v>1574</v>
      </c>
      <c r="D334" s="95">
        <v>3218786.66</v>
      </c>
      <c r="E334" s="95">
        <v>3078297.37</v>
      </c>
      <c r="F334" s="95">
        <v>140489.29</v>
      </c>
      <c r="G334" s="95">
        <v>0</v>
      </c>
      <c r="H334" s="95">
        <v>140489.29</v>
      </c>
    </row>
    <row r="335" spans="1:8" ht="19.8" customHeight="1" x14ac:dyDescent="0.3">
      <c r="A335" s="98">
        <f t="shared" si="5"/>
        <v>11</v>
      </c>
      <c r="B335" s="92" t="s">
        <v>1575</v>
      </c>
      <c r="C335" s="92" t="s">
        <v>1576</v>
      </c>
      <c r="D335" s="95">
        <v>1184297.31</v>
      </c>
      <c r="E335" s="95">
        <v>222317.38</v>
      </c>
      <c r="F335" s="95">
        <v>961979.93</v>
      </c>
      <c r="G335" s="95">
        <v>0</v>
      </c>
      <c r="H335" s="95">
        <v>961979.93</v>
      </c>
    </row>
    <row r="336" spans="1:8" ht="19.8" customHeight="1" x14ac:dyDescent="0.3">
      <c r="A336" s="98">
        <f t="shared" si="5"/>
        <v>11</v>
      </c>
      <c r="B336" s="92" t="s">
        <v>1577</v>
      </c>
      <c r="C336" s="92" t="s">
        <v>1578</v>
      </c>
      <c r="D336" s="95">
        <v>17793771.199999999</v>
      </c>
      <c r="E336" s="95">
        <v>17793771.199999999</v>
      </c>
      <c r="F336" s="95">
        <v>0</v>
      </c>
      <c r="G336" s="95">
        <v>0</v>
      </c>
      <c r="H336" s="95">
        <v>0</v>
      </c>
    </row>
    <row r="337" spans="1:8" ht="19.8" customHeight="1" x14ac:dyDescent="0.3">
      <c r="A337" s="98">
        <f t="shared" si="5"/>
        <v>7</v>
      </c>
      <c r="B337" s="92" t="s">
        <v>1579</v>
      </c>
      <c r="C337" s="92" t="s">
        <v>1580</v>
      </c>
      <c r="D337" s="95">
        <v>3097179.62</v>
      </c>
      <c r="E337" s="95">
        <v>3097179.62</v>
      </c>
      <c r="F337" s="95">
        <v>0</v>
      </c>
      <c r="G337" s="95">
        <v>0</v>
      </c>
      <c r="H337" s="95">
        <v>0</v>
      </c>
    </row>
    <row r="338" spans="1:8" ht="19.8" customHeight="1" x14ac:dyDescent="0.3">
      <c r="A338" s="98">
        <f t="shared" si="5"/>
        <v>11</v>
      </c>
      <c r="B338" s="92" t="s">
        <v>1581</v>
      </c>
      <c r="C338" s="92" t="s">
        <v>1582</v>
      </c>
      <c r="D338" s="95">
        <v>763821.11</v>
      </c>
      <c r="E338" s="95">
        <v>763821.11</v>
      </c>
      <c r="F338" s="95">
        <v>0</v>
      </c>
      <c r="G338" s="95">
        <v>0</v>
      </c>
      <c r="H338" s="95">
        <v>0</v>
      </c>
    </row>
    <row r="339" spans="1:8" ht="19.8" customHeight="1" x14ac:dyDescent="0.3">
      <c r="A339" s="98">
        <f t="shared" si="5"/>
        <v>11</v>
      </c>
      <c r="B339" s="92" t="s">
        <v>1583</v>
      </c>
      <c r="C339" s="92" t="s">
        <v>1584</v>
      </c>
      <c r="D339" s="95">
        <v>851208.29</v>
      </c>
      <c r="E339" s="95">
        <v>851208.29</v>
      </c>
      <c r="F339" s="95">
        <v>0</v>
      </c>
      <c r="G339" s="95">
        <v>0</v>
      </c>
      <c r="H339" s="95">
        <v>0</v>
      </c>
    </row>
    <row r="340" spans="1:8" ht="19.8" customHeight="1" x14ac:dyDescent="0.3">
      <c r="A340" s="98">
        <f t="shared" si="5"/>
        <v>11</v>
      </c>
      <c r="B340" s="92" t="s">
        <v>1585</v>
      </c>
      <c r="C340" s="92" t="s">
        <v>1586</v>
      </c>
      <c r="D340" s="95">
        <v>727277.19</v>
      </c>
      <c r="E340" s="95">
        <v>727277.19</v>
      </c>
      <c r="F340" s="95">
        <v>0</v>
      </c>
      <c r="G340" s="95">
        <v>0</v>
      </c>
      <c r="H340" s="95">
        <v>0</v>
      </c>
    </row>
    <row r="341" spans="1:8" ht="19.8" customHeight="1" x14ac:dyDescent="0.3">
      <c r="A341" s="98">
        <f t="shared" si="5"/>
        <v>11</v>
      </c>
      <c r="B341" s="92" t="s">
        <v>1587</v>
      </c>
      <c r="C341" s="92" t="s">
        <v>1588</v>
      </c>
      <c r="D341" s="95">
        <v>334317.63</v>
      </c>
      <c r="E341" s="95">
        <v>334317.63</v>
      </c>
      <c r="F341" s="95">
        <v>0</v>
      </c>
      <c r="G341" s="95">
        <v>0</v>
      </c>
      <c r="H341" s="95">
        <v>0</v>
      </c>
    </row>
    <row r="342" spans="1:8" ht="19.8" customHeight="1" x14ac:dyDescent="0.3">
      <c r="A342" s="98">
        <f t="shared" si="5"/>
        <v>11</v>
      </c>
      <c r="B342" s="92" t="s">
        <v>1589</v>
      </c>
      <c r="C342" s="92" t="s">
        <v>1590</v>
      </c>
      <c r="D342" s="95">
        <v>397625.75</v>
      </c>
      <c r="E342" s="95">
        <v>397625.75</v>
      </c>
      <c r="F342" s="95">
        <v>0</v>
      </c>
      <c r="G342" s="95">
        <v>0</v>
      </c>
      <c r="H342" s="95">
        <v>0</v>
      </c>
    </row>
    <row r="343" spans="1:8" ht="19.8" customHeight="1" x14ac:dyDescent="0.3">
      <c r="A343" s="98">
        <f t="shared" si="5"/>
        <v>11</v>
      </c>
      <c r="B343" s="92" t="s">
        <v>1591</v>
      </c>
      <c r="C343" s="92" t="s">
        <v>1592</v>
      </c>
      <c r="D343" s="95">
        <v>22929.65</v>
      </c>
      <c r="E343" s="95">
        <v>22929.65</v>
      </c>
      <c r="F343" s="95">
        <v>0</v>
      </c>
      <c r="G343" s="95">
        <v>0</v>
      </c>
      <c r="H343" s="95">
        <v>0</v>
      </c>
    </row>
    <row r="344" spans="1:8" ht="19.8" customHeight="1" x14ac:dyDescent="0.3">
      <c r="A344" s="98">
        <f t="shared" si="5"/>
        <v>7</v>
      </c>
      <c r="B344" s="92" t="s">
        <v>1593</v>
      </c>
      <c r="C344" s="92" t="s">
        <v>1594</v>
      </c>
      <c r="D344" s="95">
        <v>1701046.08</v>
      </c>
      <c r="E344" s="95">
        <v>1701046.08</v>
      </c>
      <c r="F344" s="95">
        <v>0</v>
      </c>
      <c r="G344" s="95">
        <v>0</v>
      </c>
      <c r="H344" s="95">
        <v>0</v>
      </c>
    </row>
    <row r="345" spans="1:8" ht="19.8" customHeight="1" x14ac:dyDescent="0.3">
      <c r="A345" s="98">
        <f t="shared" si="5"/>
        <v>11</v>
      </c>
      <c r="B345" s="92" t="s">
        <v>1595</v>
      </c>
      <c r="C345" s="92" t="s">
        <v>1596</v>
      </c>
      <c r="D345" s="95">
        <v>531122.82999999996</v>
      </c>
      <c r="E345" s="95">
        <v>531122.82999999996</v>
      </c>
      <c r="F345" s="95">
        <v>0</v>
      </c>
      <c r="G345" s="95">
        <v>0</v>
      </c>
      <c r="H345" s="95">
        <v>0</v>
      </c>
    </row>
    <row r="346" spans="1:8" ht="19.8" customHeight="1" x14ac:dyDescent="0.3">
      <c r="A346" s="98">
        <f t="shared" si="5"/>
        <v>11</v>
      </c>
      <c r="B346" s="92" t="s">
        <v>1597</v>
      </c>
      <c r="C346" s="92" t="s">
        <v>1598</v>
      </c>
      <c r="D346" s="95">
        <v>509870.91</v>
      </c>
      <c r="E346" s="95">
        <v>509870.91</v>
      </c>
      <c r="F346" s="95">
        <v>0</v>
      </c>
      <c r="G346" s="95">
        <v>0</v>
      </c>
      <c r="H346" s="95">
        <v>0</v>
      </c>
    </row>
    <row r="347" spans="1:8" ht="19.8" customHeight="1" x14ac:dyDescent="0.3">
      <c r="A347" s="98">
        <f t="shared" si="5"/>
        <v>11</v>
      </c>
      <c r="B347" s="92" t="s">
        <v>1599</v>
      </c>
      <c r="C347" s="92" t="s">
        <v>1600</v>
      </c>
      <c r="D347" s="95">
        <v>405291.09</v>
      </c>
      <c r="E347" s="95">
        <v>405291.09</v>
      </c>
      <c r="F347" s="95">
        <v>0</v>
      </c>
      <c r="G347" s="95">
        <v>0</v>
      </c>
      <c r="H347" s="95">
        <v>0</v>
      </c>
    </row>
    <row r="348" spans="1:8" ht="19.8" customHeight="1" x14ac:dyDescent="0.3">
      <c r="A348" s="98">
        <f t="shared" si="5"/>
        <v>11</v>
      </c>
      <c r="B348" s="92" t="s">
        <v>1601</v>
      </c>
      <c r="C348" s="92" t="s">
        <v>1602</v>
      </c>
      <c r="D348" s="95">
        <v>135970.62</v>
      </c>
      <c r="E348" s="95">
        <v>135970.62</v>
      </c>
      <c r="F348" s="95">
        <v>0</v>
      </c>
      <c r="G348" s="95">
        <v>0</v>
      </c>
      <c r="H348" s="95">
        <v>0</v>
      </c>
    </row>
    <row r="349" spans="1:8" ht="19.8" customHeight="1" x14ac:dyDescent="0.3">
      <c r="A349" s="98">
        <f t="shared" si="5"/>
        <v>11</v>
      </c>
      <c r="B349" s="92" t="s">
        <v>1603</v>
      </c>
      <c r="C349" s="92" t="s">
        <v>1604</v>
      </c>
      <c r="D349" s="95">
        <v>115578.68</v>
      </c>
      <c r="E349" s="95">
        <v>115578.68</v>
      </c>
      <c r="F349" s="95">
        <v>0</v>
      </c>
      <c r="G349" s="95">
        <v>0</v>
      </c>
      <c r="H349" s="95">
        <v>0</v>
      </c>
    </row>
    <row r="350" spans="1:8" ht="19.8" customHeight="1" x14ac:dyDescent="0.3">
      <c r="A350" s="98">
        <f t="shared" si="5"/>
        <v>11</v>
      </c>
      <c r="B350" s="92" t="s">
        <v>1605</v>
      </c>
      <c r="C350" s="92" t="s">
        <v>1606</v>
      </c>
      <c r="D350" s="95">
        <v>3211.95</v>
      </c>
      <c r="E350" s="95">
        <v>3211.95</v>
      </c>
      <c r="F350" s="95">
        <v>0</v>
      </c>
      <c r="G350" s="95">
        <v>0</v>
      </c>
      <c r="H350" s="95">
        <v>0</v>
      </c>
    </row>
    <row r="351" spans="1:8" ht="19.8" customHeight="1" x14ac:dyDescent="0.3">
      <c r="A351" s="98">
        <f t="shared" si="5"/>
        <v>7</v>
      </c>
      <c r="B351" s="92" t="s">
        <v>1607</v>
      </c>
      <c r="C351" s="92" t="s">
        <v>1608</v>
      </c>
      <c r="D351" s="95">
        <v>2733068.59</v>
      </c>
      <c r="E351" s="95">
        <v>2733068.59</v>
      </c>
      <c r="F351" s="95">
        <v>0</v>
      </c>
      <c r="G351" s="95">
        <v>0</v>
      </c>
      <c r="H351" s="95">
        <v>0</v>
      </c>
    </row>
    <row r="352" spans="1:8" ht="19.8" customHeight="1" x14ac:dyDescent="0.3">
      <c r="A352" s="98">
        <f t="shared" si="5"/>
        <v>11</v>
      </c>
      <c r="B352" s="92" t="s">
        <v>1609</v>
      </c>
      <c r="C352" s="92" t="s">
        <v>1610</v>
      </c>
      <c r="D352" s="95">
        <v>1058568.54</v>
      </c>
      <c r="E352" s="95">
        <v>1058568.54</v>
      </c>
      <c r="F352" s="95">
        <v>0</v>
      </c>
      <c r="G352" s="95">
        <v>0</v>
      </c>
      <c r="H352" s="95">
        <v>0</v>
      </c>
    </row>
    <row r="353" spans="1:8" ht="19.8" customHeight="1" x14ac:dyDescent="0.3">
      <c r="A353" s="98">
        <f t="shared" si="5"/>
        <v>11</v>
      </c>
      <c r="B353" s="92" t="s">
        <v>1611</v>
      </c>
      <c r="C353" s="92" t="s">
        <v>1612</v>
      </c>
      <c r="D353" s="95">
        <v>537160.82999999996</v>
      </c>
      <c r="E353" s="95">
        <v>537160.82999999996</v>
      </c>
      <c r="F353" s="95">
        <v>0</v>
      </c>
      <c r="G353" s="95">
        <v>0</v>
      </c>
      <c r="H353" s="95">
        <v>0</v>
      </c>
    </row>
    <row r="354" spans="1:8" ht="19.8" customHeight="1" x14ac:dyDescent="0.3">
      <c r="A354" s="98">
        <f t="shared" si="5"/>
        <v>11</v>
      </c>
      <c r="B354" s="92" t="s">
        <v>1613</v>
      </c>
      <c r="C354" s="92" t="s">
        <v>1614</v>
      </c>
      <c r="D354" s="95">
        <v>642587.31000000006</v>
      </c>
      <c r="E354" s="95">
        <v>642587.31000000006</v>
      </c>
      <c r="F354" s="95">
        <v>0</v>
      </c>
      <c r="G354" s="95">
        <v>0</v>
      </c>
      <c r="H354" s="95">
        <v>0</v>
      </c>
    </row>
    <row r="355" spans="1:8" ht="19.8" customHeight="1" x14ac:dyDescent="0.3">
      <c r="A355" s="98">
        <f t="shared" si="5"/>
        <v>11</v>
      </c>
      <c r="B355" s="92" t="s">
        <v>1615</v>
      </c>
      <c r="C355" s="92" t="s">
        <v>1616</v>
      </c>
      <c r="D355" s="95">
        <v>161853.63</v>
      </c>
      <c r="E355" s="95">
        <v>161853.63</v>
      </c>
      <c r="F355" s="95">
        <v>0</v>
      </c>
      <c r="G355" s="95">
        <v>0</v>
      </c>
      <c r="H355" s="95">
        <v>0</v>
      </c>
    </row>
    <row r="356" spans="1:8" ht="19.8" customHeight="1" x14ac:dyDescent="0.3">
      <c r="A356" s="98">
        <f t="shared" si="5"/>
        <v>11</v>
      </c>
      <c r="B356" s="92" t="s">
        <v>1617</v>
      </c>
      <c r="C356" s="92" t="s">
        <v>1618</v>
      </c>
      <c r="D356" s="95">
        <v>332898.28000000003</v>
      </c>
      <c r="E356" s="95">
        <v>332898.28000000003</v>
      </c>
      <c r="F356" s="95">
        <v>0</v>
      </c>
      <c r="G356" s="95">
        <v>0</v>
      </c>
      <c r="H356" s="95">
        <v>0</v>
      </c>
    </row>
    <row r="357" spans="1:8" ht="19.8" customHeight="1" x14ac:dyDescent="0.3">
      <c r="A357" s="98">
        <f t="shared" si="5"/>
        <v>7</v>
      </c>
      <c r="B357" s="92" t="s">
        <v>1619</v>
      </c>
      <c r="C357" s="92" t="s">
        <v>1620</v>
      </c>
      <c r="D357" s="95">
        <v>3054889.17</v>
      </c>
      <c r="E357" s="95">
        <v>3054889.17</v>
      </c>
      <c r="F357" s="95">
        <v>0</v>
      </c>
      <c r="G357" s="95">
        <v>0</v>
      </c>
      <c r="H357" s="95">
        <v>0</v>
      </c>
    </row>
    <row r="358" spans="1:8" ht="19.8" customHeight="1" x14ac:dyDescent="0.3">
      <c r="A358" s="98">
        <f t="shared" si="5"/>
        <v>11</v>
      </c>
      <c r="B358" s="92" t="s">
        <v>1621</v>
      </c>
      <c r="C358" s="92" t="s">
        <v>1622</v>
      </c>
      <c r="D358" s="95">
        <v>664209.57999999996</v>
      </c>
      <c r="E358" s="95">
        <v>664209.57999999996</v>
      </c>
      <c r="F358" s="95">
        <v>0</v>
      </c>
      <c r="G358" s="95">
        <v>0</v>
      </c>
      <c r="H358" s="95">
        <v>0</v>
      </c>
    </row>
    <row r="359" spans="1:8" ht="19.8" customHeight="1" x14ac:dyDescent="0.3">
      <c r="A359" s="98">
        <f t="shared" si="5"/>
        <v>11</v>
      </c>
      <c r="B359" s="92" t="s">
        <v>1623</v>
      </c>
      <c r="C359" s="92" t="s">
        <v>1624</v>
      </c>
      <c r="D359" s="95">
        <v>792298.29</v>
      </c>
      <c r="E359" s="95">
        <v>792298.29</v>
      </c>
      <c r="F359" s="95">
        <v>0</v>
      </c>
      <c r="G359" s="95">
        <v>0</v>
      </c>
      <c r="H359" s="95">
        <v>0</v>
      </c>
    </row>
    <row r="360" spans="1:8" ht="19.8" customHeight="1" x14ac:dyDescent="0.3">
      <c r="A360" s="98">
        <f t="shared" si="5"/>
        <v>11</v>
      </c>
      <c r="B360" s="92" t="s">
        <v>1625</v>
      </c>
      <c r="C360" s="92" t="s">
        <v>1626</v>
      </c>
      <c r="D360" s="95">
        <v>805718.43</v>
      </c>
      <c r="E360" s="95">
        <v>805718.43</v>
      </c>
      <c r="F360" s="95">
        <v>0</v>
      </c>
      <c r="G360" s="95">
        <v>0</v>
      </c>
      <c r="H360" s="95">
        <v>0</v>
      </c>
    </row>
    <row r="361" spans="1:8" ht="19.8" customHeight="1" x14ac:dyDescent="0.3">
      <c r="A361" s="98">
        <f t="shared" si="5"/>
        <v>11</v>
      </c>
      <c r="B361" s="92" t="s">
        <v>1627</v>
      </c>
      <c r="C361" s="92" t="s">
        <v>1628</v>
      </c>
      <c r="D361" s="95">
        <v>325904.31</v>
      </c>
      <c r="E361" s="95">
        <v>325904.31</v>
      </c>
      <c r="F361" s="95">
        <v>0</v>
      </c>
      <c r="G361" s="95">
        <v>0</v>
      </c>
      <c r="H361" s="95">
        <v>0</v>
      </c>
    </row>
    <row r="362" spans="1:8" ht="19.8" customHeight="1" x14ac:dyDescent="0.3">
      <c r="A362" s="98">
        <f t="shared" si="5"/>
        <v>11</v>
      </c>
      <c r="B362" s="92" t="s">
        <v>1629</v>
      </c>
      <c r="C362" s="92" t="s">
        <v>1630</v>
      </c>
      <c r="D362" s="95">
        <v>372940.99</v>
      </c>
      <c r="E362" s="95">
        <v>372940.99</v>
      </c>
      <c r="F362" s="95">
        <v>0</v>
      </c>
      <c r="G362" s="95">
        <v>0</v>
      </c>
      <c r="H362" s="95">
        <v>0</v>
      </c>
    </row>
    <row r="363" spans="1:8" ht="19.8" customHeight="1" x14ac:dyDescent="0.3">
      <c r="A363" s="98">
        <f t="shared" si="5"/>
        <v>11</v>
      </c>
      <c r="B363" s="92" t="s">
        <v>1631</v>
      </c>
      <c r="C363" s="92" t="s">
        <v>1632</v>
      </c>
      <c r="D363" s="95">
        <v>93817.57</v>
      </c>
      <c r="E363" s="95">
        <v>93817.57</v>
      </c>
      <c r="F363" s="95">
        <v>0</v>
      </c>
      <c r="G363" s="95">
        <v>0</v>
      </c>
      <c r="H363" s="95">
        <v>0</v>
      </c>
    </row>
    <row r="364" spans="1:8" ht="19.8" customHeight="1" x14ac:dyDescent="0.3">
      <c r="A364" s="98">
        <f t="shared" si="5"/>
        <v>7</v>
      </c>
      <c r="B364" s="92" t="s">
        <v>1633</v>
      </c>
      <c r="C364" s="92" t="s">
        <v>1634</v>
      </c>
      <c r="D364" s="95">
        <v>2259321.66</v>
      </c>
      <c r="E364" s="95">
        <v>2259321.66</v>
      </c>
      <c r="F364" s="95">
        <v>0</v>
      </c>
      <c r="G364" s="95">
        <v>0</v>
      </c>
      <c r="H364" s="95">
        <v>0</v>
      </c>
    </row>
    <row r="365" spans="1:8" ht="19.8" customHeight="1" x14ac:dyDescent="0.3">
      <c r="A365" s="98">
        <f t="shared" si="5"/>
        <v>11</v>
      </c>
      <c r="B365" s="92" t="s">
        <v>1635</v>
      </c>
      <c r="C365" s="92" t="s">
        <v>1636</v>
      </c>
      <c r="D365" s="95">
        <v>407074.03</v>
      </c>
      <c r="E365" s="95">
        <v>407074.03</v>
      </c>
      <c r="F365" s="95">
        <v>0</v>
      </c>
      <c r="G365" s="95">
        <v>0</v>
      </c>
      <c r="H365" s="95">
        <v>0</v>
      </c>
    </row>
    <row r="366" spans="1:8" ht="19.8" customHeight="1" x14ac:dyDescent="0.3">
      <c r="A366" s="98">
        <f t="shared" si="5"/>
        <v>11</v>
      </c>
      <c r="B366" s="92" t="s">
        <v>1637</v>
      </c>
      <c r="C366" s="92" t="s">
        <v>1638</v>
      </c>
      <c r="D366" s="95">
        <v>426914.91</v>
      </c>
      <c r="E366" s="95">
        <v>426914.91</v>
      </c>
      <c r="F366" s="95">
        <v>0</v>
      </c>
      <c r="G366" s="95">
        <v>0</v>
      </c>
      <c r="H366" s="95">
        <v>0</v>
      </c>
    </row>
    <row r="367" spans="1:8" ht="19.8" customHeight="1" x14ac:dyDescent="0.3">
      <c r="A367" s="98">
        <f t="shared" si="5"/>
        <v>11</v>
      </c>
      <c r="B367" s="92" t="s">
        <v>1639</v>
      </c>
      <c r="C367" s="92" t="s">
        <v>1640</v>
      </c>
      <c r="D367" s="95">
        <v>567007.54</v>
      </c>
      <c r="E367" s="95">
        <v>567007.54</v>
      </c>
      <c r="F367" s="95">
        <v>0</v>
      </c>
      <c r="G367" s="95">
        <v>0</v>
      </c>
      <c r="H367" s="95">
        <v>0</v>
      </c>
    </row>
    <row r="368" spans="1:8" ht="19.8" customHeight="1" x14ac:dyDescent="0.3">
      <c r="A368" s="98">
        <f t="shared" si="5"/>
        <v>11</v>
      </c>
      <c r="B368" s="92" t="s">
        <v>1641</v>
      </c>
      <c r="C368" s="92" t="s">
        <v>1642</v>
      </c>
      <c r="D368" s="95">
        <v>151786.14000000001</v>
      </c>
      <c r="E368" s="95">
        <v>151786.14000000001</v>
      </c>
      <c r="F368" s="95">
        <v>0</v>
      </c>
      <c r="G368" s="95">
        <v>0</v>
      </c>
      <c r="H368" s="95">
        <v>0</v>
      </c>
    </row>
    <row r="369" spans="1:8" ht="19.8" customHeight="1" x14ac:dyDescent="0.3">
      <c r="A369" s="98">
        <f t="shared" si="5"/>
        <v>11</v>
      </c>
      <c r="B369" s="92" t="s">
        <v>1643</v>
      </c>
      <c r="C369" s="92" t="s">
        <v>1644</v>
      </c>
      <c r="D369" s="95">
        <v>226467.74</v>
      </c>
      <c r="E369" s="95">
        <v>226467.74</v>
      </c>
      <c r="F369" s="95">
        <v>0</v>
      </c>
      <c r="G369" s="95">
        <v>0</v>
      </c>
      <c r="H369" s="95">
        <v>0</v>
      </c>
    </row>
    <row r="370" spans="1:8" ht="19.8" customHeight="1" x14ac:dyDescent="0.3">
      <c r="A370" s="98">
        <f t="shared" si="5"/>
        <v>11</v>
      </c>
      <c r="B370" s="92" t="s">
        <v>1645</v>
      </c>
      <c r="C370" s="92" t="s">
        <v>1646</v>
      </c>
      <c r="D370" s="95">
        <v>19236.12</v>
      </c>
      <c r="E370" s="95">
        <v>19236.12</v>
      </c>
      <c r="F370" s="95">
        <v>0</v>
      </c>
      <c r="G370" s="95">
        <v>0</v>
      </c>
      <c r="H370" s="95">
        <v>0</v>
      </c>
    </row>
    <row r="371" spans="1:8" ht="19.8" customHeight="1" x14ac:dyDescent="0.3">
      <c r="A371" s="98">
        <f t="shared" si="5"/>
        <v>11</v>
      </c>
      <c r="B371" s="92" t="s">
        <v>1647</v>
      </c>
      <c r="C371" s="92" t="s">
        <v>1648</v>
      </c>
      <c r="D371" s="95">
        <v>460835.18</v>
      </c>
      <c r="E371" s="95">
        <v>460835.18</v>
      </c>
      <c r="F371" s="95">
        <v>0</v>
      </c>
      <c r="G371" s="95">
        <v>0</v>
      </c>
      <c r="H371" s="95">
        <v>0</v>
      </c>
    </row>
    <row r="372" spans="1:8" ht="19.8" customHeight="1" x14ac:dyDescent="0.3">
      <c r="A372" s="98">
        <f t="shared" si="5"/>
        <v>7</v>
      </c>
      <c r="B372" s="92" t="s">
        <v>1649</v>
      </c>
      <c r="C372" s="92" t="s">
        <v>1650</v>
      </c>
      <c r="D372" s="95">
        <v>1007117.76</v>
      </c>
      <c r="E372" s="95">
        <v>1007117.76</v>
      </c>
      <c r="F372" s="95">
        <v>0</v>
      </c>
      <c r="G372" s="95">
        <v>0</v>
      </c>
      <c r="H372" s="95">
        <v>0</v>
      </c>
    </row>
    <row r="373" spans="1:8" ht="19.8" customHeight="1" x14ac:dyDescent="0.3">
      <c r="A373" s="98">
        <f t="shared" si="5"/>
        <v>11</v>
      </c>
      <c r="B373" s="92" t="s">
        <v>1651</v>
      </c>
      <c r="C373" s="92" t="s">
        <v>1652</v>
      </c>
      <c r="D373" s="95">
        <v>324179.36</v>
      </c>
      <c r="E373" s="95">
        <v>324179.36</v>
      </c>
      <c r="F373" s="95">
        <v>0</v>
      </c>
      <c r="G373" s="95">
        <v>0</v>
      </c>
      <c r="H373" s="95">
        <v>0</v>
      </c>
    </row>
    <row r="374" spans="1:8" ht="19.8" customHeight="1" x14ac:dyDescent="0.3">
      <c r="A374" s="98">
        <f t="shared" si="5"/>
        <v>11</v>
      </c>
      <c r="B374" s="92" t="s">
        <v>1653</v>
      </c>
      <c r="C374" s="92" t="s">
        <v>1654</v>
      </c>
      <c r="D374" s="95">
        <v>308233.82</v>
      </c>
      <c r="E374" s="95">
        <v>308233.82</v>
      </c>
      <c r="F374" s="95">
        <v>0</v>
      </c>
      <c r="G374" s="95">
        <v>0</v>
      </c>
      <c r="H374" s="95">
        <v>0</v>
      </c>
    </row>
    <row r="375" spans="1:8" ht="19.8" customHeight="1" x14ac:dyDescent="0.3">
      <c r="A375" s="98">
        <f t="shared" si="5"/>
        <v>11</v>
      </c>
      <c r="B375" s="92" t="s">
        <v>1655</v>
      </c>
      <c r="C375" s="92" t="s">
        <v>1656</v>
      </c>
      <c r="D375" s="95">
        <v>218405.25</v>
      </c>
      <c r="E375" s="95">
        <v>218405.25</v>
      </c>
      <c r="F375" s="95">
        <v>0</v>
      </c>
      <c r="G375" s="95">
        <v>0</v>
      </c>
      <c r="H375" s="95">
        <v>0</v>
      </c>
    </row>
    <row r="376" spans="1:8" ht="19.8" customHeight="1" x14ac:dyDescent="0.3">
      <c r="A376" s="98">
        <f t="shared" si="5"/>
        <v>11</v>
      </c>
      <c r="B376" s="92" t="s">
        <v>1657</v>
      </c>
      <c r="C376" s="92" t="s">
        <v>1658</v>
      </c>
      <c r="D376" s="95">
        <v>57570.79</v>
      </c>
      <c r="E376" s="95">
        <v>57570.79</v>
      </c>
      <c r="F376" s="95">
        <v>0</v>
      </c>
      <c r="G376" s="95">
        <v>0</v>
      </c>
      <c r="H376" s="95">
        <v>0</v>
      </c>
    </row>
    <row r="377" spans="1:8" ht="19.8" customHeight="1" x14ac:dyDescent="0.3">
      <c r="A377" s="98">
        <f t="shared" si="5"/>
        <v>11</v>
      </c>
      <c r="B377" s="92" t="s">
        <v>1659</v>
      </c>
      <c r="C377" s="92" t="s">
        <v>1660</v>
      </c>
      <c r="D377" s="95">
        <v>74046.149999999994</v>
      </c>
      <c r="E377" s="95">
        <v>74046.149999999994</v>
      </c>
      <c r="F377" s="95">
        <v>0</v>
      </c>
      <c r="G377" s="95">
        <v>0</v>
      </c>
      <c r="H377" s="95">
        <v>0</v>
      </c>
    </row>
    <row r="378" spans="1:8" ht="19.8" customHeight="1" x14ac:dyDescent="0.3">
      <c r="A378" s="98">
        <f t="shared" si="5"/>
        <v>11</v>
      </c>
      <c r="B378" s="92" t="s">
        <v>1661</v>
      </c>
      <c r="C378" s="92" t="s">
        <v>1662</v>
      </c>
      <c r="D378" s="95">
        <v>24682.39</v>
      </c>
      <c r="E378" s="95">
        <v>24682.39</v>
      </c>
      <c r="F378" s="95">
        <v>0</v>
      </c>
      <c r="G378" s="95">
        <v>0</v>
      </c>
      <c r="H378" s="95">
        <v>0</v>
      </c>
    </row>
    <row r="379" spans="1:8" ht="19.8" customHeight="1" x14ac:dyDescent="0.3">
      <c r="A379" s="98">
        <f t="shared" si="5"/>
        <v>7</v>
      </c>
      <c r="B379" s="92" t="s">
        <v>1663</v>
      </c>
      <c r="C379" s="92" t="s">
        <v>1664</v>
      </c>
      <c r="D379" s="95">
        <v>1910634.72</v>
      </c>
      <c r="E379" s="95">
        <v>1910634.72</v>
      </c>
      <c r="F379" s="95">
        <v>0</v>
      </c>
      <c r="G379" s="95">
        <v>0</v>
      </c>
      <c r="H379" s="95">
        <v>0</v>
      </c>
    </row>
    <row r="380" spans="1:8" ht="19.8" customHeight="1" x14ac:dyDescent="0.3">
      <c r="A380" s="98">
        <f t="shared" si="5"/>
        <v>11</v>
      </c>
      <c r="B380" s="92" t="s">
        <v>1665</v>
      </c>
      <c r="C380" s="92" t="s">
        <v>1666</v>
      </c>
      <c r="D380" s="95">
        <v>715143.49</v>
      </c>
      <c r="E380" s="95">
        <v>715143.49</v>
      </c>
      <c r="F380" s="95">
        <v>0</v>
      </c>
      <c r="G380" s="95">
        <v>0</v>
      </c>
      <c r="H380" s="95">
        <v>0</v>
      </c>
    </row>
    <row r="381" spans="1:8" ht="19.8" customHeight="1" x14ac:dyDescent="0.3">
      <c r="A381" s="98">
        <f t="shared" si="5"/>
        <v>11</v>
      </c>
      <c r="B381" s="92" t="s">
        <v>1667</v>
      </c>
      <c r="C381" s="92" t="s">
        <v>1668</v>
      </c>
      <c r="D381" s="95">
        <v>427968.28</v>
      </c>
      <c r="E381" s="95">
        <v>427968.28</v>
      </c>
      <c r="F381" s="95">
        <v>0</v>
      </c>
      <c r="G381" s="95">
        <v>0</v>
      </c>
      <c r="H381" s="95">
        <v>0</v>
      </c>
    </row>
    <row r="382" spans="1:8" ht="19.8" customHeight="1" x14ac:dyDescent="0.3">
      <c r="A382" s="98">
        <f t="shared" si="5"/>
        <v>11</v>
      </c>
      <c r="B382" s="92" t="s">
        <v>1669</v>
      </c>
      <c r="C382" s="92" t="s">
        <v>1670</v>
      </c>
      <c r="D382" s="95">
        <v>320700.45</v>
      </c>
      <c r="E382" s="95">
        <v>320700.45</v>
      </c>
      <c r="F382" s="95">
        <v>0</v>
      </c>
      <c r="G382" s="95">
        <v>0</v>
      </c>
      <c r="H382" s="95">
        <v>0</v>
      </c>
    </row>
    <row r="383" spans="1:8" ht="19.8" customHeight="1" x14ac:dyDescent="0.3">
      <c r="A383" s="98">
        <f t="shared" si="5"/>
        <v>11</v>
      </c>
      <c r="B383" s="92" t="s">
        <v>1671</v>
      </c>
      <c r="C383" s="92" t="s">
        <v>1672</v>
      </c>
      <c r="D383" s="95">
        <v>295016.07</v>
      </c>
      <c r="E383" s="95">
        <v>295016.07</v>
      </c>
      <c r="F383" s="95">
        <v>0</v>
      </c>
      <c r="G383" s="95">
        <v>0</v>
      </c>
      <c r="H383" s="95">
        <v>0</v>
      </c>
    </row>
    <row r="384" spans="1:8" ht="19.8" customHeight="1" x14ac:dyDescent="0.3">
      <c r="A384" s="98">
        <f t="shared" si="5"/>
        <v>11</v>
      </c>
      <c r="B384" s="92" t="s">
        <v>1673</v>
      </c>
      <c r="C384" s="92" t="s">
        <v>1674</v>
      </c>
      <c r="D384" s="95">
        <v>148079.6</v>
      </c>
      <c r="E384" s="95">
        <v>148079.6</v>
      </c>
      <c r="F384" s="95">
        <v>0</v>
      </c>
      <c r="G384" s="95">
        <v>0</v>
      </c>
      <c r="H384" s="95">
        <v>0</v>
      </c>
    </row>
    <row r="385" spans="1:8" ht="19.8" customHeight="1" x14ac:dyDescent="0.3">
      <c r="A385" s="98">
        <f t="shared" si="5"/>
        <v>11</v>
      </c>
      <c r="B385" s="92" t="s">
        <v>1675</v>
      </c>
      <c r="C385" s="92" t="s">
        <v>1676</v>
      </c>
      <c r="D385" s="95">
        <v>3726.83</v>
      </c>
      <c r="E385" s="95">
        <v>3726.83</v>
      </c>
      <c r="F385" s="95">
        <v>0</v>
      </c>
      <c r="G385" s="95">
        <v>0</v>
      </c>
      <c r="H385" s="95">
        <v>0</v>
      </c>
    </row>
    <row r="386" spans="1:8" ht="19.8" customHeight="1" x14ac:dyDescent="0.3">
      <c r="A386" s="98">
        <f t="shared" si="5"/>
        <v>7</v>
      </c>
      <c r="B386" s="92" t="s">
        <v>1677</v>
      </c>
      <c r="C386" s="92" t="s">
        <v>1678</v>
      </c>
      <c r="D386" s="95">
        <v>1018558.1</v>
      </c>
      <c r="E386" s="95">
        <v>1018558.1</v>
      </c>
      <c r="F386" s="95">
        <v>0</v>
      </c>
      <c r="G386" s="95">
        <v>0</v>
      </c>
      <c r="H386" s="95">
        <v>0</v>
      </c>
    </row>
    <row r="387" spans="1:8" ht="19.8" customHeight="1" x14ac:dyDescent="0.3">
      <c r="A387" s="98">
        <f t="shared" ref="A387:A450" si="6">+LEN(B387)</f>
        <v>11</v>
      </c>
      <c r="B387" s="92" t="s">
        <v>1679</v>
      </c>
      <c r="C387" s="92" t="s">
        <v>1680</v>
      </c>
      <c r="D387" s="95">
        <v>287778.96999999997</v>
      </c>
      <c r="E387" s="95">
        <v>287778.96999999997</v>
      </c>
      <c r="F387" s="95">
        <v>0</v>
      </c>
      <c r="G387" s="95">
        <v>0</v>
      </c>
      <c r="H387" s="95">
        <v>0</v>
      </c>
    </row>
    <row r="388" spans="1:8" ht="19.8" customHeight="1" x14ac:dyDescent="0.3">
      <c r="A388" s="98">
        <f t="shared" si="6"/>
        <v>11</v>
      </c>
      <c r="B388" s="92" t="s">
        <v>1681</v>
      </c>
      <c r="C388" s="92" t="s">
        <v>1682</v>
      </c>
      <c r="D388" s="95">
        <v>260170.19</v>
      </c>
      <c r="E388" s="95">
        <v>260170.19</v>
      </c>
      <c r="F388" s="95">
        <v>0</v>
      </c>
      <c r="G388" s="95">
        <v>0</v>
      </c>
      <c r="H388" s="95">
        <v>0</v>
      </c>
    </row>
    <row r="389" spans="1:8" ht="19.8" customHeight="1" x14ac:dyDescent="0.3">
      <c r="A389" s="98">
        <f t="shared" si="6"/>
        <v>11</v>
      </c>
      <c r="B389" s="92" t="s">
        <v>1683</v>
      </c>
      <c r="C389" s="92" t="s">
        <v>1684</v>
      </c>
      <c r="D389" s="95">
        <v>241608.51</v>
      </c>
      <c r="E389" s="95">
        <v>241608.51</v>
      </c>
      <c r="F389" s="95">
        <v>0</v>
      </c>
      <c r="G389" s="95">
        <v>0</v>
      </c>
      <c r="H389" s="95">
        <v>0</v>
      </c>
    </row>
    <row r="390" spans="1:8" ht="19.8" customHeight="1" x14ac:dyDescent="0.3">
      <c r="A390" s="98">
        <f t="shared" si="6"/>
        <v>11</v>
      </c>
      <c r="B390" s="92" t="s">
        <v>1685</v>
      </c>
      <c r="C390" s="92" t="s">
        <v>1686</v>
      </c>
      <c r="D390" s="95">
        <v>98903.69</v>
      </c>
      <c r="E390" s="95">
        <v>98903.69</v>
      </c>
      <c r="F390" s="95">
        <v>0</v>
      </c>
      <c r="G390" s="95">
        <v>0</v>
      </c>
      <c r="H390" s="95">
        <v>0</v>
      </c>
    </row>
    <row r="391" spans="1:8" ht="19.8" customHeight="1" x14ac:dyDescent="0.3">
      <c r="A391" s="98">
        <f t="shared" si="6"/>
        <v>11</v>
      </c>
      <c r="B391" s="92" t="s">
        <v>1687</v>
      </c>
      <c r="C391" s="92" t="s">
        <v>1688</v>
      </c>
      <c r="D391" s="95">
        <v>123210.7</v>
      </c>
      <c r="E391" s="95">
        <v>123210.7</v>
      </c>
      <c r="F391" s="95">
        <v>0</v>
      </c>
      <c r="G391" s="95">
        <v>0</v>
      </c>
      <c r="H391" s="95">
        <v>0</v>
      </c>
    </row>
    <row r="392" spans="1:8" ht="19.8" customHeight="1" x14ac:dyDescent="0.3">
      <c r="A392" s="98">
        <f t="shared" si="6"/>
        <v>11</v>
      </c>
      <c r="B392" s="92" t="s">
        <v>1689</v>
      </c>
      <c r="C392" s="92" t="s">
        <v>1690</v>
      </c>
      <c r="D392" s="95">
        <v>6886.04</v>
      </c>
      <c r="E392" s="95">
        <v>6886.04</v>
      </c>
      <c r="F392" s="95">
        <v>0</v>
      </c>
      <c r="G392" s="95">
        <v>0</v>
      </c>
      <c r="H392" s="95">
        <v>0</v>
      </c>
    </row>
    <row r="393" spans="1:8" ht="19.8" customHeight="1" x14ac:dyDescent="0.3">
      <c r="A393" s="98">
        <f t="shared" si="6"/>
        <v>7</v>
      </c>
      <c r="B393" s="92" t="s">
        <v>1691</v>
      </c>
      <c r="C393" s="92" t="s">
        <v>1692</v>
      </c>
      <c r="D393" s="95">
        <v>1725102.82</v>
      </c>
      <c r="E393" s="95">
        <v>1725102.82</v>
      </c>
      <c r="F393" s="95">
        <v>0</v>
      </c>
      <c r="G393" s="95">
        <v>0</v>
      </c>
      <c r="H393" s="95">
        <v>0</v>
      </c>
    </row>
    <row r="394" spans="1:8" ht="19.8" customHeight="1" x14ac:dyDescent="0.3">
      <c r="A394" s="98">
        <f t="shared" si="6"/>
        <v>11</v>
      </c>
      <c r="B394" s="92" t="s">
        <v>1693</v>
      </c>
      <c r="C394" s="92" t="s">
        <v>1694</v>
      </c>
      <c r="D394" s="95">
        <v>493344.17</v>
      </c>
      <c r="E394" s="95">
        <v>493344.17</v>
      </c>
      <c r="F394" s="95">
        <v>0</v>
      </c>
      <c r="G394" s="95">
        <v>0</v>
      </c>
      <c r="H394" s="95">
        <v>0</v>
      </c>
    </row>
    <row r="395" spans="1:8" ht="19.8" customHeight="1" x14ac:dyDescent="0.3">
      <c r="A395" s="98">
        <f t="shared" si="6"/>
        <v>11</v>
      </c>
      <c r="B395" s="92" t="s">
        <v>1695</v>
      </c>
      <c r="C395" s="92" t="s">
        <v>1696</v>
      </c>
      <c r="D395" s="95">
        <v>449712.39</v>
      </c>
      <c r="E395" s="95">
        <v>449712.39</v>
      </c>
      <c r="F395" s="95">
        <v>0</v>
      </c>
      <c r="G395" s="95">
        <v>0</v>
      </c>
      <c r="H395" s="95">
        <v>0</v>
      </c>
    </row>
    <row r="396" spans="1:8" ht="19.8" customHeight="1" x14ac:dyDescent="0.3">
      <c r="A396" s="98">
        <f t="shared" si="6"/>
        <v>11</v>
      </c>
      <c r="B396" s="92" t="s">
        <v>1697</v>
      </c>
      <c r="C396" s="92" t="s">
        <v>1698</v>
      </c>
      <c r="D396" s="95">
        <v>420340.62</v>
      </c>
      <c r="E396" s="95">
        <v>420340.62</v>
      </c>
      <c r="F396" s="95">
        <v>0</v>
      </c>
      <c r="G396" s="95">
        <v>0</v>
      </c>
      <c r="H396" s="95">
        <v>0</v>
      </c>
    </row>
    <row r="397" spans="1:8" ht="19.8" customHeight="1" x14ac:dyDescent="0.3">
      <c r="A397" s="98">
        <f t="shared" si="6"/>
        <v>11</v>
      </c>
      <c r="B397" s="92" t="s">
        <v>1699</v>
      </c>
      <c r="C397" s="92" t="s">
        <v>1700</v>
      </c>
      <c r="D397" s="95">
        <v>215147.67</v>
      </c>
      <c r="E397" s="95">
        <v>215147.67</v>
      </c>
      <c r="F397" s="95">
        <v>0</v>
      </c>
      <c r="G397" s="95">
        <v>0</v>
      </c>
      <c r="H397" s="95">
        <v>0</v>
      </c>
    </row>
    <row r="398" spans="1:8" ht="19.8" customHeight="1" x14ac:dyDescent="0.3">
      <c r="A398" s="98">
        <f t="shared" si="6"/>
        <v>11</v>
      </c>
      <c r="B398" s="92" t="s">
        <v>1701</v>
      </c>
      <c r="C398" s="92" t="s">
        <v>1702</v>
      </c>
      <c r="D398" s="95">
        <v>123682.13</v>
      </c>
      <c r="E398" s="95">
        <v>123682.13</v>
      </c>
      <c r="F398" s="95">
        <v>0</v>
      </c>
      <c r="G398" s="95">
        <v>0</v>
      </c>
      <c r="H398" s="95">
        <v>0</v>
      </c>
    </row>
    <row r="399" spans="1:8" ht="19.8" customHeight="1" x14ac:dyDescent="0.3">
      <c r="A399" s="98">
        <f t="shared" si="6"/>
        <v>11</v>
      </c>
      <c r="B399" s="92" t="s">
        <v>1703</v>
      </c>
      <c r="C399" s="92" t="s">
        <v>1704</v>
      </c>
      <c r="D399" s="95">
        <v>21486.95</v>
      </c>
      <c r="E399" s="95">
        <v>21486.95</v>
      </c>
      <c r="F399" s="95">
        <v>0</v>
      </c>
      <c r="G399" s="95">
        <v>0</v>
      </c>
      <c r="H399" s="95">
        <v>0</v>
      </c>
    </row>
    <row r="400" spans="1:8" ht="19.8" customHeight="1" x14ac:dyDescent="0.3">
      <c r="A400" s="98">
        <f t="shared" si="6"/>
        <v>11</v>
      </c>
      <c r="B400" s="92" t="s">
        <v>1705</v>
      </c>
      <c r="C400" s="92" t="s">
        <v>1706</v>
      </c>
      <c r="D400" s="95">
        <v>1388.89</v>
      </c>
      <c r="E400" s="95">
        <v>1388.89</v>
      </c>
      <c r="F400" s="95">
        <v>0</v>
      </c>
      <c r="G400" s="95">
        <v>0</v>
      </c>
      <c r="H400" s="95">
        <v>0</v>
      </c>
    </row>
    <row r="401" spans="1:8" ht="19.8" customHeight="1" x14ac:dyDescent="0.3">
      <c r="A401" s="98">
        <f t="shared" si="6"/>
        <v>7</v>
      </c>
      <c r="B401" s="92" t="s">
        <v>1707</v>
      </c>
      <c r="C401" s="92" t="s">
        <v>1708</v>
      </c>
      <c r="D401" s="95">
        <v>1442536.42</v>
      </c>
      <c r="E401" s="95">
        <v>1442536.42</v>
      </c>
      <c r="F401" s="95">
        <v>0</v>
      </c>
      <c r="G401" s="95">
        <v>0</v>
      </c>
      <c r="H401" s="95">
        <v>0</v>
      </c>
    </row>
    <row r="402" spans="1:8" ht="19.8" customHeight="1" x14ac:dyDescent="0.3">
      <c r="A402" s="98">
        <f t="shared" si="6"/>
        <v>11</v>
      </c>
      <c r="B402" s="92" t="s">
        <v>1709</v>
      </c>
      <c r="C402" s="92" t="s">
        <v>1710</v>
      </c>
      <c r="D402" s="95">
        <v>463056.89</v>
      </c>
      <c r="E402" s="95">
        <v>463056.89</v>
      </c>
      <c r="F402" s="95">
        <v>0</v>
      </c>
      <c r="G402" s="95">
        <v>0</v>
      </c>
      <c r="H402" s="95">
        <v>0</v>
      </c>
    </row>
    <row r="403" spans="1:8" ht="19.8" customHeight="1" x14ac:dyDescent="0.3">
      <c r="A403" s="98">
        <f t="shared" si="6"/>
        <v>11</v>
      </c>
      <c r="B403" s="92" t="s">
        <v>1711</v>
      </c>
      <c r="C403" s="92" t="s">
        <v>1712</v>
      </c>
      <c r="D403" s="95">
        <v>348066.41</v>
      </c>
      <c r="E403" s="95">
        <v>348066.41</v>
      </c>
      <c r="F403" s="95">
        <v>0</v>
      </c>
      <c r="G403" s="95">
        <v>0</v>
      </c>
      <c r="H403" s="95">
        <v>0</v>
      </c>
    </row>
    <row r="404" spans="1:8" ht="19.8" customHeight="1" x14ac:dyDescent="0.3">
      <c r="A404" s="98">
        <f t="shared" si="6"/>
        <v>11</v>
      </c>
      <c r="B404" s="92" t="s">
        <v>1713</v>
      </c>
      <c r="C404" s="92" t="s">
        <v>1714</v>
      </c>
      <c r="D404" s="95">
        <v>244924.68</v>
      </c>
      <c r="E404" s="95">
        <v>244924.68</v>
      </c>
      <c r="F404" s="95">
        <v>0</v>
      </c>
      <c r="G404" s="95">
        <v>0</v>
      </c>
      <c r="H404" s="95">
        <v>0</v>
      </c>
    </row>
    <row r="405" spans="1:8" ht="19.8" customHeight="1" x14ac:dyDescent="0.3">
      <c r="A405" s="98">
        <f t="shared" si="6"/>
        <v>11</v>
      </c>
      <c r="B405" s="92" t="s">
        <v>1715</v>
      </c>
      <c r="C405" s="92" t="s">
        <v>1716</v>
      </c>
      <c r="D405" s="95">
        <v>106592.34</v>
      </c>
      <c r="E405" s="95">
        <v>106592.34</v>
      </c>
      <c r="F405" s="95">
        <v>0</v>
      </c>
      <c r="G405" s="95">
        <v>0</v>
      </c>
      <c r="H405" s="95">
        <v>0</v>
      </c>
    </row>
    <row r="406" spans="1:8" ht="19.8" customHeight="1" x14ac:dyDescent="0.3">
      <c r="A406" s="98">
        <f t="shared" si="6"/>
        <v>11</v>
      </c>
      <c r="B406" s="92" t="s">
        <v>1717</v>
      </c>
      <c r="C406" s="92" t="s">
        <v>1718</v>
      </c>
      <c r="D406" s="95">
        <v>243838.66</v>
      </c>
      <c r="E406" s="95">
        <v>243838.66</v>
      </c>
      <c r="F406" s="95">
        <v>0</v>
      </c>
      <c r="G406" s="95">
        <v>0</v>
      </c>
      <c r="H406" s="95">
        <v>0</v>
      </c>
    </row>
    <row r="407" spans="1:8" ht="19.8" customHeight="1" x14ac:dyDescent="0.3">
      <c r="A407" s="98">
        <f t="shared" si="6"/>
        <v>11</v>
      </c>
      <c r="B407" s="92" t="s">
        <v>1719</v>
      </c>
      <c r="C407" s="92" t="s">
        <v>1720</v>
      </c>
      <c r="D407" s="95">
        <v>36057.440000000002</v>
      </c>
      <c r="E407" s="95">
        <v>36057.440000000002</v>
      </c>
      <c r="F407" s="95">
        <v>0</v>
      </c>
      <c r="G407" s="95">
        <v>0</v>
      </c>
      <c r="H407" s="95">
        <v>0</v>
      </c>
    </row>
    <row r="408" spans="1:8" ht="19.8" customHeight="1" x14ac:dyDescent="0.3">
      <c r="A408" s="98">
        <f t="shared" si="6"/>
        <v>7</v>
      </c>
      <c r="B408" s="92" t="s">
        <v>1721</v>
      </c>
      <c r="C408" s="92" t="s">
        <v>1722</v>
      </c>
      <c r="D408" s="95">
        <v>1797144.04</v>
      </c>
      <c r="E408" s="95">
        <v>1797144.04</v>
      </c>
      <c r="F408" s="95">
        <v>0</v>
      </c>
      <c r="G408" s="95">
        <v>0</v>
      </c>
      <c r="H408" s="95">
        <v>0</v>
      </c>
    </row>
    <row r="409" spans="1:8" ht="19.8" customHeight="1" x14ac:dyDescent="0.3">
      <c r="A409" s="98">
        <f t="shared" si="6"/>
        <v>11</v>
      </c>
      <c r="B409" s="92" t="s">
        <v>1723</v>
      </c>
      <c r="C409" s="92" t="s">
        <v>1724</v>
      </c>
      <c r="D409" s="95">
        <v>527873.26</v>
      </c>
      <c r="E409" s="95">
        <v>527873.26</v>
      </c>
      <c r="F409" s="95">
        <v>0</v>
      </c>
      <c r="G409" s="95">
        <v>0</v>
      </c>
      <c r="H409" s="95">
        <v>0</v>
      </c>
    </row>
    <row r="410" spans="1:8" ht="19.8" customHeight="1" x14ac:dyDescent="0.3">
      <c r="A410" s="98">
        <f t="shared" si="6"/>
        <v>11</v>
      </c>
      <c r="B410" s="92" t="s">
        <v>1725</v>
      </c>
      <c r="C410" s="92" t="s">
        <v>1726</v>
      </c>
      <c r="D410" s="95">
        <v>458590.47</v>
      </c>
      <c r="E410" s="95">
        <v>458590.47</v>
      </c>
      <c r="F410" s="95">
        <v>0</v>
      </c>
      <c r="G410" s="95">
        <v>0</v>
      </c>
      <c r="H410" s="95">
        <v>0</v>
      </c>
    </row>
    <row r="411" spans="1:8" ht="19.8" customHeight="1" x14ac:dyDescent="0.3">
      <c r="A411" s="98">
        <f t="shared" si="6"/>
        <v>11</v>
      </c>
      <c r="B411" s="92" t="s">
        <v>1727</v>
      </c>
      <c r="C411" s="92" t="s">
        <v>1728</v>
      </c>
      <c r="D411" s="95">
        <v>507665.7</v>
      </c>
      <c r="E411" s="95">
        <v>507665.7</v>
      </c>
      <c r="F411" s="95">
        <v>0</v>
      </c>
      <c r="G411" s="95">
        <v>0</v>
      </c>
      <c r="H411" s="95">
        <v>0</v>
      </c>
    </row>
    <row r="412" spans="1:8" ht="19.8" customHeight="1" x14ac:dyDescent="0.3">
      <c r="A412" s="98">
        <f t="shared" si="6"/>
        <v>11</v>
      </c>
      <c r="B412" s="92" t="s">
        <v>1729</v>
      </c>
      <c r="C412" s="92" t="s">
        <v>1730</v>
      </c>
      <c r="D412" s="95">
        <v>176423.8</v>
      </c>
      <c r="E412" s="95">
        <v>176423.8</v>
      </c>
      <c r="F412" s="95">
        <v>0</v>
      </c>
      <c r="G412" s="95">
        <v>0</v>
      </c>
      <c r="H412" s="95">
        <v>0</v>
      </c>
    </row>
    <row r="413" spans="1:8" ht="19.8" customHeight="1" x14ac:dyDescent="0.3">
      <c r="A413" s="98">
        <f t="shared" si="6"/>
        <v>11</v>
      </c>
      <c r="B413" s="92" t="s">
        <v>1731</v>
      </c>
      <c r="C413" s="92" t="s">
        <v>1732</v>
      </c>
      <c r="D413" s="95">
        <v>124159.58</v>
      </c>
      <c r="E413" s="95">
        <v>124159.58</v>
      </c>
      <c r="F413" s="95">
        <v>0</v>
      </c>
      <c r="G413" s="95">
        <v>0</v>
      </c>
      <c r="H413" s="95">
        <v>0</v>
      </c>
    </row>
    <row r="414" spans="1:8" ht="19.8" customHeight="1" x14ac:dyDescent="0.3">
      <c r="A414" s="98">
        <f t="shared" si="6"/>
        <v>11</v>
      </c>
      <c r="B414" s="92" t="s">
        <v>1733</v>
      </c>
      <c r="C414" s="92" t="s">
        <v>1734</v>
      </c>
      <c r="D414" s="95">
        <v>2431.23</v>
      </c>
      <c r="E414" s="95">
        <v>2431.23</v>
      </c>
      <c r="F414" s="95">
        <v>0</v>
      </c>
      <c r="G414" s="95">
        <v>0</v>
      </c>
      <c r="H414" s="95">
        <v>0</v>
      </c>
    </row>
    <row r="415" spans="1:8" ht="19.8" customHeight="1" x14ac:dyDescent="0.3">
      <c r="A415" s="98">
        <f t="shared" si="6"/>
        <v>7</v>
      </c>
      <c r="B415" s="92" t="s">
        <v>1735</v>
      </c>
      <c r="C415" s="92" t="s">
        <v>1736</v>
      </c>
      <c r="D415" s="95">
        <v>3208113.67</v>
      </c>
      <c r="E415" s="95">
        <v>3208113.67</v>
      </c>
      <c r="F415" s="95">
        <v>0</v>
      </c>
      <c r="G415" s="95">
        <v>0</v>
      </c>
      <c r="H415" s="95">
        <v>0</v>
      </c>
    </row>
    <row r="416" spans="1:8" ht="19.8" customHeight="1" x14ac:dyDescent="0.3">
      <c r="A416" s="98">
        <f t="shared" si="6"/>
        <v>11</v>
      </c>
      <c r="B416" s="92" t="s">
        <v>1737</v>
      </c>
      <c r="C416" s="92" t="s">
        <v>1738</v>
      </c>
      <c r="D416" s="95">
        <v>872187.88</v>
      </c>
      <c r="E416" s="95">
        <v>872187.88</v>
      </c>
      <c r="F416" s="95">
        <v>0</v>
      </c>
      <c r="G416" s="95">
        <v>0</v>
      </c>
      <c r="H416" s="95">
        <v>0</v>
      </c>
    </row>
    <row r="417" spans="1:8" ht="19.8" customHeight="1" x14ac:dyDescent="0.3">
      <c r="A417" s="98">
        <f t="shared" si="6"/>
        <v>11</v>
      </c>
      <c r="B417" s="92" t="s">
        <v>1739</v>
      </c>
      <c r="C417" s="92" t="s">
        <v>1740</v>
      </c>
      <c r="D417" s="95">
        <v>696598.86</v>
      </c>
      <c r="E417" s="95">
        <v>696598.86</v>
      </c>
      <c r="F417" s="95">
        <v>0</v>
      </c>
      <c r="G417" s="95">
        <v>0</v>
      </c>
      <c r="H417" s="95">
        <v>0</v>
      </c>
    </row>
    <row r="418" spans="1:8" ht="19.8" customHeight="1" x14ac:dyDescent="0.3">
      <c r="A418" s="98">
        <f t="shared" si="6"/>
        <v>11</v>
      </c>
      <c r="B418" s="92" t="s">
        <v>1741</v>
      </c>
      <c r="C418" s="92" t="s">
        <v>1742</v>
      </c>
      <c r="D418" s="95">
        <v>897544.13</v>
      </c>
      <c r="E418" s="95">
        <v>897544.13</v>
      </c>
      <c r="F418" s="95">
        <v>0</v>
      </c>
      <c r="G418" s="95">
        <v>0</v>
      </c>
      <c r="H418" s="95">
        <v>0</v>
      </c>
    </row>
    <row r="419" spans="1:8" ht="19.8" customHeight="1" x14ac:dyDescent="0.3">
      <c r="A419" s="98">
        <f t="shared" si="6"/>
        <v>11</v>
      </c>
      <c r="B419" s="92" t="s">
        <v>1743</v>
      </c>
      <c r="C419" s="92" t="s">
        <v>1744</v>
      </c>
      <c r="D419" s="95">
        <v>481859.46</v>
      </c>
      <c r="E419" s="95">
        <v>481859.46</v>
      </c>
      <c r="F419" s="95">
        <v>0</v>
      </c>
      <c r="G419" s="95">
        <v>0</v>
      </c>
      <c r="H419" s="95">
        <v>0</v>
      </c>
    </row>
    <row r="420" spans="1:8" ht="19.8" customHeight="1" x14ac:dyDescent="0.3">
      <c r="A420" s="98">
        <f t="shared" si="6"/>
        <v>11</v>
      </c>
      <c r="B420" s="92" t="s">
        <v>1745</v>
      </c>
      <c r="C420" s="92" t="s">
        <v>1746</v>
      </c>
      <c r="D420" s="95">
        <v>254349.02</v>
      </c>
      <c r="E420" s="95">
        <v>254349.02</v>
      </c>
      <c r="F420" s="95">
        <v>0</v>
      </c>
      <c r="G420" s="95">
        <v>0</v>
      </c>
      <c r="H420" s="95">
        <v>0</v>
      </c>
    </row>
    <row r="421" spans="1:8" ht="19.8" customHeight="1" x14ac:dyDescent="0.3">
      <c r="A421" s="98">
        <f t="shared" si="6"/>
        <v>11</v>
      </c>
      <c r="B421" s="92" t="s">
        <v>1747</v>
      </c>
      <c r="C421" s="92" t="s">
        <v>1748</v>
      </c>
      <c r="D421" s="95">
        <v>5574.32</v>
      </c>
      <c r="E421" s="95">
        <v>5574.32</v>
      </c>
      <c r="F421" s="95">
        <v>0</v>
      </c>
      <c r="G421" s="95">
        <v>0</v>
      </c>
      <c r="H421" s="95">
        <v>0</v>
      </c>
    </row>
    <row r="422" spans="1:8" ht="19.8" customHeight="1" x14ac:dyDescent="0.3">
      <c r="A422" s="98">
        <f t="shared" si="6"/>
        <v>7</v>
      </c>
      <c r="B422" s="92" t="s">
        <v>1749</v>
      </c>
      <c r="C422" s="92" t="s">
        <v>1750</v>
      </c>
      <c r="D422" s="95">
        <v>2123467.33</v>
      </c>
      <c r="E422" s="95">
        <v>2123467.33</v>
      </c>
      <c r="F422" s="95">
        <v>0</v>
      </c>
      <c r="G422" s="95">
        <v>0</v>
      </c>
      <c r="H422" s="95">
        <v>0</v>
      </c>
    </row>
    <row r="423" spans="1:8" ht="19.8" customHeight="1" x14ac:dyDescent="0.3">
      <c r="A423" s="98">
        <f t="shared" si="6"/>
        <v>11</v>
      </c>
      <c r="B423" s="92" t="s">
        <v>1751</v>
      </c>
      <c r="C423" s="92" t="s">
        <v>1752</v>
      </c>
      <c r="D423" s="95">
        <v>533226.76</v>
      </c>
      <c r="E423" s="95">
        <v>533226.76</v>
      </c>
      <c r="F423" s="95">
        <v>0</v>
      </c>
      <c r="G423" s="95">
        <v>0</v>
      </c>
      <c r="H423" s="95">
        <v>0</v>
      </c>
    </row>
    <row r="424" spans="1:8" ht="19.8" customHeight="1" x14ac:dyDescent="0.3">
      <c r="A424" s="98">
        <f t="shared" si="6"/>
        <v>11</v>
      </c>
      <c r="B424" s="92" t="s">
        <v>1753</v>
      </c>
      <c r="C424" s="92" t="s">
        <v>1754</v>
      </c>
      <c r="D424" s="95">
        <v>519295.57</v>
      </c>
      <c r="E424" s="95">
        <v>519295.57</v>
      </c>
      <c r="F424" s="95">
        <v>0</v>
      </c>
      <c r="G424" s="95">
        <v>0</v>
      </c>
      <c r="H424" s="95">
        <v>0</v>
      </c>
    </row>
    <row r="425" spans="1:8" ht="19.8" customHeight="1" x14ac:dyDescent="0.3">
      <c r="A425" s="98">
        <f t="shared" si="6"/>
        <v>11</v>
      </c>
      <c r="B425" s="92" t="s">
        <v>1755</v>
      </c>
      <c r="C425" s="92" t="s">
        <v>1756</v>
      </c>
      <c r="D425" s="95">
        <v>583143.69999999995</v>
      </c>
      <c r="E425" s="95">
        <v>583143.69999999995</v>
      </c>
      <c r="F425" s="95">
        <v>0</v>
      </c>
      <c r="G425" s="95">
        <v>0</v>
      </c>
      <c r="H425" s="95">
        <v>0</v>
      </c>
    </row>
    <row r="426" spans="1:8" ht="19.8" customHeight="1" x14ac:dyDescent="0.3">
      <c r="A426" s="98">
        <f t="shared" si="6"/>
        <v>11</v>
      </c>
      <c r="B426" s="92" t="s">
        <v>1757</v>
      </c>
      <c r="C426" s="92" t="s">
        <v>1758</v>
      </c>
      <c r="D426" s="95">
        <v>283079.07</v>
      </c>
      <c r="E426" s="95">
        <v>283079.07</v>
      </c>
      <c r="F426" s="95">
        <v>0</v>
      </c>
      <c r="G426" s="95">
        <v>0</v>
      </c>
      <c r="H426" s="95">
        <v>0</v>
      </c>
    </row>
    <row r="427" spans="1:8" ht="19.8" customHeight="1" x14ac:dyDescent="0.3">
      <c r="A427" s="98">
        <f t="shared" si="6"/>
        <v>11</v>
      </c>
      <c r="B427" s="92" t="s">
        <v>1759</v>
      </c>
      <c r="C427" s="92" t="s">
        <v>1760</v>
      </c>
      <c r="D427" s="95">
        <v>188570.4</v>
      </c>
      <c r="E427" s="95">
        <v>188570.4</v>
      </c>
      <c r="F427" s="95">
        <v>0</v>
      </c>
      <c r="G427" s="95">
        <v>0</v>
      </c>
      <c r="H427" s="95">
        <v>0</v>
      </c>
    </row>
    <row r="428" spans="1:8" ht="19.8" customHeight="1" x14ac:dyDescent="0.3">
      <c r="A428" s="98">
        <f t="shared" si="6"/>
        <v>11</v>
      </c>
      <c r="B428" s="92" t="s">
        <v>1761</v>
      </c>
      <c r="C428" s="92" t="s">
        <v>1762</v>
      </c>
      <c r="D428" s="95">
        <v>16151.83</v>
      </c>
      <c r="E428" s="95">
        <v>16151.83</v>
      </c>
      <c r="F428" s="95">
        <v>0</v>
      </c>
      <c r="G428" s="95">
        <v>0</v>
      </c>
      <c r="H428" s="95">
        <v>0</v>
      </c>
    </row>
    <row r="429" spans="1:8" ht="19.8" customHeight="1" x14ac:dyDescent="0.3">
      <c r="A429" s="98">
        <f t="shared" si="6"/>
        <v>7</v>
      </c>
      <c r="B429" s="92" t="s">
        <v>1763</v>
      </c>
      <c r="C429" s="92" t="s">
        <v>1764</v>
      </c>
      <c r="D429" s="95">
        <v>917508.29</v>
      </c>
      <c r="E429" s="95">
        <v>917508.29</v>
      </c>
      <c r="F429" s="95">
        <v>0</v>
      </c>
      <c r="G429" s="95">
        <v>0</v>
      </c>
      <c r="H429" s="95">
        <v>0</v>
      </c>
    </row>
    <row r="430" spans="1:8" ht="19.8" customHeight="1" x14ac:dyDescent="0.3">
      <c r="A430" s="98">
        <f t="shared" si="6"/>
        <v>11</v>
      </c>
      <c r="B430" s="92" t="s">
        <v>1765</v>
      </c>
      <c r="C430" s="92" t="s">
        <v>1766</v>
      </c>
      <c r="D430" s="95">
        <v>240391.38</v>
      </c>
      <c r="E430" s="95">
        <v>240391.38</v>
      </c>
      <c r="F430" s="95">
        <v>0</v>
      </c>
      <c r="G430" s="95">
        <v>0</v>
      </c>
      <c r="H430" s="95">
        <v>0</v>
      </c>
    </row>
    <row r="431" spans="1:8" ht="19.8" customHeight="1" x14ac:dyDescent="0.3">
      <c r="A431" s="98">
        <f t="shared" si="6"/>
        <v>11</v>
      </c>
      <c r="B431" s="92" t="s">
        <v>1767</v>
      </c>
      <c r="C431" s="92" t="s">
        <v>1768</v>
      </c>
      <c r="D431" s="95">
        <v>260225.35</v>
      </c>
      <c r="E431" s="95">
        <v>260225.35</v>
      </c>
      <c r="F431" s="95">
        <v>0</v>
      </c>
      <c r="G431" s="95">
        <v>0</v>
      </c>
      <c r="H431" s="95">
        <v>0</v>
      </c>
    </row>
    <row r="432" spans="1:8" ht="19.8" customHeight="1" x14ac:dyDescent="0.3">
      <c r="A432" s="98">
        <f t="shared" si="6"/>
        <v>11</v>
      </c>
      <c r="B432" s="92" t="s">
        <v>1769</v>
      </c>
      <c r="C432" s="92" t="s">
        <v>1770</v>
      </c>
      <c r="D432" s="95">
        <v>202406.78</v>
      </c>
      <c r="E432" s="95">
        <v>202406.78</v>
      </c>
      <c r="F432" s="95">
        <v>0</v>
      </c>
      <c r="G432" s="95">
        <v>0</v>
      </c>
      <c r="H432" s="95">
        <v>0</v>
      </c>
    </row>
    <row r="433" spans="1:8" ht="19.8" customHeight="1" x14ac:dyDescent="0.3">
      <c r="A433" s="98">
        <f t="shared" si="6"/>
        <v>11</v>
      </c>
      <c r="B433" s="92" t="s">
        <v>1771</v>
      </c>
      <c r="C433" s="92" t="s">
        <v>1772</v>
      </c>
      <c r="D433" s="95">
        <v>65519.44</v>
      </c>
      <c r="E433" s="95">
        <v>65519.44</v>
      </c>
      <c r="F433" s="95">
        <v>0</v>
      </c>
      <c r="G433" s="95">
        <v>0</v>
      </c>
      <c r="H433" s="95">
        <v>0</v>
      </c>
    </row>
    <row r="434" spans="1:8" ht="19.8" customHeight="1" x14ac:dyDescent="0.3">
      <c r="A434" s="98">
        <f t="shared" si="6"/>
        <v>11</v>
      </c>
      <c r="B434" s="92" t="s">
        <v>1773</v>
      </c>
      <c r="C434" s="92" t="s">
        <v>1774</v>
      </c>
      <c r="D434" s="95">
        <v>98261.65</v>
      </c>
      <c r="E434" s="95">
        <v>98261.65</v>
      </c>
      <c r="F434" s="95">
        <v>0</v>
      </c>
      <c r="G434" s="95">
        <v>0</v>
      </c>
      <c r="H434" s="95">
        <v>0</v>
      </c>
    </row>
    <row r="435" spans="1:8" ht="19.8" customHeight="1" x14ac:dyDescent="0.3">
      <c r="A435" s="98">
        <f t="shared" si="6"/>
        <v>11</v>
      </c>
      <c r="B435" s="92" t="s">
        <v>1775</v>
      </c>
      <c r="C435" s="92" t="s">
        <v>1776</v>
      </c>
      <c r="D435" s="95">
        <v>50703.69</v>
      </c>
      <c r="E435" s="95">
        <v>50703.69</v>
      </c>
      <c r="F435" s="95">
        <v>0</v>
      </c>
      <c r="G435" s="95">
        <v>0</v>
      </c>
      <c r="H435" s="95">
        <v>0</v>
      </c>
    </row>
    <row r="436" spans="1:8" ht="19.8" customHeight="1" x14ac:dyDescent="0.3">
      <c r="A436" s="98">
        <f t="shared" si="6"/>
        <v>7</v>
      </c>
      <c r="B436" s="92" t="s">
        <v>1777</v>
      </c>
      <c r="C436" s="92" t="s">
        <v>1778</v>
      </c>
      <c r="D436" s="95">
        <v>684824.22</v>
      </c>
      <c r="E436" s="95">
        <v>684824.22</v>
      </c>
      <c r="F436" s="95">
        <v>0</v>
      </c>
      <c r="G436" s="95">
        <v>0</v>
      </c>
      <c r="H436" s="95">
        <v>0</v>
      </c>
    </row>
    <row r="437" spans="1:8" ht="19.8" customHeight="1" x14ac:dyDescent="0.3">
      <c r="A437" s="98">
        <f t="shared" si="6"/>
        <v>11</v>
      </c>
      <c r="B437" s="92" t="s">
        <v>1779</v>
      </c>
      <c r="C437" s="92" t="s">
        <v>1780</v>
      </c>
      <c r="D437" s="95">
        <v>146339.59</v>
      </c>
      <c r="E437" s="95">
        <v>146339.59</v>
      </c>
      <c r="F437" s="95">
        <v>0</v>
      </c>
      <c r="G437" s="95">
        <v>0</v>
      </c>
      <c r="H437" s="95">
        <v>0</v>
      </c>
    </row>
    <row r="438" spans="1:8" ht="19.8" customHeight="1" x14ac:dyDescent="0.3">
      <c r="A438" s="98">
        <f t="shared" si="6"/>
        <v>11</v>
      </c>
      <c r="B438" s="92" t="s">
        <v>1781</v>
      </c>
      <c r="C438" s="92" t="s">
        <v>1782</v>
      </c>
      <c r="D438" s="95">
        <v>235410.2</v>
      </c>
      <c r="E438" s="95">
        <v>235410.2</v>
      </c>
      <c r="F438" s="95">
        <v>0</v>
      </c>
      <c r="G438" s="95">
        <v>0</v>
      </c>
      <c r="H438" s="95">
        <v>0</v>
      </c>
    </row>
    <row r="439" spans="1:8" ht="19.8" customHeight="1" x14ac:dyDescent="0.3">
      <c r="A439" s="98">
        <f t="shared" si="6"/>
        <v>11</v>
      </c>
      <c r="B439" s="92" t="s">
        <v>1783</v>
      </c>
      <c r="C439" s="92" t="s">
        <v>1784</v>
      </c>
      <c r="D439" s="95">
        <v>150345.96</v>
      </c>
      <c r="E439" s="95">
        <v>150345.96</v>
      </c>
      <c r="F439" s="95">
        <v>0</v>
      </c>
      <c r="G439" s="95">
        <v>0</v>
      </c>
      <c r="H439" s="95">
        <v>0</v>
      </c>
    </row>
    <row r="440" spans="1:8" ht="19.8" customHeight="1" x14ac:dyDescent="0.3">
      <c r="A440" s="98">
        <f t="shared" si="6"/>
        <v>11</v>
      </c>
      <c r="B440" s="92" t="s">
        <v>1785</v>
      </c>
      <c r="C440" s="92" t="s">
        <v>1786</v>
      </c>
      <c r="D440" s="95">
        <v>57415.71</v>
      </c>
      <c r="E440" s="95">
        <v>57415.71</v>
      </c>
      <c r="F440" s="95">
        <v>0</v>
      </c>
      <c r="G440" s="95">
        <v>0</v>
      </c>
      <c r="H440" s="95">
        <v>0</v>
      </c>
    </row>
    <row r="441" spans="1:8" ht="19.8" customHeight="1" x14ac:dyDescent="0.3">
      <c r="A441" s="98">
        <f t="shared" si="6"/>
        <v>11</v>
      </c>
      <c r="B441" s="92" t="s">
        <v>1787</v>
      </c>
      <c r="C441" s="92" t="s">
        <v>1788</v>
      </c>
      <c r="D441" s="95">
        <v>82428.479999999996</v>
      </c>
      <c r="E441" s="95">
        <v>82428.479999999996</v>
      </c>
      <c r="F441" s="95">
        <v>0</v>
      </c>
      <c r="G441" s="95">
        <v>0</v>
      </c>
      <c r="H441" s="95">
        <v>0</v>
      </c>
    </row>
    <row r="442" spans="1:8" ht="19.8" customHeight="1" x14ac:dyDescent="0.3">
      <c r="A442" s="98">
        <f t="shared" si="6"/>
        <v>11</v>
      </c>
      <c r="B442" s="92" t="s">
        <v>1789</v>
      </c>
      <c r="C442" s="92" t="s">
        <v>1790</v>
      </c>
      <c r="D442" s="95">
        <v>12884.28</v>
      </c>
      <c r="E442" s="95">
        <v>12884.28</v>
      </c>
      <c r="F442" s="95">
        <v>0</v>
      </c>
      <c r="G442" s="95">
        <v>0</v>
      </c>
      <c r="H442" s="95">
        <v>0</v>
      </c>
    </row>
    <row r="443" spans="1:8" ht="19.8" customHeight="1" x14ac:dyDescent="0.3">
      <c r="A443" s="98">
        <f t="shared" si="6"/>
        <v>7</v>
      </c>
      <c r="B443" s="92" t="s">
        <v>1791</v>
      </c>
      <c r="C443" s="92" t="s">
        <v>1792</v>
      </c>
      <c r="D443" s="95">
        <v>4199441.46</v>
      </c>
      <c r="E443" s="95">
        <v>4199441.46</v>
      </c>
      <c r="F443" s="95">
        <v>0</v>
      </c>
      <c r="G443" s="95">
        <v>0</v>
      </c>
      <c r="H443" s="95">
        <v>0</v>
      </c>
    </row>
    <row r="444" spans="1:8" ht="19.8" customHeight="1" x14ac:dyDescent="0.3">
      <c r="A444" s="98">
        <f t="shared" si="6"/>
        <v>11</v>
      </c>
      <c r="B444" s="92" t="s">
        <v>1793</v>
      </c>
      <c r="C444" s="92" t="s">
        <v>1794</v>
      </c>
      <c r="D444" s="95">
        <v>1258331.56</v>
      </c>
      <c r="E444" s="95">
        <v>1258331.56</v>
      </c>
      <c r="F444" s="95">
        <v>0</v>
      </c>
      <c r="G444" s="95">
        <v>0</v>
      </c>
      <c r="H444" s="95">
        <v>0</v>
      </c>
    </row>
    <row r="445" spans="1:8" ht="19.8" customHeight="1" x14ac:dyDescent="0.3">
      <c r="A445" s="98">
        <f t="shared" si="6"/>
        <v>11</v>
      </c>
      <c r="B445" s="92" t="s">
        <v>1795</v>
      </c>
      <c r="C445" s="92" t="s">
        <v>1796</v>
      </c>
      <c r="D445" s="95">
        <v>911999.03</v>
      </c>
      <c r="E445" s="95">
        <v>911999.03</v>
      </c>
      <c r="F445" s="95">
        <v>0</v>
      </c>
      <c r="G445" s="95">
        <v>0</v>
      </c>
      <c r="H445" s="95">
        <v>0</v>
      </c>
    </row>
    <row r="446" spans="1:8" ht="19.8" customHeight="1" x14ac:dyDescent="0.3">
      <c r="A446" s="98">
        <f t="shared" si="6"/>
        <v>11</v>
      </c>
      <c r="B446" s="92" t="s">
        <v>1797</v>
      </c>
      <c r="C446" s="92" t="s">
        <v>1798</v>
      </c>
      <c r="D446" s="95">
        <v>1050548.55</v>
      </c>
      <c r="E446" s="95">
        <v>1050548.55</v>
      </c>
      <c r="F446" s="95">
        <v>0</v>
      </c>
      <c r="G446" s="95">
        <v>0</v>
      </c>
      <c r="H446" s="95">
        <v>0</v>
      </c>
    </row>
    <row r="447" spans="1:8" ht="19.8" customHeight="1" x14ac:dyDescent="0.3">
      <c r="A447" s="98">
        <f t="shared" si="6"/>
        <v>11</v>
      </c>
      <c r="B447" s="92" t="s">
        <v>1799</v>
      </c>
      <c r="C447" s="92" t="s">
        <v>1800</v>
      </c>
      <c r="D447" s="95">
        <v>457648.13</v>
      </c>
      <c r="E447" s="95">
        <v>457648.13</v>
      </c>
      <c r="F447" s="95">
        <v>0</v>
      </c>
      <c r="G447" s="95">
        <v>0</v>
      </c>
      <c r="H447" s="95">
        <v>0</v>
      </c>
    </row>
    <row r="448" spans="1:8" ht="19.8" customHeight="1" x14ac:dyDescent="0.3">
      <c r="A448" s="98">
        <f t="shared" si="6"/>
        <v>11</v>
      </c>
      <c r="B448" s="92" t="s">
        <v>1801</v>
      </c>
      <c r="C448" s="92" t="s">
        <v>1802</v>
      </c>
      <c r="D448" s="95">
        <v>504518.2</v>
      </c>
      <c r="E448" s="95">
        <v>504518.2</v>
      </c>
      <c r="F448" s="95">
        <v>0</v>
      </c>
      <c r="G448" s="95">
        <v>0</v>
      </c>
      <c r="H448" s="95">
        <v>0</v>
      </c>
    </row>
    <row r="449" spans="1:8" ht="19.8" customHeight="1" x14ac:dyDescent="0.3">
      <c r="A449" s="98">
        <f t="shared" si="6"/>
        <v>11</v>
      </c>
      <c r="B449" s="92" t="s">
        <v>1803</v>
      </c>
      <c r="C449" s="92" t="s">
        <v>1804</v>
      </c>
      <c r="D449" s="95">
        <v>16395.990000000002</v>
      </c>
      <c r="E449" s="95">
        <v>16395.990000000002</v>
      </c>
      <c r="F449" s="95">
        <v>0</v>
      </c>
      <c r="G449" s="95">
        <v>0</v>
      </c>
      <c r="H449" s="95">
        <v>0</v>
      </c>
    </row>
    <row r="450" spans="1:8" ht="19.8" customHeight="1" x14ac:dyDescent="0.3">
      <c r="A450" s="98">
        <f t="shared" si="6"/>
        <v>7</v>
      </c>
      <c r="B450" s="92" t="s">
        <v>1805</v>
      </c>
      <c r="C450" s="92" t="s">
        <v>1806</v>
      </c>
      <c r="D450" s="95">
        <v>1355915.93</v>
      </c>
      <c r="E450" s="95">
        <v>1355915.93</v>
      </c>
      <c r="F450" s="95">
        <v>0</v>
      </c>
      <c r="G450" s="95">
        <v>0</v>
      </c>
      <c r="H450" s="95">
        <v>0</v>
      </c>
    </row>
    <row r="451" spans="1:8" ht="19.8" customHeight="1" x14ac:dyDescent="0.3">
      <c r="A451" s="98">
        <f t="shared" ref="A451:A514" si="7">+LEN(B451)</f>
        <v>11</v>
      </c>
      <c r="B451" s="92" t="s">
        <v>1807</v>
      </c>
      <c r="C451" s="92" t="s">
        <v>1808</v>
      </c>
      <c r="D451" s="95">
        <v>264757.62</v>
      </c>
      <c r="E451" s="95">
        <v>264757.62</v>
      </c>
      <c r="F451" s="95">
        <v>0</v>
      </c>
      <c r="G451" s="95">
        <v>0</v>
      </c>
      <c r="H451" s="95">
        <v>0</v>
      </c>
    </row>
    <row r="452" spans="1:8" ht="19.8" customHeight="1" x14ac:dyDescent="0.3">
      <c r="A452" s="98">
        <f t="shared" si="7"/>
        <v>11</v>
      </c>
      <c r="B452" s="92" t="s">
        <v>1809</v>
      </c>
      <c r="C452" s="92" t="s">
        <v>1810</v>
      </c>
      <c r="D452" s="95">
        <v>255343.71</v>
      </c>
      <c r="E452" s="95">
        <v>255343.71</v>
      </c>
      <c r="F452" s="95">
        <v>0</v>
      </c>
      <c r="G452" s="95">
        <v>0</v>
      </c>
      <c r="H452" s="95">
        <v>0</v>
      </c>
    </row>
    <row r="453" spans="1:8" ht="19.8" customHeight="1" x14ac:dyDescent="0.3">
      <c r="A453" s="98">
        <f t="shared" si="7"/>
        <v>11</v>
      </c>
      <c r="B453" s="92" t="s">
        <v>1811</v>
      </c>
      <c r="C453" s="92" t="s">
        <v>1812</v>
      </c>
      <c r="D453" s="95">
        <v>620646.29</v>
      </c>
      <c r="E453" s="95">
        <v>620646.29</v>
      </c>
      <c r="F453" s="95">
        <v>0</v>
      </c>
      <c r="G453" s="95">
        <v>0</v>
      </c>
      <c r="H453" s="95">
        <v>0</v>
      </c>
    </row>
    <row r="454" spans="1:8" ht="19.8" customHeight="1" x14ac:dyDescent="0.3">
      <c r="A454" s="98">
        <f t="shared" si="7"/>
        <v>11</v>
      </c>
      <c r="B454" s="92" t="s">
        <v>1813</v>
      </c>
      <c r="C454" s="92" t="s">
        <v>1814</v>
      </c>
      <c r="D454" s="95">
        <v>114303.23</v>
      </c>
      <c r="E454" s="95">
        <v>114303.23</v>
      </c>
      <c r="F454" s="95">
        <v>0</v>
      </c>
      <c r="G454" s="95">
        <v>0</v>
      </c>
      <c r="H454" s="95">
        <v>0</v>
      </c>
    </row>
    <row r="455" spans="1:8" ht="19.8" customHeight="1" x14ac:dyDescent="0.3">
      <c r="A455" s="98">
        <f t="shared" si="7"/>
        <v>11</v>
      </c>
      <c r="B455" s="92" t="s">
        <v>1815</v>
      </c>
      <c r="C455" s="92" t="s">
        <v>1816</v>
      </c>
      <c r="D455" s="95">
        <v>87084.03</v>
      </c>
      <c r="E455" s="95">
        <v>87084.03</v>
      </c>
      <c r="F455" s="95">
        <v>0</v>
      </c>
      <c r="G455" s="95">
        <v>0</v>
      </c>
      <c r="H455" s="95">
        <v>0</v>
      </c>
    </row>
    <row r="456" spans="1:8" ht="19.8" customHeight="1" x14ac:dyDescent="0.3">
      <c r="A456" s="98">
        <f t="shared" si="7"/>
        <v>11</v>
      </c>
      <c r="B456" s="92" t="s">
        <v>1817</v>
      </c>
      <c r="C456" s="92" t="s">
        <v>1818</v>
      </c>
      <c r="D456" s="95">
        <v>13781.05</v>
      </c>
      <c r="E456" s="95">
        <v>13781.05</v>
      </c>
      <c r="F456" s="95">
        <v>0</v>
      </c>
      <c r="G456" s="95">
        <v>0</v>
      </c>
      <c r="H456" s="95">
        <v>0</v>
      </c>
    </row>
    <row r="457" spans="1:8" ht="19.8" customHeight="1" x14ac:dyDescent="0.3">
      <c r="A457" s="98">
        <f t="shared" si="7"/>
        <v>7</v>
      </c>
      <c r="B457" s="92" t="s">
        <v>1819</v>
      </c>
      <c r="C457" s="92" t="s">
        <v>1820</v>
      </c>
      <c r="D457" s="95">
        <v>1607665.73</v>
      </c>
      <c r="E457" s="95">
        <v>1607665.73</v>
      </c>
      <c r="F457" s="95">
        <v>0</v>
      </c>
      <c r="G457" s="95">
        <v>0</v>
      </c>
      <c r="H457" s="95">
        <v>0</v>
      </c>
    </row>
    <row r="458" spans="1:8" ht="19.8" customHeight="1" x14ac:dyDescent="0.3">
      <c r="A458" s="98">
        <f t="shared" si="7"/>
        <v>11</v>
      </c>
      <c r="B458" s="92" t="s">
        <v>1821</v>
      </c>
      <c r="C458" s="92" t="s">
        <v>1822</v>
      </c>
      <c r="D458" s="95">
        <v>415222.23</v>
      </c>
      <c r="E458" s="95">
        <v>415222.23</v>
      </c>
      <c r="F458" s="95">
        <v>0</v>
      </c>
      <c r="G458" s="95">
        <v>0</v>
      </c>
      <c r="H458" s="95">
        <v>0</v>
      </c>
    </row>
    <row r="459" spans="1:8" ht="19.8" customHeight="1" x14ac:dyDescent="0.3">
      <c r="A459" s="98">
        <f t="shared" si="7"/>
        <v>11</v>
      </c>
      <c r="B459" s="92" t="s">
        <v>1823</v>
      </c>
      <c r="C459" s="92" t="s">
        <v>1824</v>
      </c>
      <c r="D459" s="95">
        <v>482631.19</v>
      </c>
      <c r="E459" s="95">
        <v>482631.19</v>
      </c>
      <c r="F459" s="95">
        <v>0</v>
      </c>
      <c r="G459" s="95">
        <v>0</v>
      </c>
      <c r="H459" s="95">
        <v>0</v>
      </c>
    </row>
    <row r="460" spans="1:8" ht="19.8" customHeight="1" x14ac:dyDescent="0.3">
      <c r="A460" s="98">
        <f t="shared" si="7"/>
        <v>11</v>
      </c>
      <c r="B460" s="92" t="s">
        <v>1825</v>
      </c>
      <c r="C460" s="92" t="s">
        <v>1826</v>
      </c>
      <c r="D460" s="95">
        <v>406964.81</v>
      </c>
      <c r="E460" s="95">
        <v>406964.81</v>
      </c>
      <c r="F460" s="95">
        <v>0</v>
      </c>
      <c r="G460" s="95">
        <v>0</v>
      </c>
      <c r="H460" s="95">
        <v>0</v>
      </c>
    </row>
    <row r="461" spans="1:8" ht="19.8" customHeight="1" x14ac:dyDescent="0.3">
      <c r="A461" s="98">
        <f t="shared" si="7"/>
        <v>11</v>
      </c>
      <c r="B461" s="92" t="s">
        <v>1827</v>
      </c>
      <c r="C461" s="92" t="s">
        <v>1828</v>
      </c>
      <c r="D461" s="95">
        <v>102222.5</v>
      </c>
      <c r="E461" s="95">
        <v>102222.5</v>
      </c>
      <c r="F461" s="95">
        <v>0</v>
      </c>
      <c r="G461" s="95">
        <v>0</v>
      </c>
      <c r="H461" s="95">
        <v>0</v>
      </c>
    </row>
    <row r="462" spans="1:8" ht="19.8" customHeight="1" x14ac:dyDescent="0.3">
      <c r="A462" s="98">
        <f t="shared" si="7"/>
        <v>11</v>
      </c>
      <c r="B462" s="92" t="s">
        <v>1829</v>
      </c>
      <c r="C462" s="92" t="s">
        <v>1830</v>
      </c>
      <c r="D462" s="95">
        <v>191942.58</v>
      </c>
      <c r="E462" s="95">
        <v>191942.58</v>
      </c>
      <c r="F462" s="95">
        <v>0</v>
      </c>
      <c r="G462" s="95">
        <v>0</v>
      </c>
      <c r="H462" s="95">
        <v>0</v>
      </c>
    </row>
    <row r="463" spans="1:8" ht="19.8" customHeight="1" x14ac:dyDescent="0.3">
      <c r="A463" s="98">
        <f t="shared" si="7"/>
        <v>11</v>
      </c>
      <c r="B463" s="92" t="s">
        <v>1831</v>
      </c>
      <c r="C463" s="92" t="s">
        <v>1832</v>
      </c>
      <c r="D463" s="95">
        <v>8682.42</v>
      </c>
      <c r="E463" s="95">
        <v>8682.42</v>
      </c>
      <c r="F463" s="95">
        <v>0</v>
      </c>
      <c r="G463" s="95">
        <v>0</v>
      </c>
      <c r="H463" s="95">
        <v>0</v>
      </c>
    </row>
    <row r="464" spans="1:8" ht="19.8" customHeight="1" x14ac:dyDescent="0.3">
      <c r="A464" s="98">
        <f t="shared" si="7"/>
        <v>7</v>
      </c>
      <c r="B464" s="92" t="s">
        <v>1833</v>
      </c>
      <c r="C464" s="92" t="s">
        <v>1834</v>
      </c>
      <c r="D464" s="95">
        <v>1172183.8400000001</v>
      </c>
      <c r="E464" s="95">
        <v>1172183.8400000001</v>
      </c>
      <c r="F464" s="95">
        <v>0</v>
      </c>
      <c r="G464" s="95">
        <v>0</v>
      </c>
      <c r="H464" s="95">
        <v>0</v>
      </c>
    </row>
    <row r="465" spans="1:8" ht="19.8" customHeight="1" x14ac:dyDescent="0.3">
      <c r="A465" s="98">
        <f t="shared" si="7"/>
        <v>11</v>
      </c>
      <c r="B465" s="92" t="s">
        <v>1835</v>
      </c>
      <c r="C465" s="92" t="s">
        <v>1836</v>
      </c>
      <c r="D465" s="95">
        <v>349043.1</v>
      </c>
      <c r="E465" s="95">
        <v>349043.1</v>
      </c>
      <c r="F465" s="95">
        <v>0</v>
      </c>
      <c r="G465" s="95">
        <v>0</v>
      </c>
      <c r="H465" s="95">
        <v>0</v>
      </c>
    </row>
    <row r="466" spans="1:8" ht="19.8" customHeight="1" x14ac:dyDescent="0.3">
      <c r="A466" s="98">
        <f t="shared" si="7"/>
        <v>11</v>
      </c>
      <c r="B466" s="92" t="s">
        <v>1837</v>
      </c>
      <c r="C466" s="92" t="s">
        <v>1838</v>
      </c>
      <c r="D466" s="95">
        <v>302053.03000000003</v>
      </c>
      <c r="E466" s="95">
        <v>302053.03000000003</v>
      </c>
      <c r="F466" s="95">
        <v>0</v>
      </c>
      <c r="G466" s="95">
        <v>0</v>
      </c>
      <c r="H466" s="95">
        <v>0</v>
      </c>
    </row>
    <row r="467" spans="1:8" ht="19.8" customHeight="1" x14ac:dyDescent="0.3">
      <c r="A467" s="98">
        <f t="shared" si="7"/>
        <v>11</v>
      </c>
      <c r="B467" s="92" t="s">
        <v>1839</v>
      </c>
      <c r="C467" s="92" t="s">
        <v>1840</v>
      </c>
      <c r="D467" s="95">
        <v>198926.21</v>
      </c>
      <c r="E467" s="95">
        <v>198926.21</v>
      </c>
      <c r="F467" s="95">
        <v>0</v>
      </c>
      <c r="G467" s="95">
        <v>0</v>
      </c>
      <c r="H467" s="95">
        <v>0</v>
      </c>
    </row>
    <row r="468" spans="1:8" ht="19.8" customHeight="1" x14ac:dyDescent="0.3">
      <c r="A468" s="98">
        <f t="shared" si="7"/>
        <v>11</v>
      </c>
      <c r="B468" s="92" t="s">
        <v>1841</v>
      </c>
      <c r="C468" s="92" t="s">
        <v>1842</v>
      </c>
      <c r="D468" s="95">
        <v>135449.97</v>
      </c>
      <c r="E468" s="95">
        <v>135449.97</v>
      </c>
      <c r="F468" s="95">
        <v>0</v>
      </c>
      <c r="G468" s="95">
        <v>0</v>
      </c>
      <c r="H468" s="95">
        <v>0</v>
      </c>
    </row>
    <row r="469" spans="1:8" ht="19.8" customHeight="1" x14ac:dyDescent="0.3">
      <c r="A469" s="98">
        <f t="shared" si="7"/>
        <v>11</v>
      </c>
      <c r="B469" s="92" t="s">
        <v>1843</v>
      </c>
      <c r="C469" s="92" t="s">
        <v>1844</v>
      </c>
      <c r="D469" s="95">
        <v>186308.75</v>
      </c>
      <c r="E469" s="95">
        <v>186308.75</v>
      </c>
      <c r="F469" s="95">
        <v>0</v>
      </c>
      <c r="G469" s="95">
        <v>0</v>
      </c>
      <c r="H469" s="95">
        <v>0</v>
      </c>
    </row>
    <row r="470" spans="1:8" ht="19.8" customHeight="1" x14ac:dyDescent="0.3">
      <c r="A470" s="98">
        <f t="shared" si="7"/>
        <v>11</v>
      </c>
      <c r="B470" s="92" t="s">
        <v>1845</v>
      </c>
      <c r="C470" s="92" t="s">
        <v>1846</v>
      </c>
      <c r="D470" s="95">
        <v>402.78</v>
      </c>
      <c r="E470" s="95">
        <v>402.78</v>
      </c>
      <c r="F470" s="95">
        <v>0</v>
      </c>
      <c r="G470" s="95">
        <v>0</v>
      </c>
      <c r="H470" s="95">
        <v>0</v>
      </c>
    </row>
    <row r="471" spans="1:8" ht="19.8" customHeight="1" x14ac:dyDescent="0.3">
      <c r="A471" s="98">
        <f t="shared" si="7"/>
        <v>7</v>
      </c>
      <c r="B471" s="92" t="s">
        <v>1847</v>
      </c>
      <c r="C471" s="92" t="s">
        <v>1848</v>
      </c>
      <c r="D471" s="95">
        <v>2618668.8199999998</v>
      </c>
      <c r="E471" s="95">
        <v>2618668.8199999998</v>
      </c>
      <c r="F471" s="95">
        <v>0</v>
      </c>
      <c r="G471" s="95">
        <v>0</v>
      </c>
      <c r="H471" s="95">
        <v>0</v>
      </c>
    </row>
    <row r="472" spans="1:8" ht="19.8" customHeight="1" x14ac:dyDescent="0.3">
      <c r="A472" s="98">
        <f t="shared" si="7"/>
        <v>11</v>
      </c>
      <c r="B472" s="92" t="s">
        <v>1849</v>
      </c>
      <c r="C472" s="92" t="s">
        <v>1850</v>
      </c>
      <c r="D472" s="95">
        <v>622247.93999999994</v>
      </c>
      <c r="E472" s="95">
        <v>622247.93999999994</v>
      </c>
      <c r="F472" s="95">
        <v>0</v>
      </c>
      <c r="G472" s="95">
        <v>0</v>
      </c>
      <c r="H472" s="95">
        <v>0</v>
      </c>
    </row>
    <row r="473" spans="1:8" ht="19.8" customHeight="1" x14ac:dyDescent="0.3">
      <c r="A473" s="98">
        <f t="shared" si="7"/>
        <v>11</v>
      </c>
      <c r="B473" s="92" t="s">
        <v>1851</v>
      </c>
      <c r="C473" s="92" t="s">
        <v>1852</v>
      </c>
      <c r="D473" s="95">
        <v>643963.61</v>
      </c>
      <c r="E473" s="95">
        <v>643963.61</v>
      </c>
      <c r="F473" s="95">
        <v>0</v>
      </c>
      <c r="G473" s="95">
        <v>0</v>
      </c>
      <c r="H473" s="95">
        <v>0</v>
      </c>
    </row>
    <row r="474" spans="1:8" ht="19.8" customHeight="1" x14ac:dyDescent="0.3">
      <c r="A474" s="98">
        <f t="shared" si="7"/>
        <v>11</v>
      </c>
      <c r="B474" s="92" t="s">
        <v>1853</v>
      </c>
      <c r="C474" s="92" t="s">
        <v>1854</v>
      </c>
      <c r="D474" s="95">
        <v>854965.96</v>
      </c>
      <c r="E474" s="95">
        <v>854965.96</v>
      </c>
      <c r="F474" s="95">
        <v>0</v>
      </c>
      <c r="G474" s="95">
        <v>0</v>
      </c>
      <c r="H474" s="95">
        <v>0</v>
      </c>
    </row>
    <row r="475" spans="1:8" ht="19.8" customHeight="1" x14ac:dyDescent="0.3">
      <c r="A475" s="98">
        <f t="shared" si="7"/>
        <v>11</v>
      </c>
      <c r="B475" s="92" t="s">
        <v>1855</v>
      </c>
      <c r="C475" s="92" t="s">
        <v>1856</v>
      </c>
      <c r="D475" s="95">
        <v>269250.90000000002</v>
      </c>
      <c r="E475" s="95">
        <v>269250.90000000002</v>
      </c>
      <c r="F475" s="95">
        <v>0</v>
      </c>
      <c r="G475" s="95">
        <v>0</v>
      </c>
      <c r="H475" s="95">
        <v>0</v>
      </c>
    </row>
    <row r="476" spans="1:8" ht="19.8" customHeight="1" x14ac:dyDescent="0.3">
      <c r="A476" s="98">
        <f t="shared" si="7"/>
        <v>11</v>
      </c>
      <c r="B476" s="92" t="s">
        <v>1857</v>
      </c>
      <c r="C476" s="92" t="s">
        <v>1858</v>
      </c>
      <c r="D476" s="95">
        <v>199535.77</v>
      </c>
      <c r="E476" s="95">
        <v>199535.77</v>
      </c>
      <c r="F476" s="95">
        <v>0</v>
      </c>
      <c r="G476" s="95">
        <v>0</v>
      </c>
      <c r="H476" s="95">
        <v>0</v>
      </c>
    </row>
    <row r="477" spans="1:8" ht="19.8" customHeight="1" x14ac:dyDescent="0.3">
      <c r="A477" s="98">
        <f t="shared" si="7"/>
        <v>11</v>
      </c>
      <c r="B477" s="92" t="s">
        <v>1859</v>
      </c>
      <c r="C477" s="92" t="s">
        <v>1860</v>
      </c>
      <c r="D477" s="95">
        <v>28704.639999999999</v>
      </c>
      <c r="E477" s="95">
        <v>28704.639999999999</v>
      </c>
      <c r="F477" s="95">
        <v>0</v>
      </c>
      <c r="G477" s="95">
        <v>0</v>
      </c>
      <c r="H477" s="95">
        <v>0</v>
      </c>
    </row>
    <row r="478" spans="1:8" ht="19.8" customHeight="1" x14ac:dyDescent="0.3">
      <c r="A478" s="98">
        <f t="shared" si="7"/>
        <v>7</v>
      </c>
      <c r="B478" s="92" t="s">
        <v>1861</v>
      </c>
      <c r="C478" s="92" t="s">
        <v>1862</v>
      </c>
      <c r="D478" s="95">
        <v>1195998.07</v>
      </c>
      <c r="E478" s="95">
        <v>1195998.07</v>
      </c>
      <c r="F478" s="95">
        <v>0</v>
      </c>
      <c r="G478" s="95">
        <v>0</v>
      </c>
      <c r="H478" s="95">
        <v>0</v>
      </c>
    </row>
    <row r="479" spans="1:8" ht="19.8" customHeight="1" x14ac:dyDescent="0.3">
      <c r="A479" s="98">
        <f t="shared" si="7"/>
        <v>11</v>
      </c>
      <c r="B479" s="92" t="s">
        <v>1863</v>
      </c>
      <c r="C479" s="92" t="s">
        <v>1864</v>
      </c>
      <c r="D479" s="95">
        <v>350095.14</v>
      </c>
      <c r="E479" s="95">
        <v>350095.14</v>
      </c>
      <c r="F479" s="95">
        <v>0</v>
      </c>
      <c r="G479" s="95">
        <v>0</v>
      </c>
      <c r="H479" s="95">
        <v>0</v>
      </c>
    </row>
    <row r="480" spans="1:8" ht="19.8" customHeight="1" x14ac:dyDescent="0.3">
      <c r="A480" s="98">
        <f t="shared" si="7"/>
        <v>11</v>
      </c>
      <c r="B480" s="92" t="s">
        <v>1865</v>
      </c>
      <c r="C480" s="92" t="s">
        <v>1866</v>
      </c>
      <c r="D480" s="95">
        <v>325246.75</v>
      </c>
      <c r="E480" s="95">
        <v>325246.75</v>
      </c>
      <c r="F480" s="95">
        <v>0</v>
      </c>
      <c r="G480" s="95">
        <v>0</v>
      </c>
      <c r="H480" s="95">
        <v>0</v>
      </c>
    </row>
    <row r="481" spans="1:8" ht="19.8" customHeight="1" x14ac:dyDescent="0.3">
      <c r="A481" s="98">
        <f t="shared" si="7"/>
        <v>11</v>
      </c>
      <c r="B481" s="92" t="s">
        <v>1867</v>
      </c>
      <c r="C481" s="92" t="s">
        <v>1868</v>
      </c>
      <c r="D481" s="95">
        <v>249674.62</v>
      </c>
      <c r="E481" s="95">
        <v>249674.62</v>
      </c>
      <c r="F481" s="95">
        <v>0</v>
      </c>
      <c r="G481" s="95">
        <v>0</v>
      </c>
      <c r="H481" s="95">
        <v>0</v>
      </c>
    </row>
    <row r="482" spans="1:8" ht="19.8" customHeight="1" x14ac:dyDescent="0.3">
      <c r="A482" s="98">
        <f t="shared" si="7"/>
        <v>11</v>
      </c>
      <c r="B482" s="92" t="s">
        <v>1869</v>
      </c>
      <c r="C482" s="92" t="s">
        <v>1870</v>
      </c>
      <c r="D482" s="95">
        <v>132638.44</v>
      </c>
      <c r="E482" s="95">
        <v>132638.44</v>
      </c>
      <c r="F482" s="95">
        <v>0</v>
      </c>
      <c r="G482" s="95">
        <v>0</v>
      </c>
      <c r="H482" s="95">
        <v>0</v>
      </c>
    </row>
    <row r="483" spans="1:8" ht="19.8" customHeight="1" x14ac:dyDescent="0.3">
      <c r="A483" s="98">
        <f t="shared" si="7"/>
        <v>11</v>
      </c>
      <c r="B483" s="92" t="s">
        <v>1871</v>
      </c>
      <c r="C483" s="92" t="s">
        <v>1872</v>
      </c>
      <c r="D483" s="95">
        <v>138343.12</v>
      </c>
      <c r="E483" s="95">
        <v>138343.12</v>
      </c>
      <c r="F483" s="95">
        <v>0</v>
      </c>
      <c r="G483" s="95">
        <v>0</v>
      </c>
      <c r="H483" s="95">
        <v>0</v>
      </c>
    </row>
    <row r="484" spans="1:8" ht="19.8" customHeight="1" x14ac:dyDescent="0.3">
      <c r="A484" s="98">
        <f t="shared" si="7"/>
        <v>7</v>
      </c>
      <c r="B484" s="92" t="s">
        <v>1873</v>
      </c>
      <c r="C484" s="92" t="s">
        <v>1874</v>
      </c>
      <c r="D484" s="95">
        <v>2337563.79</v>
      </c>
      <c r="E484" s="95">
        <v>2337563.79</v>
      </c>
      <c r="F484" s="95">
        <v>0</v>
      </c>
      <c r="G484" s="95">
        <v>0</v>
      </c>
      <c r="H484" s="95">
        <v>0</v>
      </c>
    </row>
    <row r="485" spans="1:8" ht="19.8" customHeight="1" x14ac:dyDescent="0.3">
      <c r="A485" s="98">
        <f t="shared" si="7"/>
        <v>11</v>
      </c>
      <c r="B485" s="92" t="s">
        <v>1875</v>
      </c>
      <c r="C485" s="92" t="s">
        <v>1876</v>
      </c>
      <c r="D485" s="95">
        <v>779630.05</v>
      </c>
      <c r="E485" s="95">
        <v>779630.05</v>
      </c>
      <c r="F485" s="95">
        <v>0</v>
      </c>
      <c r="G485" s="95">
        <v>0</v>
      </c>
      <c r="H485" s="95">
        <v>0</v>
      </c>
    </row>
    <row r="486" spans="1:8" ht="19.8" customHeight="1" x14ac:dyDescent="0.3">
      <c r="A486" s="98">
        <f t="shared" si="7"/>
        <v>11</v>
      </c>
      <c r="B486" s="92" t="s">
        <v>1877</v>
      </c>
      <c r="C486" s="92" t="s">
        <v>1878</v>
      </c>
      <c r="D486" s="95">
        <v>549473.56999999995</v>
      </c>
      <c r="E486" s="95">
        <v>549473.56999999995</v>
      </c>
      <c r="F486" s="95">
        <v>0</v>
      </c>
      <c r="G486" s="95">
        <v>0</v>
      </c>
      <c r="H486" s="95">
        <v>0</v>
      </c>
    </row>
    <row r="487" spans="1:8" ht="19.8" customHeight="1" x14ac:dyDescent="0.3">
      <c r="A487" s="98">
        <f t="shared" si="7"/>
        <v>11</v>
      </c>
      <c r="B487" s="92" t="s">
        <v>1879</v>
      </c>
      <c r="C487" s="92" t="s">
        <v>1880</v>
      </c>
      <c r="D487" s="95">
        <v>549267.03</v>
      </c>
      <c r="E487" s="95">
        <v>549267.03</v>
      </c>
      <c r="F487" s="95">
        <v>0</v>
      </c>
      <c r="G487" s="95">
        <v>0</v>
      </c>
      <c r="H487" s="95">
        <v>0</v>
      </c>
    </row>
    <row r="488" spans="1:8" ht="19.8" customHeight="1" x14ac:dyDescent="0.3">
      <c r="A488" s="98">
        <f t="shared" si="7"/>
        <v>11</v>
      </c>
      <c r="B488" s="92" t="s">
        <v>1881</v>
      </c>
      <c r="C488" s="92" t="s">
        <v>1882</v>
      </c>
      <c r="D488" s="95">
        <v>180941.47</v>
      </c>
      <c r="E488" s="95">
        <v>180941.47</v>
      </c>
      <c r="F488" s="95">
        <v>0</v>
      </c>
      <c r="G488" s="95">
        <v>0</v>
      </c>
      <c r="H488" s="95">
        <v>0</v>
      </c>
    </row>
    <row r="489" spans="1:8" ht="19.8" customHeight="1" x14ac:dyDescent="0.3">
      <c r="A489" s="98">
        <f t="shared" si="7"/>
        <v>11</v>
      </c>
      <c r="B489" s="92" t="s">
        <v>1883</v>
      </c>
      <c r="C489" s="92" t="s">
        <v>1884</v>
      </c>
      <c r="D489" s="95">
        <v>272889.69</v>
      </c>
      <c r="E489" s="95">
        <v>272889.69</v>
      </c>
      <c r="F489" s="95">
        <v>0</v>
      </c>
      <c r="G489" s="95">
        <v>0</v>
      </c>
      <c r="H489" s="95">
        <v>0</v>
      </c>
    </row>
    <row r="490" spans="1:8" ht="19.8" customHeight="1" x14ac:dyDescent="0.3">
      <c r="A490" s="98">
        <f t="shared" si="7"/>
        <v>11</v>
      </c>
      <c r="B490" s="92" t="s">
        <v>1885</v>
      </c>
      <c r="C490" s="92" t="s">
        <v>1886</v>
      </c>
      <c r="D490" s="95">
        <v>5361.98</v>
      </c>
      <c r="E490" s="95">
        <v>5361.98</v>
      </c>
      <c r="F490" s="95">
        <v>0</v>
      </c>
      <c r="G490" s="95">
        <v>0</v>
      </c>
      <c r="H490" s="95">
        <v>0</v>
      </c>
    </row>
    <row r="491" spans="1:8" ht="19.8" customHeight="1" x14ac:dyDescent="0.3">
      <c r="A491" s="98">
        <f t="shared" si="7"/>
        <v>7</v>
      </c>
      <c r="B491" s="92" t="s">
        <v>1887</v>
      </c>
      <c r="C491" s="92" t="s">
        <v>1888</v>
      </c>
      <c r="D491" s="95">
        <v>3759962.08</v>
      </c>
      <c r="E491" s="95">
        <v>3759962.08</v>
      </c>
      <c r="F491" s="95">
        <v>0</v>
      </c>
      <c r="G491" s="95">
        <v>0</v>
      </c>
      <c r="H491" s="95">
        <v>0</v>
      </c>
    </row>
    <row r="492" spans="1:8" ht="19.8" customHeight="1" x14ac:dyDescent="0.3">
      <c r="A492" s="98">
        <f t="shared" si="7"/>
        <v>11</v>
      </c>
      <c r="B492" s="92" t="s">
        <v>1889</v>
      </c>
      <c r="C492" s="92" t="s">
        <v>1890</v>
      </c>
      <c r="D492" s="95">
        <v>930681.37</v>
      </c>
      <c r="E492" s="95">
        <v>930681.37</v>
      </c>
      <c r="F492" s="95">
        <v>0</v>
      </c>
      <c r="G492" s="95">
        <v>0</v>
      </c>
      <c r="H492" s="95">
        <v>0</v>
      </c>
    </row>
    <row r="493" spans="1:8" ht="19.8" customHeight="1" x14ac:dyDescent="0.3">
      <c r="A493" s="98">
        <f t="shared" si="7"/>
        <v>11</v>
      </c>
      <c r="B493" s="92" t="s">
        <v>1891</v>
      </c>
      <c r="C493" s="92" t="s">
        <v>1892</v>
      </c>
      <c r="D493" s="95">
        <v>943719.33</v>
      </c>
      <c r="E493" s="95">
        <v>943719.33</v>
      </c>
      <c r="F493" s="95">
        <v>0</v>
      </c>
      <c r="G493" s="95">
        <v>0</v>
      </c>
      <c r="H493" s="95">
        <v>0</v>
      </c>
    </row>
    <row r="494" spans="1:8" ht="19.8" customHeight="1" x14ac:dyDescent="0.3">
      <c r="A494" s="98">
        <f t="shared" si="7"/>
        <v>11</v>
      </c>
      <c r="B494" s="92" t="s">
        <v>1893</v>
      </c>
      <c r="C494" s="92" t="s">
        <v>1894</v>
      </c>
      <c r="D494" s="95">
        <v>972864.78</v>
      </c>
      <c r="E494" s="95">
        <v>972864.78</v>
      </c>
      <c r="F494" s="95">
        <v>0</v>
      </c>
      <c r="G494" s="95">
        <v>0</v>
      </c>
      <c r="H494" s="95">
        <v>0</v>
      </c>
    </row>
    <row r="495" spans="1:8" ht="19.8" customHeight="1" x14ac:dyDescent="0.3">
      <c r="A495" s="98">
        <f t="shared" si="7"/>
        <v>11</v>
      </c>
      <c r="B495" s="92" t="s">
        <v>1895</v>
      </c>
      <c r="C495" s="92" t="s">
        <v>1896</v>
      </c>
      <c r="D495" s="95">
        <v>457570.84</v>
      </c>
      <c r="E495" s="95">
        <v>457570.84</v>
      </c>
      <c r="F495" s="95">
        <v>0</v>
      </c>
      <c r="G495" s="95">
        <v>0</v>
      </c>
      <c r="H495" s="95">
        <v>0</v>
      </c>
    </row>
    <row r="496" spans="1:8" ht="19.8" customHeight="1" x14ac:dyDescent="0.3">
      <c r="A496" s="98">
        <f t="shared" si="7"/>
        <v>11</v>
      </c>
      <c r="B496" s="92" t="s">
        <v>1897</v>
      </c>
      <c r="C496" s="92" t="s">
        <v>1898</v>
      </c>
      <c r="D496" s="95">
        <v>435866.16</v>
      </c>
      <c r="E496" s="95">
        <v>435866.16</v>
      </c>
      <c r="F496" s="95">
        <v>0</v>
      </c>
      <c r="G496" s="95">
        <v>0</v>
      </c>
      <c r="H496" s="95">
        <v>0</v>
      </c>
    </row>
    <row r="497" spans="1:8" ht="19.8" customHeight="1" x14ac:dyDescent="0.3">
      <c r="A497" s="98">
        <f t="shared" si="7"/>
        <v>11</v>
      </c>
      <c r="B497" s="92" t="s">
        <v>1899</v>
      </c>
      <c r="C497" s="92" t="s">
        <v>1900</v>
      </c>
      <c r="D497" s="95">
        <v>19259.599999999999</v>
      </c>
      <c r="E497" s="95">
        <v>19259.599999999999</v>
      </c>
      <c r="F497" s="95">
        <v>0</v>
      </c>
      <c r="G497" s="95">
        <v>0</v>
      </c>
      <c r="H497" s="95">
        <v>0</v>
      </c>
    </row>
    <row r="498" spans="1:8" ht="19.8" customHeight="1" x14ac:dyDescent="0.3">
      <c r="A498" s="98">
        <f t="shared" si="7"/>
        <v>7</v>
      </c>
      <c r="B498" s="92" t="s">
        <v>1901</v>
      </c>
      <c r="C498" s="92" t="s">
        <v>1902</v>
      </c>
      <c r="D498" s="95">
        <v>1432354.99</v>
      </c>
      <c r="E498" s="95">
        <v>1432354.99</v>
      </c>
      <c r="F498" s="95">
        <v>0</v>
      </c>
      <c r="G498" s="95">
        <v>0</v>
      </c>
      <c r="H498" s="95">
        <v>0</v>
      </c>
    </row>
    <row r="499" spans="1:8" ht="19.8" customHeight="1" x14ac:dyDescent="0.3">
      <c r="A499" s="98">
        <f t="shared" si="7"/>
        <v>11</v>
      </c>
      <c r="B499" s="92" t="s">
        <v>1903</v>
      </c>
      <c r="C499" s="92" t="s">
        <v>1904</v>
      </c>
      <c r="D499" s="95">
        <v>508874.21</v>
      </c>
      <c r="E499" s="95">
        <v>508874.21</v>
      </c>
      <c r="F499" s="95">
        <v>0</v>
      </c>
      <c r="G499" s="95">
        <v>0</v>
      </c>
      <c r="H499" s="95">
        <v>0</v>
      </c>
    </row>
    <row r="500" spans="1:8" ht="19.8" customHeight="1" x14ac:dyDescent="0.3">
      <c r="A500" s="98">
        <f t="shared" si="7"/>
        <v>11</v>
      </c>
      <c r="B500" s="92" t="s">
        <v>1905</v>
      </c>
      <c r="C500" s="92" t="s">
        <v>1906</v>
      </c>
      <c r="D500" s="95">
        <v>297775.59000000003</v>
      </c>
      <c r="E500" s="95">
        <v>297775.59000000003</v>
      </c>
      <c r="F500" s="95">
        <v>0</v>
      </c>
      <c r="G500" s="95">
        <v>0</v>
      </c>
      <c r="H500" s="95">
        <v>0</v>
      </c>
    </row>
    <row r="501" spans="1:8" ht="19.8" customHeight="1" x14ac:dyDescent="0.3">
      <c r="A501" s="98">
        <f t="shared" si="7"/>
        <v>11</v>
      </c>
      <c r="B501" s="92" t="s">
        <v>1907</v>
      </c>
      <c r="C501" s="92" t="s">
        <v>1908</v>
      </c>
      <c r="D501" s="95">
        <v>283001.71000000002</v>
      </c>
      <c r="E501" s="95">
        <v>283001.71000000002</v>
      </c>
      <c r="F501" s="95">
        <v>0</v>
      </c>
      <c r="G501" s="95">
        <v>0</v>
      </c>
      <c r="H501" s="95">
        <v>0</v>
      </c>
    </row>
    <row r="502" spans="1:8" ht="19.8" customHeight="1" x14ac:dyDescent="0.3">
      <c r="A502" s="98">
        <f t="shared" si="7"/>
        <v>11</v>
      </c>
      <c r="B502" s="92" t="s">
        <v>1909</v>
      </c>
      <c r="C502" s="92" t="s">
        <v>1910</v>
      </c>
      <c r="D502" s="95">
        <v>161841.21</v>
      </c>
      <c r="E502" s="95">
        <v>161841.21</v>
      </c>
      <c r="F502" s="95">
        <v>0</v>
      </c>
      <c r="G502" s="95">
        <v>0</v>
      </c>
      <c r="H502" s="95">
        <v>0</v>
      </c>
    </row>
    <row r="503" spans="1:8" ht="19.8" customHeight="1" x14ac:dyDescent="0.3">
      <c r="A503" s="98">
        <f t="shared" si="7"/>
        <v>11</v>
      </c>
      <c r="B503" s="92" t="s">
        <v>1911</v>
      </c>
      <c r="C503" s="92" t="s">
        <v>1912</v>
      </c>
      <c r="D503" s="95">
        <v>151590.96</v>
      </c>
      <c r="E503" s="95">
        <v>151590.96</v>
      </c>
      <c r="F503" s="95">
        <v>0</v>
      </c>
      <c r="G503" s="95">
        <v>0</v>
      </c>
      <c r="H503" s="95">
        <v>0</v>
      </c>
    </row>
    <row r="504" spans="1:8" ht="19.8" customHeight="1" x14ac:dyDescent="0.3">
      <c r="A504" s="98">
        <f t="shared" si="7"/>
        <v>11</v>
      </c>
      <c r="B504" s="92" t="s">
        <v>1913</v>
      </c>
      <c r="C504" s="92" t="s">
        <v>1914</v>
      </c>
      <c r="D504" s="95">
        <v>6067.59</v>
      </c>
      <c r="E504" s="95">
        <v>6067.59</v>
      </c>
      <c r="F504" s="95">
        <v>0</v>
      </c>
      <c r="G504" s="95">
        <v>0</v>
      </c>
      <c r="H504" s="95">
        <v>0</v>
      </c>
    </row>
    <row r="505" spans="1:8" ht="19.8" customHeight="1" x14ac:dyDescent="0.3">
      <c r="A505" s="98">
        <f t="shared" si="7"/>
        <v>11</v>
      </c>
      <c r="B505" s="92" t="s">
        <v>1915</v>
      </c>
      <c r="C505" s="92" t="s">
        <v>1916</v>
      </c>
      <c r="D505" s="95">
        <v>23203.72</v>
      </c>
      <c r="E505" s="95">
        <v>23203.72</v>
      </c>
      <c r="F505" s="95">
        <v>0</v>
      </c>
      <c r="G505" s="95">
        <v>0</v>
      </c>
      <c r="H505" s="95">
        <v>0</v>
      </c>
    </row>
    <row r="506" spans="1:8" ht="19.8" customHeight="1" x14ac:dyDescent="0.3">
      <c r="A506" s="98">
        <f t="shared" si="7"/>
        <v>7</v>
      </c>
      <c r="B506" s="92" t="s">
        <v>1917</v>
      </c>
      <c r="C506" s="92" t="s">
        <v>1918</v>
      </c>
      <c r="D506" s="95">
        <v>308242.87</v>
      </c>
      <c r="E506" s="95">
        <v>308242.87</v>
      </c>
      <c r="F506" s="95">
        <v>0</v>
      </c>
      <c r="G506" s="95">
        <v>0</v>
      </c>
      <c r="H506" s="95">
        <v>0</v>
      </c>
    </row>
    <row r="507" spans="1:8" ht="19.8" customHeight="1" x14ac:dyDescent="0.3">
      <c r="A507" s="98">
        <f t="shared" si="7"/>
        <v>11</v>
      </c>
      <c r="B507" s="92" t="s">
        <v>1919</v>
      </c>
      <c r="C507" s="92" t="s">
        <v>1920</v>
      </c>
      <c r="D507" s="95">
        <v>86092.61</v>
      </c>
      <c r="E507" s="95">
        <v>86092.61</v>
      </c>
      <c r="F507" s="95">
        <v>0</v>
      </c>
      <c r="G507" s="95">
        <v>0</v>
      </c>
      <c r="H507" s="95">
        <v>0</v>
      </c>
    </row>
    <row r="508" spans="1:8" ht="19.8" customHeight="1" x14ac:dyDescent="0.3">
      <c r="A508" s="98">
        <f t="shared" si="7"/>
        <v>11</v>
      </c>
      <c r="B508" s="92" t="s">
        <v>1921</v>
      </c>
      <c r="C508" s="92" t="s">
        <v>1922</v>
      </c>
      <c r="D508" s="95">
        <v>50158.53</v>
      </c>
      <c r="E508" s="95">
        <v>50158.53</v>
      </c>
      <c r="F508" s="95">
        <v>0</v>
      </c>
      <c r="G508" s="95">
        <v>0</v>
      </c>
      <c r="H508" s="95">
        <v>0</v>
      </c>
    </row>
    <row r="509" spans="1:8" ht="19.8" customHeight="1" x14ac:dyDescent="0.3">
      <c r="A509" s="98">
        <f t="shared" si="7"/>
        <v>11</v>
      </c>
      <c r="B509" s="92" t="s">
        <v>1923</v>
      </c>
      <c r="C509" s="92" t="s">
        <v>1924</v>
      </c>
      <c r="D509" s="95">
        <v>90943.23</v>
      </c>
      <c r="E509" s="95">
        <v>90943.23</v>
      </c>
      <c r="F509" s="95">
        <v>0</v>
      </c>
      <c r="G509" s="95">
        <v>0</v>
      </c>
      <c r="H509" s="95">
        <v>0</v>
      </c>
    </row>
    <row r="510" spans="1:8" ht="19.8" customHeight="1" x14ac:dyDescent="0.3">
      <c r="A510" s="98">
        <f t="shared" si="7"/>
        <v>11</v>
      </c>
      <c r="B510" s="92" t="s">
        <v>1925</v>
      </c>
      <c r="C510" s="92" t="s">
        <v>1926</v>
      </c>
      <c r="D510" s="95">
        <v>42398.5</v>
      </c>
      <c r="E510" s="95">
        <v>42398.5</v>
      </c>
      <c r="F510" s="95">
        <v>0</v>
      </c>
      <c r="G510" s="95">
        <v>0</v>
      </c>
      <c r="H510" s="95">
        <v>0</v>
      </c>
    </row>
    <row r="511" spans="1:8" ht="19.8" customHeight="1" x14ac:dyDescent="0.3">
      <c r="A511" s="98">
        <f t="shared" si="7"/>
        <v>11</v>
      </c>
      <c r="B511" s="92" t="s">
        <v>1927</v>
      </c>
      <c r="C511" s="92" t="s">
        <v>1928</v>
      </c>
      <c r="D511" s="95">
        <v>38650</v>
      </c>
      <c r="E511" s="95">
        <v>38650</v>
      </c>
      <c r="F511" s="95">
        <v>0</v>
      </c>
      <c r="G511" s="95">
        <v>0</v>
      </c>
      <c r="H511" s="95">
        <v>0</v>
      </c>
    </row>
    <row r="512" spans="1:8" ht="19.8" customHeight="1" x14ac:dyDescent="0.3">
      <c r="A512" s="98">
        <f t="shared" si="7"/>
        <v>7</v>
      </c>
      <c r="B512" s="92" t="s">
        <v>1929</v>
      </c>
      <c r="C512" s="92" t="s">
        <v>1930</v>
      </c>
      <c r="D512" s="95">
        <v>2884920.56</v>
      </c>
      <c r="E512" s="95">
        <v>2884920.56</v>
      </c>
      <c r="F512" s="95">
        <v>0</v>
      </c>
      <c r="G512" s="95">
        <v>0</v>
      </c>
      <c r="H512" s="95">
        <v>0</v>
      </c>
    </row>
    <row r="513" spans="1:8" ht="19.8" customHeight="1" x14ac:dyDescent="0.3">
      <c r="A513" s="98">
        <f t="shared" si="7"/>
        <v>11</v>
      </c>
      <c r="B513" s="92" t="s">
        <v>1931</v>
      </c>
      <c r="C513" s="92" t="s">
        <v>1932</v>
      </c>
      <c r="D513" s="95">
        <v>767951.57</v>
      </c>
      <c r="E513" s="95">
        <v>767951.57</v>
      </c>
      <c r="F513" s="95">
        <v>0</v>
      </c>
      <c r="G513" s="95">
        <v>0</v>
      </c>
      <c r="H513" s="95">
        <v>0</v>
      </c>
    </row>
    <row r="514" spans="1:8" ht="19.8" customHeight="1" x14ac:dyDescent="0.3">
      <c r="A514" s="98">
        <f t="shared" si="7"/>
        <v>11</v>
      </c>
      <c r="B514" s="92" t="s">
        <v>1933</v>
      </c>
      <c r="C514" s="92" t="s">
        <v>1934</v>
      </c>
      <c r="D514" s="95">
        <v>668739.83999999997</v>
      </c>
      <c r="E514" s="95">
        <v>668739.83999999997</v>
      </c>
      <c r="F514" s="95">
        <v>0</v>
      </c>
      <c r="G514" s="95">
        <v>0</v>
      </c>
      <c r="H514" s="95">
        <v>0</v>
      </c>
    </row>
    <row r="515" spans="1:8" ht="19.8" customHeight="1" x14ac:dyDescent="0.3">
      <c r="A515" s="98">
        <f t="shared" ref="A515:A578" si="8">+LEN(B515)</f>
        <v>11</v>
      </c>
      <c r="B515" s="92" t="s">
        <v>1935</v>
      </c>
      <c r="C515" s="92" t="s">
        <v>1936</v>
      </c>
      <c r="D515" s="95">
        <v>794926.95</v>
      </c>
      <c r="E515" s="95">
        <v>794926.95</v>
      </c>
      <c r="F515" s="95">
        <v>0</v>
      </c>
      <c r="G515" s="95">
        <v>0</v>
      </c>
      <c r="H515" s="95">
        <v>0</v>
      </c>
    </row>
    <row r="516" spans="1:8" ht="19.8" customHeight="1" x14ac:dyDescent="0.3">
      <c r="A516" s="98">
        <f t="shared" si="8"/>
        <v>11</v>
      </c>
      <c r="B516" s="92" t="s">
        <v>1937</v>
      </c>
      <c r="C516" s="92" t="s">
        <v>1938</v>
      </c>
      <c r="D516" s="95">
        <v>307377.8</v>
      </c>
      <c r="E516" s="95">
        <v>307377.8</v>
      </c>
      <c r="F516" s="95">
        <v>0</v>
      </c>
      <c r="G516" s="95">
        <v>0</v>
      </c>
      <c r="H516" s="95">
        <v>0</v>
      </c>
    </row>
    <row r="517" spans="1:8" ht="19.8" customHeight="1" x14ac:dyDescent="0.3">
      <c r="A517" s="98">
        <f t="shared" si="8"/>
        <v>11</v>
      </c>
      <c r="B517" s="92" t="s">
        <v>1939</v>
      </c>
      <c r="C517" s="92" t="s">
        <v>1940</v>
      </c>
      <c r="D517" s="95">
        <v>333317.86</v>
      </c>
      <c r="E517" s="95">
        <v>333317.86</v>
      </c>
      <c r="F517" s="95">
        <v>0</v>
      </c>
      <c r="G517" s="95">
        <v>0</v>
      </c>
      <c r="H517" s="95">
        <v>0</v>
      </c>
    </row>
    <row r="518" spans="1:8" ht="19.8" customHeight="1" x14ac:dyDescent="0.3">
      <c r="A518" s="98">
        <f t="shared" si="8"/>
        <v>11</v>
      </c>
      <c r="B518" s="92" t="s">
        <v>1941</v>
      </c>
      <c r="C518" s="92" t="s">
        <v>1942</v>
      </c>
      <c r="D518" s="95">
        <v>12606.54</v>
      </c>
      <c r="E518" s="95">
        <v>12606.54</v>
      </c>
      <c r="F518" s="95">
        <v>0</v>
      </c>
      <c r="G518" s="95">
        <v>0</v>
      </c>
      <c r="H518" s="95">
        <v>0</v>
      </c>
    </row>
    <row r="519" spans="1:8" ht="19.8" customHeight="1" x14ac:dyDescent="0.3">
      <c r="A519" s="98">
        <f t="shared" si="8"/>
        <v>7</v>
      </c>
      <c r="B519" s="92" t="s">
        <v>1943</v>
      </c>
      <c r="C519" s="92" t="s">
        <v>1944</v>
      </c>
      <c r="D519" s="95">
        <v>3794872.29</v>
      </c>
      <c r="E519" s="95">
        <v>3794872.29</v>
      </c>
      <c r="F519" s="95">
        <v>0</v>
      </c>
      <c r="G519" s="95">
        <v>0</v>
      </c>
      <c r="H519" s="95">
        <v>0</v>
      </c>
    </row>
    <row r="520" spans="1:8" ht="19.8" customHeight="1" x14ac:dyDescent="0.3">
      <c r="A520" s="98">
        <f t="shared" si="8"/>
        <v>11</v>
      </c>
      <c r="B520" s="92" t="s">
        <v>1945</v>
      </c>
      <c r="C520" s="92" t="s">
        <v>1946</v>
      </c>
      <c r="D520" s="95">
        <v>891561.39</v>
      </c>
      <c r="E520" s="95">
        <v>891561.39</v>
      </c>
      <c r="F520" s="95">
        <v>0</v>
      </c>
      <c r="G520" s="95">
        <v>0</v>
      </c>
      <c r="H520" s="95">
        <v>0</v>
      </c>
    </row>
    <row r="521" spans="1:8" ht="19.8" customHeight="1" x14ac:dyDescent="0.3">
      <c r="A521" s="98">
        <f t="shared" si="8"/>
        <v>11</v>
      </c>
      <c r="B521" s="92" t="s">
        <v>1947</v>
      </c>
      <c r="C521" s="92" t="s">
        <v>1948</v>
      </c>
      <c r="D521" s="95">
        <v>1238114.1000000001</v>
      </c>
      <c r="E521" s="95">
        <v>1238114.1000000001</v>
      </c>
      <c r="F521" s="95">
        <v>0</v>
      </c>
      <c r="G521" s="95">
        <v>0</v>
      </c>
      <c r="H521" s="95">
        <v>0</v>
      </c>
    </row>
    <row r="522" spans="1:8" ht="19.8" customHeight="1" x14ac:dyDescent="0.3">
      <c r="A522" s="98">
        <f t="shared" si="8"/>
        <v>11</v>
      </c>
      <c r="B522" s="92" t="s">
        <v>1949</v>
      </c>
      <c r="C522" s="92" t="s">
        <v>1950</v>
      </c>
      <c r="D522" s="95">
        <v>893752.3</v>
      </c>
      <c r="E522" s="95">
        <v>893752.3</v>
      </c>
      <c r="F522" s="95">
        <v>0</v>
      </c>
      <c r="G522" s="95">
        <v>0</v>
      </c>
      <c r="H522" s="95">
        <v>0</v>
      </c>
    </row>
    <row r="523" spans="1:8" ht="19.8" customHeight="1" x14ac:dyDescent="0.3">
      <c r="A523" s="98">
        <f t="shared" si="8"/>
        <v>11</v>
      </c>
      <c r="B523" s="92" t="s">
        <v>1951</v>
      </c>
      <c r="C523" s="92" t="s">
        <v>1952</v>
      </c>
      <c r="D523" s="95">
        <v>342594.51</v>
      </c>
      <c r="E523" s="95">
        <v>342594.51</v>
      </c>
      <c r="F523" s="95">
        <v>0</v>
      </c>
      <c r="G523" s="95">
        <v>0</v>
      </c>
      <c r="H523" s="95">
        <v>0</v>
      </c>
    </row>
    <row r="524" spans="1:8" ht="19.8" customHeight="1" x14ac:dyDescent="0.3">
      <c r="A524" s="98">
        <f t="shared" si="8"/>
        <v>11</v>
      </c>
      <c r="B524" s="92" t="s">
        <v>1953</v>
      </c>
      <c r="C524" s="92" t="s">
        <v>1954</v>
      </c>
      <c r="D524" s="95">
        <v>428849.99</v>
      </c>
      <c r="E524" s="95">
        <v>428849.99</v>
      </c>
      <c r="F524" s="95">
        <v>0</v>
      </c>
      <c r="G524" s="95">
        <v>0</v>
      </c>
      <c r="H524" s="95">
        <v>0</v>
      </c>
    </row>
    <row r="525" spans="1:8" ht="19.8" customHeight="1" x14ac:dyDescent="0.3">
      <c r="A525" s="98">
        <f t="shared" si="8"/>
        <v>7</v>
      </c>
      <c r="B525" s="92" t="s">
        <v>1955</v>
      </c>
      <c r="C525" s="92" t="s">
        <v>1956</v>
      </c>
      <c r="D525" s="95">
        <v>3135065.38</v>
      </c>
      <c r="E525" s="95">
        <v>3135065.38</v>
      </c>
      <c r="F525" s="95">
        <v>0</v>
      </c>
      <c r="G525" s="95">
        <v>0</v>
      </c>
      <c r="H525" s="95">
        <v>0</v>
      </c>
    </row>
    <row r="526" spans="1:8" ht="19.8" customHeight="1" x14ac:dyDescent="0.3">
      <c r="A526" s="98">
        <f t="shared" si="8"/>
        <v>11</v>
      </c>
      <c r="B526" s="92" t="s">
        <v>1957</v>
      </c>
      <c r="C526" s="92" t="s">
        <v>1958</v>
      </c>
      <c r="D526" s="95">
        <v>502345.51</v>
      </c>
      <c r="E526" s="95">
        <v>502345.51</v>
      </c>
      <c r="F526" s="95">
        <v>0</v>
      </c>
      <c r="G526" s="95">
        <v>0</v>
      </c>
      <c r="H526" s="95">
        <v>0</v>
      </c>
    </row>
    <row r="527" spans="1:8" ht="19.8" customHeight="1" x14ac:dyDescent="0.3">
      <c r="A527" s="98">
        <f t="shared" si="8"/>
        <v>11</v>
      </c>
      <c r="B527" s="92" t="s">
        <v>1959</v>
      </c>
      <c r="C527" s="92" t="s">
        <v>1960</v>
      </c>
      <c r="D527" s="95">
        <v>551035.59</v>
      </c>
      <c r="E527" s="95">
        <v>551035.59</v>
      </c>
      <c r="F527" s="95">
        <v>0</v>
      </c>
      <c r="G527" s="95">
        <v>0</v>
      </c>
      <c r="H527" s="95">
        <v>0</v>
      </c>
    </row>
    <row r="528" spans="1:8" ht="19.8" customHeight="1" x14ac:dyDescent="0.3">
      <c r="A528" s="98">
        <f t="shared" si="8"/>
        <v>11</v>
      </c>
      <c r="B528" s="92" t="s">
        <v>1961</v>
      </c>
      <c r="C528" s="92" t="s">
        <v>1962</v>
      </c>
      <c r="D528" s="95">
        <v>1831469.83</v>
      </c>
      <c r="E528" s="95">
        <v>1831469.83</v>
      </c>
      <c r="F528" s="95">
        <v>0</v>
      </c>
      <c r="G528" s="95">
        <v>0</v>
      </c>
      <c r="H528" s="95">
        <v>0</v>
      </c>
    </row>
    <row r="529" spans="1:8" ht="19.8" customHeight="1" x14ac:dyDescent="0.3">
      <c r="A529" s="98">
        <f t="shared" si="8"/>
        <v>11</v>
      </c>
      <c r="B529" s="92" t="s">
        <v>1963</v>
      </c>
      <c r="C529" s="92" t="s">
        <v>1964</v>
      </c>
      <c r="D529" s="95">
        <v>83500.19</v>
      </c>
      <c r="E529" s="95">
        <v>83500.19</v>
      </c>
      <c r="F529" s="95">
        <v>0</v>
      </c>
      <c r="G529" s="95">
        <v>0</v>
      </c>
      <c r="H529" s="95">
        <v>0</v>
      </c>
    </row>
    <row r="530" spans="1:8" ht="19.8" customHeight="1" x14ac:dyDescent="0.3">
      <c r="A530" s="98">
        <f t="shared" si="8"/>
        <v>11</v>
      </c>
      <c r="B530" s="92" t="s">
        <v>1965</v>
      </c>
      <c r="C530" s="92" t="s">
        <v>1966</v>
      </c>
      <c r="D530" s="95">
        <v>140869.49</v>
      </c>
      <c r="E530" s="95">
        <v>140869.49</v>
      </c>
      <c r="F530" s="95">
        <v>0</v>
      </c>
      <c r="G530" s="95">
        <v>0</v>
      </c>
      <c r="H530" s="95">
        <v>0</v>
      </c>
    </row>
    <row r="531" spans="1:8" ht="19.8" customHeight="1" x14ac:dyDescent="0.3">
      <c r="A531" s="98">
        <f t="shared" si="8"/>
        <v>11</v>
      </c>
      <c r="B531" s="92" t="s">
        <v>1967</v>
      </c>
      <c r="C531" s="92" t="s">
        <v>1968</v>
      </c>
      <c r="D531" s="95">
        <v>25599.4</v>
      </c>
      <c r="E531" s="95">
        <v>25599.4</v>
      </c>
      <c r="F531" s="95">
        <v>0</v>
      </c>
      <c r="G531" s="95">
        <v>0</v>
      </c>
      <c r="H531" s="95">
        <v>0</v>
      </c>
    </row>
    <row r="532" spans="1:8" ht="19.8" customHeight="1" x14ac:dyDescent="0.3">
      <c r="A532" s="98">
        <f t="shared" si="8"/>
        <v>11</v>
      </c>
      <c r="B532" s="92" t="s">
        <v>1969</v>
      </c>
      <c r="C532" s="92" t="s">
        <v>1970</v>
      </c>
      <c r="D532" s="95">
        <v>245.37</v>
      </c>
      <c r="E532" s="95">
        <v>245.37</v>
      </c>
      <c r="F532" s="95">
        <v>0</v>
      </c>
      <c r="G532" s="95">
        <v>0</v>
      </c>
      <c r="H532" s="95">
        <v>0</v>
      </c>
    </row>
    <row r="533" spans="1:8" ht="19.8" customHeight="1" x14ac:dyDescent="0.3">
      <c r="A533" s="98">
        <f t="shared" si="8"/>
        <v>7</v>
      </c>
      <c r="B533" s="92" t="s">
        <v>1971</v>
      </c>
      <c r="C533" s="92" t="s">
        <v>1972</v>
      </c>
      <c r="D533" s="95">
        <v>1138417.8999999999</v>
      </c>
      <c r="E533" s="95">
        <v>1138417.8999999999</v>
      </c>
      <c r="F533" s="95">
        <v>0</v>
      </c>
      <c r="G533" s="95">
        <v>0</v>
      </c>
      <c r="H533" s="95">
        <v>0</v>
      </c>
    </row>
    <row r="534" spans="1:8" ht="19.8" customHeight="1" x14ac:dyDescent="0.3">
      <c r="A534" s="98">
        <f t="shared" si="8"/>
        <v>11</v>
      </c>
      <c r="B534" s="92" t="s">
        <v>1973</v>
      </c>
      <c r="C534" s="92" t="s">
        <v>1974</v>
      </c>
      <c r="D534" s="95">
        <v>381722.82</v>
      </c>
      <c r="E534" s="95">
        <v>381722.82</v>
      </c>
      <c r="F534" s="95">
        <v>0</v>
      </c>
      <c r="G534" s="95">
        <v>0</v>
      </c>
      <c r="H534" s="95">
        <v>0</v>
      </c>
    </row>
    <row r="535" spans="1:8" ht="19.8" customHeight="1" x14ac:dyDescent="0.3">
      <c r="A535" s="98">
        <f t="shared" si="8"/>
        <v>11</v>
      </c>
      <c r="B535" s="92" t="s">
        <v>1975</v>
      </c>
      <c r="C535" s="92" t="s">
        <v>1976</v>
      </c>
      <c r="D535" s="95">
        <v>264588.49</v>
      </c>
      <c r="E535" s="95">
        <v>264588.49</v>
      </c>
      <c r="F535" s="95">
        <v>0</v>
      </c>
      <c r="G535" s="95">
        <v>0</v>
      </c>
      <c r="H535" s="95">
        <v>0</v>
      </c>
    </row>
    <row r="536" spans="1:8" ht="19.8" customHeight="1" x14ac:dyDescent="0.3">
      <c r="A536" s="98">
        <f t="shared" si="8"/>
        <v>11</v>
      </c>
      <c r="B536" s="92" t="s">
        <v>1977</v>
      </c>
      <c r="C536" s="92" t="s">
        <v>1978</v>
      </c>
      <c r="D536" s="95">
        <v>187296.81</v>
      </c>
      <c r="E536" s="95">
        <v>187296.81</v>
      </c>
      <c r="F536" s="95">
        <v>0</v>
      </c>
      <c r="G536" s="95">
        <v>0</v>
      </c>
      <c r="H536" s="95">
        <v>0</v>
      </c>
    </row>
    <row r="537" spans="1:8" ht="19.8" customHeight="1" x14ac:dyDescent="0.3">
      <c r="A537" s="98">
        <f t="shared" si="8"/>
        <v>11</v>
      </c>
      <c r="B537" s="92" t="s">
        <v>1979</v>
      </c>
      <c r="C537" s="92" t="s">
        <v>1980</v>
      </c>
      <c r="D537" s="95">
        <v>84521.65</v>
      </c>
      <c r="E537" s="95">
        <v>84521.65</v>
      </c>
      <c r="F537" s="95">
        <v>0</v>
      </c>
      <c r="G537" s="95">
        <v>0</v>
      </c>
      <c r="H537" s="95">
        <v>0</v>
      </c>
    </row>
    <row r="538" spans="1:8" ht="19.8" customHeight="1" x14ac:dyDescent="0.3">
      <c r="A538" s="98">
        <f t="shared" si="8"/>
        <v>11</v>
      </c>
      <c r="B538" s="92" t="s">
        <v>1981</v>
      </c>
      <c r="C538" s="92" t="s">
        <v>1982</v>
      </c>
      <c r="D538" s="95">
        <v>191918.09</v>
      </c>
      <c r="E538" s="95">
        <v>191918.09</v>
      </c>
      <c r="F538" s="95">
        <v>0</v>
      </c>
      <c r="G538" s="95">
        <v>0</v>
      </c>
      <c r="H538" s="95">
        <v>0</v>
      </c>
    </row>
    <row r="539" spans="1:8" ht="19.8" customHeight="1" x14ac:dyDescent="0.3">
      <c r="A539" s="98">
        <f t="shared" si="8"/>
        <v>11</v>
      </c>
      <c r="B539" s="92" t="s">
        <v>1983</v>
      </c>
      <c r="C539" s="92" t="s">
        <v>1984</v>
      </c>
      <c r="D539" s="95">
        <v>26948.74</v>
      </c>
      <c r="E539" s="95">
        <v>26948.74</v>
      </c>
      <c r="F539" s="95">
        <v>0</v>
      </c>
      <c r="G539" s="95">
        <v>0</v>
      </c>
      <c r="H539" s="95">
        <v>0</v>
      </c>
    </row>
    <row r="540" spans="1:8" ht="19.8" customHeight="1" x14ac:dyDescent="0.3">
      <c r="A540" s="98">
        <f t="shared" si="8"/>
        <v>11</v>
      </c>
      <c r="B540" s="92" t="s">
        <v>1985</v>
      </c>
      <c r="C540" s="92" t="s">
        <v>1986</v>
      </c>
      <c r="D540" s="95">
        <v>1421.3</v>
      </c>
      <c r="E540" s="95">
        <v>1421.3</v>
      </c>
      <c r="F540" s="95">
        <v>0</v>
      </c>
      <c r="G540" s="95">
        <v>0</v>
      </c>
      <c r="H540" s="95">
        <v>0</v>
      </c>
    </row>
    <row r="541" spans="1:8" ht="19.8" customHeight="1" x14ac:dyDescent="0.3">
      <c r="A541" s="98">
        <f t="shared" si="8"/>
        <v>7</v>
      </c>
      <c r="B541" s="92" t="s">
        <v>1987</v>
      </c>
      <c r="C541" s="92" t="s">
        <v>1988</v>
      </c>
      <c r="D541" s="95">
        <v>1286188.3500000001</v>
      </c>
      <c r="E541" s="95">
        <v>1286188.3500000001</v>
      </c>
      <c r="F541" s="95">
        <v>0</v>
      </c>
      <c r="G541" s="95">
        <v>0</v>
      </c>
      <c r="H541" s="95">
        <v>0</v>
      </c>
    </row>
    <row r="542" spans="1:8" ht="19.8" customHeight="1" x14ac:dyDescent="0.3">
      <c r="A542" s="98">
        <f t="shared" si="8"/>
        <v>11</v>
      </c>
      <c r="B542" s="92" t="s">
        <v>1989</v>
      </c>
      <c r="C542" s="92" t="s">
        <v>1990</v>
      </c>
      <c r="D542" s="95">
        <v>361144.96</v>
      </c>
      <c r="E542" s="95">
        <v>361144.96</v>
      </c>
      <c r="F542" s="95">
        <v>0</v>
      </c>
      <c r="G542" s="95">
        <v>0</v>
      </c>
      <c r="H542" s="95">
        <v>0</v>
      </c>
    </row>
    <row r="543" spans="1:8" ht="19.8" customHeight="1" x14ac:dyDescent="0.3">
      <c r="A543" s="98">
        <f t="shared" si="8"/>
        <v>11</v>
      </c>
      <c r="B543" s="92" t="s">
        <v>1991</v>
      </c>
      <c r="C543" s="92" t="s">
        <v>1992</v>
      </c>
      <c r="D543" s="95">
        <v>344545.6</v>
      </c>
      <c r="E543" s="95">
        <v>344545.6</v>
      </c>
      <c r="F543" s="95">
        <v>0</v>
      </c>
      <c r="G543" s="95">
        <v>0</v>
      </c>
      <c r="H543" s="95">
        <v>0</v>
      </c>
    </row>
    <row r="544" spans="1:8" ht="19.8" customHeight="1" x14ac:dyDescent="0.3">
      <c r="A544" s="98">
        <f t="shared" si="8"/>
        <v>11</v>
      </c>
      <c r="B544" s="92" t="s">
        <v>1993</v>
      </c>
      <c r="C544" s="92" t="s">
        <v>1994</v>
      </c>
      <c r="D544" s="95">
        <v>295842.55</v>
      </c>
      <c r="E544" s="95">
        <v>295842.55</v>
      </c>
      <c r="F544" s="95">
        <v>0</v>
      </c>
      <c r="G544" s="95">
        <v>0</v>
      </c>
      <c r="H544" s="95">
        <v>0</v>
      </c>
    </row>
    <row r="545" spans="1:8" ht="19.8" customHeight="1" x14ac:dyDescent="0.3">
      <c r="A545" s="98">
        <f t="shared" si="8"/>
        <v>11</v>
      </c>
      <c r="B545" s="92" t="s">
        <v>1995</v>
      </c>
      <c r="C545" s="92" t="s">
        <v>1996</v>
      </c>
      <c r="D545" s="95">
        <v>133883.95000000001</v>
      </c>
      <c r="E545" s="95">
        <v>133883.95000000001</v>
      </c>
      <c r="F545" s="95">
        <v>0</v>
      </c>
      <c r="G545" s="95">
        <v>0</v>
      </c>
      <c r="H545" s="95">
        <v>0</v>
      </c>
    </row>
    <row r="546" spans="1:8" ht="19.8" customHeight="1" x14ac:dyDescent="0.3">
      <c r="A546" s="98">
        <f t="shared" si="8"/>
        <v>11</v>
      </c>
      <c r="B546" s="92" t="s">
        <v>1997</v>
      </c>
      <c r="C546" s="92" t="s">
        <v>1998</v>
      </c>
      <c r="D546" s="95">
        <v>150771.29</v>
      </c>
      <c r="E546" s="95">
        <v>150771.29</v>
      </c>
      <c r="F546" s="95">
        <v>0</v>
      </c>
      <c r="G546" s="95">
        <v>0</v>
      </c>
      <c r="H546" s="95">
        <v>0</v>
      </c>
    </row>
    <row r="547" spans="1:8" ht="19.8" customHeight="1" x14ac:dyDescent="0.3">
      <c r="A547" s="98">
        <f t="shared" si="8"/>
        <v>7</v>
      </c>
      <c r="B547" s="92" t="s">
        <v>1999</v>
      </c>
      <c r="C547" s="92" t="s">
        <v>2000</v>
      </c>
      <c r="D547" s="95">
        <v>3051804.63</v>
      </c>
      <c r="E547" s="95">
        <v>3051804.63</v>
      </c>
      <c r="F547" s="95">
        <v>0</v>
      </c>
      <c r="G547" s="95">
        <v>0</v>
      </c>
      <c r="H547" s="95">
        <v>0</v>
      </c>
    </row>
    <row r="548" spans="1:8" ht="19.8" customHeight="1" x14ac:dyDescent="0.3">
      <c r="A548" s="98">
        <f t="shared" si="8"/>
        <v>11</v>
      </c>
      <c r="B548" s="92" t="s">
        <v>2001</v>
      </c>
      <c r="C548" s="92" t="s">
        <v>2002</v>
      </c>
      <c r="D548" s="95">
        <v>846677.45</v>
      </c>
      <c r="E548" s="95">
        <v>846677.45</v>
      </c>
      <c r="F548" s="95">
        <v>0</v>
      </c>
      <c r="G548" s="95">
        <v>0</v>
      </c>
      <c r="H548" s="95">
        <v>0</v>
      </c>
    </row>
    <row r="549" spans="1:8" ht="19.8" customHeight="1" x14ac:dyDescent="0.3">
      <c r="A549" s="98">
        <f t="shared" si="8"/>
        <v>11</v>
      </c>
      <c r="B549" s="92" t="s">
        <v>2003</v>
      </c>
      <c r="C549" s="92" t="s">
        <v>2004</v>
      </c>
      <c r="D549" s="95">
        <v>929410.99</v>
      </c>
      <c r="E549" s="95">
        <v>929410.99</v>
      </c>
      <c r="F549" s="95">
        <v>0</v>
      </c>
      <c r="G549" s="95">
        <v>0</v>
      </c>
      <c r="H549" s="95">
        <v>0</v>
      </c>
    </row>
    <row r="550" spans="1:8" ht="19.8" customHeight="1" x14ac:dyDescent="0.3">
      <c r="A550" s="98">
        <f t="shared" si="8"/>
        <v>11</v>
      </c>
      <c r="B550" s="92" t="s">
        <v>2005</v>
      </c>
      <c r="C550" s="92" t="s">
        <v>2006</v>
      </c>
      <c r="D550" s="95">
        <v>750103.39</v>
      </c>
      <c r="E550" s="95">
        <v>750103.39</v>
      </c>
      <c r="F550" s="95">
        <v>0</v>
      </c>
      <c r="G550" s="95">
        <v>0</v>
      </c>
      <c r="H550" s="95">
        <v>0</v>
      </c>
    </row>
    <row r="551" spans="1:8" ht="19.8" customHeight="1" x14ac:dyDescent="0.3">
      <c r="A551" s="98">
        <f t="shared" si="8"/>
        <v>11</v>
      </c>
      <c r="B551" s="92" t="s">
        <v>2007</v>
      </c>
      <c r="C551" s="92" t="s">
        <v>2008</v>
      </c>
      <c r="D551" s="95">
        <v>357557.93</v>
      </c>
      <c r="E551" s="95">
        <v>357557.93</v>
      </c>
      <c r="F551" s="95">
        <v>0</v>
      </c>
      <c r="G551" s="95">
        <v>0</v>
      </c>
      <c r="H551" s="95">
        <v>0</v>
      </c>
    </row>
    <row r="552" spans="1:8" ht="19.8" customHeight="1" x14ac:dyDescent="0.3">
      <c r="A552" s="98">
        <f t="shared" si="8"/>
        <v>11</v>
      </c>
      <c r="B552" s="92" t="s">
        <v>2009</v>
      </c>
      <c r="C552" s="92" t="s">
        <v>2010</v>
      </c>
      <c r="D552" s="95">
        <v>168054.87</v>
      </c>
      <c r="E552" s="95">
        <v>168054.87</v>
      </c>
      <c r="F552" s="95">
        <v>0</v>
      </c>
      <c r="G552" s="95">
        <v>0</v>
      </c>
      <c r="H552" s="95">
        <v>0</v>
      </c>
    </row>
    <row r="553" spans="1:8" ht="19.8" customHeight="1" x14ac:dyDescent="0.3">
      <c r="A553" s="98">
        <f t="shared" si="8"/>
        <v>7</v>
      </c>
      <c r="B553" s="92" t="s">
        <v>2011</v>
      </c>
      <c r="C553" s="92" t="s">
        <v>2012</v>
      </c>
      <c r="D553" s="95">
        <v>1524117.28</v>
      </c>
      <c r="E553" s="95">
        <v>1524117.28</v>
      </c>
      <c r="F553" s="95">
        <v>0</v>
      </c>
      <c r="G553" s="95">
        <v>0</v>
      </c>
      <c r="H553" s="95">
        <v>0</v>
      </c>
    </row>
    <row r="554" spans="1:8" ht="19.8" customHeight="1" x14ac:dyDescent="0.3">
      <c r="A554" s="98">
        <f t="shared" si="8"/>
        <v>11</v>
      </c>
      <c r="B554" s="92" t="s">
        <v>2013</v>
      </c>
      <c r="C554" s="92" t="s">
        <v>2014</v>
      </c>
      <c r="D554" s="95">
        <v>412910.6</v>
      </c>
      <c r="E554" s="95">
        <v>412910.6</v>
      </c>
      <c r="F554" s="95">
        <v>0</v>
      </c>
      <c r="G554" s="95">
        <v>0</v>
      </c>
      <c r="H554" s="95">
        <v>0</v>
      </c>
    </row>
    <row r="555" spans="1:8" ht="19.8" customHeight="1" x14ac:dyDescent="0.3">
      <c r="A555" s="98">
        <f t="shared" si="8"/>
        <v>11</v>
      </c>
      <c r="B555" s="92" t="s">
        <v>2015</v>
      </c>
      <c r="C555" s="92" t="s">
        <v>2016</v>
      </c>
      <c r="D555" s="95">
        <v>448089.86</v>
      </c>
      <c r="E555" s="95">
        <v>448089.86</v>
      </c>
      <c r="F555" s="95">
        <v>0</v>
      </c>
      <c r="G555" s="95">
        <v>0</v>
      </c>
      <c r="H555" s="95">
        <v>0</v>
      </c>
    </row>
    <row r="556" spans="1:8" ht="19.8" customHeight="1" x14ac:dyDescent="0.3">
      <c r="A556" s="98">
        <f t="shared" si="8"/>
        <v>11</v>
      </c>
      <c r="B556" s="92" t="s">
        <v>2017</v>
      </c>
      <c r="C556" s="92" t="s">
        <v>2018</v>
      </c>
      <c r="D556" s="95">
        <v>343888.51</v>
      </c>
      <c r="E556" s="95">
        <v>343888.51</v>
      </c>
      <c r="F556" s="95">
        <v>0</v>
      </c>
      <c r="G556" s="95">
        <v>0</v>
      </c>
      <c r="H556" s="95">
        <v>0</v>
      </c>
    </row>
    <row r="557" spans="1:8" ht="19.8" customHeight="1" x14ac:dyDescent="0.3">
      <c r="A557" s="98">
        <f t="shared" si="8"/>
        <v>11</v>
      </c>
      <c r="B557" s="92" t="s">
        <v>2019</v>
      </c>
      <c r="C557" s="92" t="s">
        <v>2020</v>
      </c>
      <c r="D557" s="95">
        <v>153759.79</v>
      </c>
      <c r="E557" s="95">
        <v>153759.79</v>
      </c>
      <c r="F557" s="95">
        <v>0</v>
      </c>
      <c r="G557" s="95">
        <v>0</v>
      </c>
      <c r="H557" s="95">
        <v>0</v>
      </c>
    </row>
    <row r="558" spans="1:8" ht="19.8" customHeight="1" x14ac:dyDescent="0.3">
      <c r="A558" s="98">
        <f t="shared" si="8"/>
        <v>11</v>
      </c>
      <c r="B558" s="92" t="s">
        <v>2021</v>
      </c>
      <c r="C558" s="92" t="s">
        <v>2022</v>
      </c>
      <c r="D558" s="95">
        <v>154852.96</v>
      </c>
      <c r="E558" s="95">
        <v>154852.96</v>
      </c>
      <c r="F558" s="95">
        <v>0</v>
      </c>
      <c r="G558" s="95">
        <v>0</v>
      </c>
      <c r="H558" s="95">
        <v>0</v>
      </c>
    </row>
    <row r="559" spans="1:8" ht="19.8" customHeight="1" x14ac:dyDescent="0.3">
      <c r="A559" s="98">
        <f t="shared" si="8"/>
        <v>11</v>
      </c>
      <c r="B559" s="92" t="s">
        <v>2023</v>
      </c>
      <c r="C559" s="92" t="s">
        <v>2024</v>
      </c>
      <c r="D559" s="95">
        <v>10615.56</v>
      </c>
      <c r="E559" s="95">
        <v>10615.56</v>
      </c>
      <c r="F559" s="95">
        <v>0</v>
      </c>
      <c r="G559" s="95">
        <v>0</v>
      </c>
      <c r="H559" s="95">
        <v>0</v>
      </c>
    </row>
    <row r="560" spans="1:8" ht="19.8" customHeight="1" x14ac:dyDescent="0.3">
      <c r="A560" s="98">
        <f t="shared" si="8"/>
        <v>7</v>
      </c>
      <c r="B560" s="92" t="s">
        <v>2025</v>
      </c>
      <c r="C560" s="92" t="s">
        <v>2026</v>
      </c>
      <c r="D560" s="95">
        <v>1804356.8</v>
      </c>
      <c r="E560" s="95">
        <v>1804356.8</v>
      </c>
      <c r="F560" s="95">
        <v>0</v>
      </c>
      <c r="G560" s="95">
        <v>0</v>
      </c>
      <c r="H560" s="95">
        <v>0</v>
      </c>
    </row>
    <row r="561" spans="1:8" ht="19.8" customHeight="1" x14ac:dyDescent="0.3">
      <c r="A561" s="98">
        <f t="shared" si="8"/>
        <v>11</v>
      </c>
      <c r="B561" s="92" t="s">
        <v>2027</v>
      </c>
      <c r="C561" s="92" t="s">
        <v>2028</v>
      </c>
      <c r="D561" s="95">
        <v>505652.1</v>
      </c>
      <c r="E561" s="95">
        <v>505652.1</v>
      </c>
      <c r="F561" s="95">
        <v>0</v>
      </c>
      <c r="G561" s="95">
        <v>0</v>
      </c>
      <c r="H561" s="95">
        <v>0</v>
      </c>
    </row>
    <row r="562" spans="1:8" ht="19.8" customHeight="1" x14ac:dyDescent="0.3">
      <c r="A562" s="98">
        <f t="shared" si="8"/>
        <v>11</v>
      </c>
      <c r="B562" s="92" t="s">
        <v>2029</v>
      </c>
      <c r="C562" s="92" t="s">
        <v>2030</v>
      </c>
      <c r="D562" s="95">
        <v>543853.48</v>
      </c>
      <c r="E562" s="95">
        <v>543853.48</v>
      </c>
      <c r="F562" s="95">
        <v>0</v>
      </c>
      <c r="G562" s="95">
        <v>0</v>
      </c>
      <c r="H562" s="95">
        <v>0</v>
      </c>
    </row>
    <row r="563" spans="1:8" ht="19.8" customHeight="1" x14ac:dyDescent="0.3">
      <c r="A563" s="98">
        <f t="shared" si="8"/>
        <v>11</v>
      </c>
      <c r="B563" s="92" t="s">
        <v>2031</v>
      </c>
      <c r="C563" s="92" t="s">
        <v>2032</v>
      </c>
      <c r="D563" s="95">
        <v>418028.61</v>
      </c>
      <c r="E563" s="95">
        <v>418028.61</v>
      </c>
      <c r="F563" s="95">
        <v>0</v>
      </c>
      <c r="G563" s="95">
        <v>0</v>
      </c>
      <c r="H563" s="95">
        <v>0</v>
      </c>
    </row>
    <row r="564" spans="1:8" ht="19.8" customHeight="1" x14ac:dyDescent="0.3">
      <c r="A564" s="98">
        <f t="shared" si="8"/>
        <v>11</v>
      </c>
      <c r="B564" s="92" t="s">
        <v>2033</v>
      </c>
      <c r="C564" s="92" t="s">
        <v>2034</v>
      </c>
      <c r="D564" s="95">
        <v>141935.82</v>
      </c>
      <c r="E564" s="95">
        <v>141935.82</v>
      </c>
      <c r="F564" s="95">
        <v>0</v>
      </c>
      <c r="G564" s="95">
        <v>0</v>
      </c>
      <c r="H564" s="95">
        <v>0</v>
      </c>
    </row>
    <row r="565" spans="1:8" ht="19.8" customHeight="1" x14ac:dyDescent="0.3">
      <c r="A565" s="98">
        <f t="shared" si="8"/>
        <v>11</v>
      </c>
      <c r="B565" s="92" t="s">
        <v>2035</v>
      </c>
      <c r="C565" s="92" t="s">
        <v>2036</v>
      </c>
      <c r="D565" s="95">
        <v>161682.5</v>
      </c>
      <c r="E565" s="95">
        <v>161682.5</v>
      </c>
      <c r="F565" s="95">
        <v>0</v>
      </c>
      <c r="G565" s="95">
        <v>0</v>
      </c>
      <c r="H565" s="95">
        <v>0</v>
      </c>
    </row>
    <row r="566" spans="1:8" ht="19.8" customHeight="1" x14ac:dyDescent="0.3">
      <c r="A566" s="98">
        <f t="shared" si="8"/>
        <v>11</v>
      </c>
      <c r="B566" s="92" t="s">
        <v>2037</v>
      </c>
      <c r="C566" s="92" t="s">
        <v>2038</v>
      </c>
      <c r="D566" s="95">
        <v>33204.29</v>
      </c>
      <c r="E566" s="95">
        <v>33204.29</v>
      </c>
      <c r="F566" s="95">
        <v>0</v>
      </c>
      <c r="G566" s="95">
        <v>0</v>
      </c>
      <c r="H566" s="95">
        <v>0</v>
      </c>
    </row>
    <row r="567" spans="1:8" ht="19.8" customHeight="1" x14ac:dyDescent="0.3">
      <c r="A567" s="98">
        <f t="shared" si="8"/>
        <v>7</v>
      </c>
      <c r="B567" s="92" t="s">
        <v>2039</v>
      </c>
      <c r="C567" s="92" t="s">
        <v>2040</v>
      </c>
      <c r="D567" s="95">
        <v>2201041.75</v>
      </c>
      <c r="E567" s="95">
        <v>2009914.96</v>
      </c>
      <c r="F567" s="95">
        <v>191126.79</v>
      </c>
      <c r="G567" s="95">
        <v>0</v>
      </c>
      <c r="H567" s="95">
        <v>191126.79</v>
      </c>
    </row>
    <row r="568" spans="1:8" ht="19.8" customHeight="1" x14ac:dyDescent="0.3">
      <c r="A568" s="98">
        <f t="shared" si="8"/>
        <v>11</v>
      </c>
      <c r="B568" s="92" t="s">
        <v>2041</v>
      </c>
      <c r="C568" s="92" t="s">
        <v>2042</v>
      </c>
      <c r="D568" s="95">
        <v>387262.23</v>
      </c>
      <c r="E568" s="95">
        <v>387262.23</v>
      </c>
      <c r="F568" s="95">
        <v>0</v>
      </c>
      <c r="G568" s="95">
        <v>0</v>
      </c>
      <c r="H568" s="95">
        <v>0</v>
      </c>
    </row>
    <row r="569" spans="1:8" ht="19.8" customHeight="1" x14ac:dyDescent="0.3">
      <c r="A569" s="98">
        <f t="shared" si="8"/>
        <v>11</v>
      </c>
      <c r="B569" s="92" t="s">
        <v>2043</v>
      </c>
      <c r="C569" s="92" t="s">
        <v>2044</v>
      </c>
      <c r="D569" s="95">
        <v>353059.78</v>
      </c>
      <c r="E569" s="95">
        <v>353059.78</v>
      </c>
      <c r="F569" s="95">
        <v>0</v>
      </c>
      <c r="G569" s="95">
        <v>0</v>
      </c>
      <c r="H569" s="95">
        <v>0</v>
      </c>
    </row>
    <row r="570" spans="1:8" ht="19.8" customHeight="1" x14ac:dyDescent="0.3">
      <c r="A570" s="98">
        <f t="shared" si="8"/>
        <v>11</v>
      </c>
      <c r="B570" s="92" t="s">
        <v>2045</v>
      </c>
      <c r="C570" s="92" t="s">
        <v>2046</v>
      </c>
      <c r="D570" s="95">
        <v>295430.64</v>
      </c>
      <c r="E570" s="95">
        <v>295430.64</v>
      </c>
      <c r="F570" s="95">
        <v>0</v>
      </c>
      <c r="G570" s="95">
        <v>0</v>
      </c>
      <c r="H570" s="95">
        <v>0</v>
      </c>
    </row>
    <row r="571" spans="1:8" ht="19.8" customHeight="1" x14ac:dyDescent="0.3">
      <c r="A571" s="98">
        <f t="shared" si="8"/>
        <v>11</v>
      </c>
      <c r="B571" s="92" t="s">
        <v>2047</v>
      </c>
      <c r="C571" s="92" t="s">
        <v>2048</v>
      </c>
      <c r="D571" s="95">
        <v>166771.9</v>
      </c>
      <c r="E571" s="95">
        <v>166771.9</v>
      </c>
      <c r="F571" s="95">
        <v>0</v>
      </c>
      <c r="G571" s="95">
        <v>0</v>
      </c>
      <c r="H571" s="95">
        <v>0</v>
      </c>
    </row>
    <row r="572" spans="1:8" ht="19.8" customHeight="1" x14ac:dyDescent="0.3">
      <c r="A572" s="98">
        <f t="shared" si="8"/>
        <v>11</v>
      </c>
      <c r="B572" s="92" t="s">
        <v>2049</v>
      </c>
      <c r="C572" s="92" t="s">
        <v>2050</v>
      </c>
      <c r="D572" s="95">
        <v>93407.75</v>
      </c>
      <c r="E572" s="95">
        <v>93407.75</v>
      </c>
      <c r="F572" s="95">
        <v>0</v>
      </c>
      <c r="G572" s="95">
        <v>0</v>
      </c>
      <c r="H572" s="95">
        <v>0</v>
      </c>
    </row>
    <row r="573" spans="1:8" ht="19.8" customHeight="1" x14ac:dyDescent="0.3">
      <c r="A573" s="98">
        <f t="shared" si="8"/>
        <v>11</v>
      </c>
      <c r="B573" s="92" t="s">
        <v>2051</v>
      </c>
      <c r="C573" s="92" t="s">
        <v>2052</v>
      </c>
      <c r="D573" s="95">
        <v>905109.45</v>
      </c>
      <c r="E573" s="95">
        <v>713982.66</v>
      </c>
      <c r="F573" s="95">
        <v>191126.79</v>
      </c>
      <c r="G573" s="95">
        <v>0</v>
      </c>
      <c r="H573" s="95">
        <v>191126.79</v>
      </c>
    </row>
    <row r="574" spans="1:8" ht="19.8" customHeight="1" x14ac:dyDescent="0.3">
      <c r="A574" s="98">
        <f t="shared" si="8"/>
        <v>7</v>
      </c>
      <c r="B574" s="92" t="s">
        <v>2053</v>
      </c>
      <c r="C574" s="92" t="s">
        <v>2054</v>
      </c>
      <c r="D574" s="95">
        <v>2130026.25</v>
      </c>
      <c r="E574" s="95">
        <v>2130026.25</v>
      </c>
      <c r="F574" s="95">
        <v>0</v>
      </c>
      <c r="G574" s="95">
        <v>0</v>
      </c>
      <c r="H574" s="95">
        <v>0</v>
      </c>
    </row>
    <row r="575" spans="1:8" ht="19.8" customHeight="1" x14ac:dyDescent="0.3">
      <c r="A575" s="98">
        <f t="shared" si="8"/>
        <v>11</v>
      </c>
      <c r="B575" s="92" t="s">
        <v>2055</v>
      </c>
      <c r="C575" s="92" t="s">
        <v>2056</v>
      </c>
      <c r="D575" s="95">
        <v>423637.51</v>
      </c>
      <c r="E575" s="95">
        <v>423637.51</v>
      </c>
      <c r="F575" s="95">
        <v>0</v>
      </c>
      <c r="G575" s="95">
        <v>0</v>
      </c>
      <c r="H575" s="95">
        <v>0</v>
      </c>
    </row>
    <row r="576" spans="1:8" ht="19.8" customHeight="1" x14ac:dyDescent="0.3">
      <c r="A576" s="98">
        <f t="shared" si="8"/>
        <v>11</v>
      </c>
      <c r="B576" s="92" t="s">
        <v>2057</v>
      </c>
      <c r="C576" s="92" t="s">
        <v>2058</v>
      </c>
      <c r="D576" s="95">
        <v>681573.66</v>
      </c>
      <c r="E576" s="95">
        <v>681573.66</v>
      </c>
      <c r="F576" s="95">
        <v>0</v>
      </c>
      <c r="G576" s="95">
        <v>0</v>
      </c>
      <c r="H576" s="95">
        <v>0</v>
      </c>
    </row>
    <row r="577" spans="1:8" ht="19.8" customHeight="1" x14ac:dyDescent="0.3">
      <c r="A577" s="98">
        <f t="shared" si="8"/>
        <v>11</v>
      </c>
      <c r="B577" s="92" t="s">
        <v>2059</v>
      </c>
      <c r="C577" s="92" t="s">
        <v>2060</v>
      </c>
      <c r="D577" s="95">
        <v>579239.37</v>
      </c>
      <c r="E577" s="95">
        <v>579239.37</v>
      </c>
      <c r="F577" s="95">
        <v>0</v>
      </c>
      <c r="G577" s="95">
        <v>0</v>
      </c>
      <c r="H577" s="95">
        <v>0</v>
      </c>
    </row>
    <row r="578" spans="1:8" ht="19.8" customHeight="1" x14ac:dyDescent="0.3">
      <c r="A578" s="98">
        <f t="shared" si="8"/>
        <v>11</v>
      </c>
      <c r="B578" s="92" t="s">
        <v>2061</v>
      </c>
      <c r="C578" s="92" t="s">
        <v>2062</v>
      </c>
      <c r="D578" s="95">
        <v>192740.26</v>
      </c>
      <c r="E578" s="95">
        <v>192740.26</v>
      </c>
      <c r="F578" s="95">
        <v>0</v>
      </c>
      <c r="G578" s="95">
        <v>0</v>
      </c>
      <c r="H578" s="95">
        <v>0</v>
      </c>
    </row>
    <row r="579" spans="1:8" ht="19.8" customHeight="1" x14ac:dyDescent="0.3">
      <c r="A579" s="98">
        <f t="shared" ref="A579:A642" si="9">+LEN(B579)</f>
        <v>11</v>
      </c>
      <c r="B579" s="92" t="s">
        <v>2063</v>
      </c>
      <c r="C579" s="92" t="s">
        <v>2064</v>
      </c>
      <c r="D579" s="95">
        <v>232722.69</v>
      </c>
      <c r="E579" s="95">
        <v>232722.69</v>
      </c>
      <c r="F579" s="95">
        <v>0</v>
      </c>
      <c r="G579" s="95">
        <v>0</v>
      </c>
      <c r="H579" s="95">
        <v>0</v>
      </c>
    </row>
    <row r="580" spans="1:8" ht="19.8" customHeight="1" x14ac:dyDescent="0.3">
      <c r="A580" s="98">
        <f t="shared" si="9"/>
        <v>11</v>
      </c>
      <c r="B580" s="92" t="s">
        <v>2065</v>
      </c>
      <c r="C580" s="92" t="s">
        <v>2066</v>
      </c>
      <c r="D580" s="95">
        <v>20112.759999999998</v>
      </c>
      <c r="E580" s="95">
        <v>20112.759999999998</v>
      </c>
      <c r="F580" s="95">
        <v>0</v>
      </c>
      <c r="G580" s="95">
        <v>0</v>
      </c>
      <c r="H580" s="95">
        <v>0</v>
      </c>
    </row>
    <row r="581" spans="1:8" ht="19.8" customHeight="1" x14ac:dyDescent="0.3">
      <c r="A581" s="98">
        <f t="shared" si="9"/>
        <v>7</v>
      </c>
      <c r="B581" s="92" t="s">
        <v>2067</v>
      </c>
      <c r="C581" s="92" t="s">
        <v>2068</v>
      </c>
      <c r="D581" s="95">
        <v>1290262.18</v>
      </c>
      <c r="E581" s="95">
        <v>1290262.18</v>
      </c>
      <c r="F581" s="95">
        <v>0</v>
      </c>
      <c r="G581" s="95">
        <v>0</v>
      </c>
      <c r="H581" s="95">
        <v>0</v>
      </c>
    </row>
    <row r="582" spans="1:8" ht="19.8" customHeight="1" x14ac:dyDescent="0.3">
      <c r="A582" s="98">
        <f t="shared" si="9"/>
        <v>11</v>
      </c>
      <c r="B582" s="92" t="s">
        <v>2069</v>
      </c>
      <c r="C582" s="92" t="s">
        <v>2070</v>
      </c>
      <c r="D582" s="95">
        <v>391136.14</v>
      </c>
      <c r="E582" s="95">
        <v>391136.14</v>
      </c>
      <c r="F582" s="95">
        <v>0</v>
      </c>
      <c r="G582" s="95">
        <v>0</v>
      </c>
      <c r="H582" s="95">
        <v>0</v>
      </c>
    </row>
    <row r="583" spans="1:8" ht="19.8" customHeight="1" x14ac:dyDescent="0.3">
      <c r="A583" s="98">
        <f t="shared" si="9"/>
        <v>11</v>
      </c>
      <c r="B583" s="92" t="s">
        <v>2071</v>
      </c>
      <c r="C583" s="92" t="s">
        <v>2072</v>
      </c>
      <c r="D583" s="95">
        <v>307913.09999999998</v>
      </c>
      <c r="E583" s="95">
        <v>307913.09999999998</v>
      </c>
      <c r="F583" s="95">
        <v>0</v>
      </c>
      <c r="G583" s="95">
        <v>0</v>
      </c>
      <c r="H583" s="95">
        <v>0</v>
      </c>
    </row>
    <row r="584" spans="1:8" ht="19.8" customHeight="1" x14ac:dyDescent="0.3">
      <c r="A584" s="98">
        <f t="shared" si="9"/>
        <v>11</v>
      </c>
      <c r="B584" s="92" t="s">
        <v>2073</v>
      </c>
      <c r="C584" s="92" t="s">
        <v>2074</v>
      </c>
      <c r="D584" s="95">
        <v>285482.01</v>
      </c>
      <c r="E584" s="95">
        <v>285482.01</v>
      </c>
      <c r="F584" s="95">
        <v>0</v>
      </c>
      <c r="G584" s="95">
        <v>0</v>
      </c>
      <c r="H584" s="95">
        <v>0</v>
      </c>
    </row>
    <row r="585" spans="1:8" ht="19.8" customHeight="1" x14ac:dyDescent="0.3">
      <c r="A585" s="98">
        <f t="shared" si="9"/>
        <v>11</v>
      </c>
      <c r="B585" s="92" t="s">
        <v>2075</v>
      </c>
      <c r="C585" s="92" t="s">
        <v>2076</v>
      </c>
      <c r="D585" s="95">
        <v>92297.22</v>
      </c>
      <c r="E585" s="95">
        <v>92297.22</v>
      </c>
      <c r="F585" s="95">
        <v>0</v>
      </c>
      <c r="G585" s="95">
        <v>0</v>
      </c>
      <c r="H585" s="95">
        <v>0</v>
      </c>
    </row>
    <row r="586" spans="1:8" ht="19.8" customHeight="1" x14ac:dyDescent="0.3">
      <c r="A586" s="98">
        <f t="shared" si="9"/>
        <v>11</v>
      </c>
      <c r="B586" s="92" t="s">
        <v>2077</v>
      </c>
      <c r="C586" s="92" t="s">
        <v>2078</v>
      </c>
      <c r="D586" s="95">
        <v>172102.25</v>
      </c>
      <c r="E586" s="95">
        <v>172102.25</v>
      </c>
      <c r="F586" s="95">
        <v>0</v>
      </c>
      <c r="G586" s="95">
        <v>0</v>
      </c>
      <c r="H586" s="95">
        <v>0</v>
      </c>
    </row>
    <row r="587" spans="1:8" ht="19.8" customHeight="1" x14ac:dyDescent="0.3">
      <c r="A587" s="98">
        <f t="shared" si="9"/>
        <v>11</v>
      </c>
      <c r="B587" s="92" t="s">
        <v>2079</v>
      </c>
      <c r="C587" s="92" t="s">
        <v>2080</v>
      </c>
      <c r="D587" s="95">
        <v>41331.46</v>
      </c>
      <c r="E587" s="95">
        <v>41331.46</v>
      </c>
      <c r="F587" s="95">
        <v>0</v>
      </c>
      <c r="G587" s="95">
        <v>0</v>
      </c>
      <c r="H587" s="95">
        <v>0</v>
      </c>
    </row>
    <row r="588" spans="1:8" ht="19.8" customHeight="1" x14ac:dyDescent="0.3">
      <c r="A588" s="98">
        <f t="shared" si="9"/>
        <v>7</v>
      </c>
      <c r="B588" s="92" t="s">
        <v>2081</v>
      </c>
      <c r="C588" s="92" t="s">
        <v>2082</v>
      </c>
      <c r="D588" s="95">
        <v>737317.4</v>
      </c>
      <c r="E588" s="95">
        <v>737317.4</v>
      </c>
      <c r="F588" s="95">
        <v>0</v>
      </c>
      <c r="G588" s="95">
        <v>0</v>
      </c>
      <c r="H588" s="95">
        <v>0</v>
      </c>
    </row>
    <row r="589" spans="1:8" ht="19.8" customHeight="1" x14ac:dyDescent="0.3">
      <c r="A589" s="98">
        <f t="shared" si="9"/>
        <v>11</v>
      </c>
      <c r="B589" s="92" t="s">
        <v>2083</v>
      </c>
      <c r="C589" s="92" t="s">
        <v>2084</v>
      </c>
      <c r="D589" s="95">
        <v>203711.44</v>
      </c>
      <c r="E589" s="95">
        <v>203711.44</v>
      </c>
      <c r="F589" s="95">
        <v>0</v>
      </c>
      <c r="G589" s="95">
        <v>0</v>
      </c>
      <c r="H589" s="95">
        <v>0</v>
      </c>
    </row>
    <row r="590" spans="1:8" ht="19.8" customHeight="1" x14ac:dyDescent="0.3">
      <c r="A590" s="98">
        <f t="shared" si="9"/>
        <v>11</v>
      </c>
      <c r="B590" s="92" t="s">
        <v>2085</v>
      </c>
      <c r="C590" s="92" t="s">
        <v>2086</v>
      </c>
      <c r="D590" s="95">
        <v>311204.69</v>
      </c>
      <c r="E590" s="95">
        <v>311204.69</v>
      </c>
      <c r="F590" s="95">
        <v>0</v>
      </c>
      <c r="G590" s="95">
        <v>0</v>
      </c>
      <c r="H590" s="95">
        <v>0</v>
      </c>
    </row>
    <row r="591" spans="1:8" ht="19.8" customHeight="1" x14ac:dyDescent="0.3">
      <c r="A591" s="98">
        <f t="shared" si="9"/>
        <v>11</v>
      </c>
      <c r="B591" s="92" t="s">
        <v>2087</v>
      </c>
      <c r="C591" s="92" t="s">
        <v>2088</v>
      </c>
      <c r="D591" s="95">
        <v>151925.39000000001</v>
      </c>
      <c r="E591" s="95">
        <v>151925.39000000001</v>
      </c>
      <c r="F591" s="95">
        <v>0</v>
      </c>
      <c r="G591" s="95">
        <v>0</v>
      </c>
      <c r="H591" s="95">
        <v>0</v>
      </c>
    </row>
    <row r="592" spans="1:8" ht="19.8" customHeight="1" x14ac:dyDescent="0.3">
      <c r="A592" s="98">
        <f t="shared" si="9"/>
        <v>11</v>
      </c>
      <c r="B592" s="92" t="s">
        <v>2089</v>
      </c>
      <c r="C592" s="92" t="s">
        <v>2090</v>
      </c>
      <c r="D592" s="95">
        <v>27717.59</v>
      </c>
      <c r="E592" s="95">
        <v>27717.59</v>
      </c>
      <c r="F592" s="95">
        <v>0</v>
      </c>
      <c r="G592" s="95">
        <v>0</v>
      </c>
      <c r="H592" s="95">
        <v>0</v>
      </c>
    </row>
    <row r="593" spans="1:8" ht="19.8" customHeight="1" x14ac:dyDescent="0.3">
      <c r="A593" s="98">
        <f t="shared" si="9"/>
        <v>11</v>
      </c>
      <c r="B593" s="92" t="s">
        <v>2091</v>
      </c>
      <c r="C593" s="92" t="s">
        <v>2092</v>
      </c>
      <c r="D593" s="95">
        <v>32625.89</v>
      </c>
      <c r="E593" s="95">
        <v>32625.89</v>
      </c>
      <c r="F593" s="95">
        <v>0</v>
      </c>
      <c r="G593" s="95">
        <v>0</v>
      </c>
      <c r="H593" s="95">
        <v>0</v>
      </c>
    </row>
    <row r="594" spans="1:8" ht="19.8" customHeight="1" x14ac:dyDescent="0.3">
      <c r="A594" s="98">
        <f t="shared" si="9"/>
        <v>11</v>
      </c>
      <c r="B594" s="92" t="s">
        <v>2093</v>
      </c>
      <c r="C594" s="92" t="s">
        <v>2094</v>
      </c>
      <c r="D594" s="95">
        <v>10132.4</v>
      </c>
      <c r="E594" s="95">
        <v>10132.4</v>
      </c>
      <c r="F594" s="95">
        <v>0</v>
      </c>
      <c r="G594" s="95">
        <v>0</v>
      </c>
      <c r="H594" s="95">
        <v>0</v>
      </c>
    </row>
    <row r="595" spans="1:8" ht="19.8" customHeight="1" x14ac:dyDescent="0.3">
      <c r="A595" s="98">
        <f t="shared" si="9"/>
        <v>7</v>
      </c>
      <c r="B595" s="92" t="s">
        <v>2095</v>
      </c>
      <c r="C595" s="92" t="s">
        <v>2096</v>
      </c>
      <c r="D595" s="95">
        <v>1161677.27</v>
      </c>
      <c r="E595" s="95">
        <v>1161677.27</v>
      </c>
      <c r="F595" s="95">
        <v>0</v>
      </c>
      <c r="G595" s="95">
        <v>0</v>
      </c>
      <c r="H595" s="95">
        <v>0</v>
      </c>
    </row>
    <row r="596" spans="1:8" ht="19.8" customHeight="1" x14ac:dyDescent="0.3">
      <c r="A596" s="98">
        <f t="shared" si="9"/>
        <v>11</v>
      </c>
      <c r="B596" s="92" t="s">
        <v>2097</v>
      </c>
      <c r="C596" s="92" t="s">
        <v>2098</v>
      </c>
      <c r="D596" s="95">
        <v>225349.19</v>
      </c>
      <c r="E596" s="95">
        <v>225349.19</v>
      </c>
      <c r="F596" s="95">
        <v>0</v>
      </c>
      <c r="G596" s="95">
        <v>0</v>
      </c>
      <c r="H596" s="95">
        <v>0</v>
      </c>
    </row>
    <row r="597" spans="1:8" ht="19.8" customHeight="1" x14ac:dyDescent="0.3">
      <c r="A597" s="98">
        <f t="shared" si="9"/>
        <v>11</v>
      </c>
      <c r="B597" s="92" t="s">
        <v>2099</v>
      </c>
      <c r="C597" s="92" t="s">
        <v>2100</v>
      </c>
      <c r="D597" s="95">
        <v>358956.77</v>
      </c>
      <c r="E597" s="95">
        <v>358956.77</v>
      </c>
      <c r="F597" s="95">
        <v>0</v>
      </c>
      <c r="G597" s="95">
        <v>0</v>
      </c>
      <c r="H597" s="95">
        <v>0</v>
      </c>
    </row>
    <row r="598" spans="1:8" ht="19.8" customHeight="1" x14ac:dyDescent="0.3">
      <c r="A598" s="98">
        <f t="shared" si="9"/>
        <v>11</v>
      </c>
      <c r="B598" s="92" t="s">
        <v>2101</v>
      </c>
      <c r="C598" s="92" t="s">
        <v>2102</v>
      </c>
      <c r="D598" s="95">
        <v>241467.16</v>
      </c>
      <c r="E598" s="95">
        <v>241467.16</v>
      </c>
      <c r="F598" s="95">
        <v>0</v>
      </c>
      <c r="G598" s="95">
        <v>0</v>
      </c>
      <c r="H598" s="95">
        <v>0</v>
      </c>
    </row>
    <row r="599" spans="1:8" ht="19.8" customHeight="1" x14ac:dyDescent="0.3">
      <c r="A599" s="98">
        <f t="shared" si="9"/>
        <v>11</v>
      </c>
      <c r="B599" s="92" t="s">
        <v>2103</v>
      </c>
      <c r="C599" s="92" t="s">
        <v>2104</v>
      </c>
      <c r="D599" s="95">
        <v>117947.22</v>
      </c>
      <c r="E599" s="95">
        <v>117947.22</v>
      </c>
      <c r="F599" s="95">
        <v>0</v>
      </c>
      <c r="G599" s="95">
        <v>0</v>
      </c>
      <c r="H599" s="95">
        <v>0</v>
      </c>
    </row>
    <row r="600" spans="1:8" ht="19.8" customHeight="1" x14ac:dyDescent="0.3">
      <c r="A600" s="98">
        <f t="shared" si="9"/>
        <v>11</v>
      </c>
      <c r="B600" s="92" t="s">
        <v>2105</v>
      </c>
      <c r="C600" s="92" t="s">
        <v>2106</v>
      </c>
      <c r="D600" s="95">
        <v>216970.81</v>
      </c>
      <c r="E600" s="95">
        <v>216970.81</v>
      </c>
      <c r="F600" s="95">
        <v>0</v>
      </c>
      <c r="G600" s="95">
        <v>0</v>
      </c>
      <c r="H600" s="95">
        <v>0</v>
      </c>
    </row>
    <row r="601" spans="1:8" ht="19.8" customHeight="1" x14ac:dyDescent="0.3">
      <c r="A601" s="98">
        <f t="shared" si="9"/>
        <v>11</v>
      </c>
      <c r="B601" s="92" t="s">
        <v>2107</v>
      </c>
      <c r="C601" s="92" t="s">
        <v>2108</v>
      </c>
      <c r="D601" s="95">
        <v>986.12</v>
      </c>
      <c r="E601" s="95">
        <v>986.12</v>
      </c>
      <c r="F601" s="95">
        <v>0</v>
      </c>
      <c r="G601" s="95">
        <v>0</v>
      </c>
      <c r="H601" s="95">
        <v>0</v>
      </c>
    </row>
    <row r="602" spans="1:8" ht="19.8" customHeight="1" x14ac:dyDescent="0.3">
      <c r="A602" s="98">
        <f t="shared" si="9"/>
        <v>7</v>
      </c>
      <c r="B602" s="92" t="s">
        <v>2109</v>
      </c>
      <c r="C602" s="92" t="s">
        <v>2110</v>
      </c>
      <c r="D602" s="95">
        <v>2222477.64</v>
      </c>
      <c r="E602" s="95">
        <v>2222477.64</v>
      </c>
      <c r="F602" s="95">
        <v>0</v>
      </c>
      <c r="G602" s="95">
        <v>0</v>
      </c>
      <c r="H602" s="95">
        <v>0</v>
      </c>
    </row>
    <row r="603" spans="1:8" ht="19.8" customHeight="1" x14ac:dyDescent="0.3">
      <c r="A603" s="98">
        <f t="shared" si="9"/>
        <v>11</v>
      </c>
      <c r="B603" s="92" t="s">
        <v>2111</v>
      </c>
      <c r="C603" s="92" t="s">
        <v>2112</v>
      </c>
      <c r="D603" s="95">
        <v>746705.53</v>
      </c>
      <c r="E603" s="95">
        <v>746705.53</v>
      </c>
      <c r="F603" s="95">
        <v>0</v>
      </c>
      <c r="G603" s="95">
        <v>0</v>
      </c>
      <c r="H603" s="95">
        <v>0</v>
      </c>
    </row>
    <row r="604" spans="1:8" ht="19.8" customHeight="1" x14ac:dyDescent="0.3">
      <c r="A604" s="98">
        <f t="shared" si="9"/>
        <v>11</v>
      </c>
      <c r="B604" s="92" t="s">
        <v>2113</v>
      </c>
      <c r="C604" s="92" t="s">
        <v>2114</v>
      </c>
      <c r="D604" s="95">
        <v>731068.13</v>
      </c>
      <c r="E604" s="95">
        <v>731068.13</v>
      </c>
      <c r="F604" s="95">
        <v>0</v>
      </c>
      <c r="G604" s="95">
        <v>0</v>
      </c>
      <c r="H604" s="95">
        <v>0</v>
      </c>
    </row>
    <row r="605" spans="1:8" ht="19.8" customHeight="1" x14ac:dyDescent="0.3">
      <c r="A605" s="98">
        <f t="shared" si="9"/>
        <v>11</v>
      </c>
      <c r="B605" s="92" t="s">
        <v>2115</v>
      </c>
      <c r="C605" s="92" t="s">
        <v>2116</v>
      </c>
      <c r="D605" s="95">
        <v>340646.16</v>
      </c>
      <c r="E605" s="95">
        <v>340646.16</v>
      </c>
      <c r="F605" s="95">
        <v>0</v>
      </c>
      <c r="G605" s="95">
        <v>0</v>
      </c>
      <c r="H605" s="95">
        <v>0</v>
      </c>
    </row>
    <row r="606" spans="1:8" ht="19.8" customHeight="1" x14ac:dyDescent="0.3">
      <c r="A606" s="98">
        <f t="shared" si="9"/>
        <v>11</v>
      </c>
      <c r="B606" s="92" t="s">
        <v>2117</v>
      </c>
      <c r="C606" s="92" t="s">
        <v>2118</v>
      </c>
      <c r="D606" s="95">
        <v>172878.63</v>
      </c>
      <c r="E606" s="95">
        <v>172878.63</v>
      </c>
      <c r="F606" s="95">
        <v>0</v>
      </c>
      <c r="G606" s="95">
        <v>0</v>
      </c>
      <c r="H606" s="95">
        <v>0</v>
      </c>
    </row>
    <row r="607" spans="1:8" ht="19.8" customHeight="1" x14ac:dyDescent="0.3">
      <c r="A607" s="98">
        <f t="shared" si="9"/>
        <v>11</v>
      </c>
      <c r="B607" s="92" t="s">
        <v>2119</v>
      </c>
      <c r="C607" s="92" t="s">
        <v>2120</v>
      </c>
      <c r="D607" s="95">
        <v>219815.28</v>
      </c>
      <c r="E607" s="95">
        <v>219815.28</v>
      </c>
      <c r="F607" s="95">
        <v>0</v>
      </c>
      <c r="G607" s="95">
        <v>0</v>
      </c>
      <c r="H607" s="95">
        <v>0</v>
      </c>
    </row>
    <row r="608" spans="1:8" ht="19.8" customHeight="1" x14ac:dyDescent="0.3">
      <c r="A608" s="98">
        <f t="shared" si="9"/>
        <v>11</v>
      </c>
      <c r="B608" s="92" t="s">
        <v>2121</v>
      </c>
      <c r="C608" s="92" t="s">
        <v>2122</v>
      </c>
      <c r="D608" s="95">
        <v>11363.91</v>
      </c>
      <c r="E608" s="95">
        <v>11363.91</v>
      </c>
      <c r="F608" s="95">
        <v>0</v>
      </c>
      <c r="G608" s="95">
        <v>0</v>
      </c>
      <c r="H608" s="95">
        <v>0</v>
      </c>
    </row>
    <row r="609" spans="1:8" ht="19.8" customHeight="1" x14ac:dyDescent="0.3">
      <c r="A609" s="98">
        <f t="shared" si="9"/>
        <v>7</v>
      </c>
      <c r="B609" s="92" t="s">
        <v>2123</v>
      </c>
      <c r="C609" s="92" t="s">
        <v>2124</v>
      </c>
      <c r="D609" s="95">
        <v>711777.7</v>
      </c>
      <c r="E609" s="95">
        <v>711777.7</v>
      </c>
      <c r="F609" s="95">
        <v>0</v>
      </c>
      <c r="G609" s="95">
        <v>0</v>
      </c>
      <c r="H609" s="95">
        <v>0</v>
      </c>
    </row>
    <row r="610" spans="1:8" ht="19.8" customHeight="1" x14ac:dyDescent="0.3">
      <c r="A610" s="98">
        <f t="shared" si="9"/>
        <v>11</v>
      </c>
      <c r="B610" s="92" t="s">
        <v>2125</v>
      </c>
      <c r="C610" s="92" t="s">
        <v>2126</v>
      </c>
      <c r="D610" s="95">
        <v>199081.17</v>
      </c>
      <c r="E610" s="95">
        <v>199081.17</v>
      </c>
      <c r="F610" s="95">
        <v>0</v>
      </c>
      <c r="G610" s="95">
        <v>0</v>
      </c>
      <c r="H610" s="95">
        <v>0</v>
      </c>
    </row>
    <row r="611" spans="1:8" ht="19.8" customHeight="1" x14ac:dyDescent="0.3">
      <c r="A611" s="98">
        <f t="shared" si="9"/>
        <v>11</v>
      </c>
      <c r="B611" s="92" t="s">
        <v>2127</v>
      </c>
      <c r="C611" s="92" t="s">
        <v>2128</v>
      </c>
      <c r="D611" s="95">
        <v>148422.98000000001</v>
      </c>
      <c r="E611" s="95">
        <v>148422.98000000001</v>
      </c>
      <c r="F611" s="95">
        <v>0</v>
      </c>
      <c r="G611" s="95">
        <v>0</v>
      </c>
      <c r="H611" s="95">
        <v>0</v>
      </c>
    </row>
    <row r="612" spans="1:8" ht="19.8" customHeight="1" x14ac:dyDescent="0.3">
      <c r="A612" s="98">
        <f t="shared" si="9"/>
        <v>11</v>
      </c>
      <c r="B612" s="92" t="s">
        <v>2129</v>
      </c>
      <c r="C612" s="92" t="s">
        <v>2130</v>
      </c>
      <c r="D612" s="95">
        <v>191483.11</v>
      </c>
      <c r="E612" s="95">
        <v>191483.11</v>
      </c>
      <c r="F612" s="95">
        <v>0</v>
      </c>
      <c r="G612" s="95">
        <v>0</v>
      </c>
      <c r="H612" s="95">
        <v>0</v>
      </c>
    </row>
    <row r="613" spans="1:8" ht="19.8" customHeight="1" x14ac:dyDescent="0.3">
      <c r="A613" s="98">
        <f t="shared" si="9"/>
        <v>11</v>
      </c>
      <c r="B613" s="92" t="s">
        <v>2131</v>
      </c>
      <c r="C613" s="92" t="s">
        <v>2132</v>
      </c>
      <c r="D613" s="95">
        <v>82076.09</v>
      </c>
      <c r="E613" s="95">
        <v>82076.09</v>
      </c>
      <c r="F613" s="95">
        <v>0</v>
      </c>
      <c r="G613" s="95">
        <v>0</v>
      </c>
      <c r="H613" s="95">
        <v>0</v>
      </c>
    </row>
    <row r="614" spans="1:8" ht="19.8" customHeight="1" x14ac:dyDescent="0.3">
      <c r="A614" s="98">
        <f t="shared" si="9"/>
        <v>11</v>
      </c>
      <c r="B614" s="92" t="s">
        <v>2133</v>
      </c>
      <c r="C614" s="92" t="s">
        <v>2134</v>
      </c>
      <c r="D614" s="95">
        <v>90714.35</v>
      </c>
      <c r="E614" s="95">
        <v>90714.35</v>
      </c>
      <c r="F614" s="95">
        <v>0</v>
      </c>
      <c r="G614" s="95">
        <v>0</v>
      </c>
      <c r="H614" s="95">
        <v>0</v>
      </c>
    </row>
    <row r="615" spans="1:8" ht="19.8" customHeight="1" x14ac:dyDescent="0.3">
      <c r="A615" s="98">
        <f t="shared" si="9"/>
        <v>7</v>
      </c>
      <c r="B615" s="92" t="s">
        <v>2135</v>
      </c>
      <c r="C615" s="92" t="s">
        <v>2136</v>
      </c>
      <c r="D615" s="95">
        <v>1802521.18</v>
      </c>
      <c r="E615" s="95">
        <v>1802521.18</v>
      </c>
      <c r="F615" s="95">
        <v>0</v>
      </c>
      <c r="G615" s="95">
        <v>0</v>
      </c>
      <c r="H615" s="95">
        <v>0</v>
      </c>
    </row>
    <row r="616" spans="1:8" ht="19.8" customHeight="1" x14ac:dyDescent="0.3">
      <c r="A616" s="98">
        <f t="shared" si="9"/>
        <v>11</v>
      </c>
      <c r="B616" s="92" t="s">
        <v>2137</v>
      </c>
      <c r="C616" s="92" t="s">
        <v>2138</v>
      </c>
      <c r="D616" s="95">
        <v>441243.52</v>
      </c>
      <c r="E616" s="95">
        <v>441243.52</v>
      </c>
      <c r="F616" s="95">
        <v>0</v>
      </c>
      <c r="G616" s="95">
        <v>0</v>
      </c>
      <c r="H616" s="95">
        <v>0</v>
      </c>
    </row>
    <row r="617" spans="1:8" ht="19.8" customHeight="1" x14ac:dyDescent="0.3">
      <c r="A617" s="98">
        <f t="shared" si="9"/>
        <v>11</v>
      </c>
      <c r="B617" s="92" t="s">
        <v>2139</v>
      </c>
      <c r="C617" s="92" t="s">
        <v>2140</v>
      </c>
      <c r="D617" s="95">
        <v>228454.83</v>
      </c>
      <c r="E617" s="95">
        <v>228454.83</v>
      </c>
      <c r="F617" s="95">
        <v>0</v>
      </c>
      <c r="G617" s="95">
        <v>0</v>
      </c>
      <c r="H617" s="95">
        <v>0</v>
      </c>
    </row>
    <row r="618" spans="1:8" ht="19.8" customHeight="1" x14ac:dyDescent="0.3">
      <c r="A618" s="98">
        <f t="shared" si="9"/>
        <v>11</v>
      </c>
      <c r="B618" s="92" t="s">
        <v>2141</v>
      </c>
      <c r="C618" s="92" t="s">
        <v>2142</v>
      </c>
      <c r="D618" s="95">
        <v>551071.23</v>
      </c>
      <c r="E618" s="95">
        <v>551071.23</v>
      </c>
      <c r="F618" s="95">
        <v>0</v>
      </c>
      <c r="G618" s="95">
        <v>0</v>
      </c>
      <c r="H618" s="95">
        <v>0</v>
      </c>
    </row>
    <row r="619" spans="1:8" ht="19.8" customHeight="1" x14ac:dyDescent="0.3">
      <c r="A619" s="98">
        <f t="shared" si="9"/>
        <v>11</v>
      </c>
      <c r="B619" s="92" t="s">
        <v>2143</v>
      </c>
      <c r="C619" s="92" t="s">
        <v>2144</v>
      </c>
      <c r="D619" s="95">
        <v>341191.67</v>
      </c>
      <c r="E619" s="95">
        <v>341191.67</v>
      </c>
      <c r="F619" s="95">
        <v>0</v>
      </c>
      <c r="G619" s="95">
        <v>0</v>
      </c>
      <c r="H619" s="95">
        <v>0</v>
      </c>
    </row>
    <row r="620" spans="1:8" ht="19.8" customHeight="1" x14ac:dyDescent="0.3">
      <c r="A620" s="98">
        <f t="shared" si="9"/>
        <v>11</v>
      </c>
      <c r="B620" s="92" t="s">
        <v>2145</v>
      </c>
      <c r="C620" s="92" t="s">
        <v>2146</v>
      </c>
      <c r="D620" s="95">
        <v>240559.93</v>
      </c>
      <c r="E620" s="95">
        <v>240559.93</v>
      </c>
      <c r="F620" s="95">
        <v>0</v>
      </c>
      <c r="G620" s="95">
        <v>0</v>
      </c>
      <c r="H620" s="95">
        <v>0</v>
      </c>
    </row>
    <row r="621" spans="1:8" ht="19.8" customHeight="1" x14ac:dyDescent="0.3">
      <c r="A621" s="98">
        <f t="shared" si="9"/>
        <v>7</v>
      </c>
      <c r="B621" s="92" t="s">
        <v>2147</v>
      </c>
      <c r="C621" s="92" t="s">
        <v>2148</v>
      </c>
      <c r="D621" s="95">
        <v>333905.63</v>
      </c>
      <c r="E621" s="95">
        <v>333905.63</v>
      </c>
      <c r="F621" s="95">
        <v>0</v>
      </c>
      <c r="G621" s="95">
        <v>0</v>
      </c>
      <c r="H621" s="95">
        <v>0</v>
      </c>
    </row>
    <row r="622" spans="1:8" ht="19.8" customHeight="1" x14ac:dyDescent="0.3">
      <c r="A622" s="98">
        <f t="shared" si="9"/>
        <v>11</v>
      </c>
      <c r="B622" s="92" t="s">
        <v>2149</v>
      </c>
      <c r="C622" s="92" t="s">
        <v>2150</v>
      </c>
      <c r="D622" s="95">
        <v>85903.91</v>
      </c>
      <c r="E622" s="95">
        <v>85903.91</v>
      </c>
      <c r="F622" s="95">
        <v>0</v>
      </c>
      <c r="G622" s="95">
        <v>0</v>
      </c>
      <c r="H622" s="95">
        <v>0</v>
      </c>
    </row>
    <row r="623" spans="1:8" ht="19.8" customHeight="1" x14ac:dyDescent="0.3">
      <c r="A623" s="98">
        <f t="shared" si="9"/>
        <v>11</v>
      </c>
      <c r="B623" s="92" t="s">
        <v>2151</v>
      </c>
      <c r="C623" s="92" t="s">
        <v>2152</v>
      </c>
      <c r="D623" s="95">
        <v>45601.39</v>
      </c>
      <c r="E623" s="95">
        <v>45601.39</v>
      </c>
      <c r="F623" s="95">
        <v>0</v>
      </c>
      <c r="G623" s="95">
        <v>0</v>
      </c>
      <c r="H623" s="95">
        <v>0</v>
      </c>
    </row>
    <row r="624" spans="1:8" ht="19.8" customHeight="1" x14ac:dyDescent="0.3">
      <c r="A624" s="98">
        <f t="shared" si="9"/>
        <v>11</v>
      </c>
      <c r="B624" s="92" t="s">
        <v>2153</v>
      </c>
      <c r="C624" s="92" t="s">
        <v>2154</v>
      </c>
      <c r="D624" s="95">
        <v>162396.63</v>
      </c>
      <c r="E624" s="95">
        <v>162396.63</v>
      </c>
      <c r="F624" s="95">
        <v>0</v>
      </c>
      <c r="G624" s="95">
        <v>0</v>
      </c>
      <c r="H624" s="95">
        <v>0</v>
      </c>
    </row>
    <row r="625" spans="1:8" ht="19.8" customHeight="1" x14ac:dyDescent="0.3">
      <c r="A625" s="98">
        <f t="shared" si="9"/>
        <v>11</v>
      </c>
      <c r="B625" s="92" t="s">
        <v>2155</v>
      </c>
      <c r="C625" s="92" t="s">
        <v>2156</v>
      </c>
      <c r="D625" s="95">
        <v>20210.189999999999</v>
      </c>
      <c r="E625" s="95">
        <v>20210.189999999999</v>
      </c>
      <c r="F625" s="95">
        <v>0</v>
      </c>
      <c r="G625" s="95">
        <v>0</v>
      </c>
      <c r="H625" s="95">
        <v>0</v>
      </c>
    </row>
    <row r="626" spans="1:8" ht="19.8" customHeight="1" x14ac:dyDescent="0.3">
      <c r="A626" s="98">
        <f t="shared" si="9"/>
        <v>11</v>
      </c>
      <c r="B626" s="92" t="s">
        <v>2157</v>
      </c>
      <c r="C626" s="92" t="s">
        <v>2158</v>
      </c>
      <c r="D626" s="95">
        <v>16992.580000000002</v>
      </c>
      <c r="E626" s="95">
        <v>16992.580000000002</v>
      </c>
      <c r="F626" s="95">
        <v>0</v>
      </c>
      <c r="G626" s="95">
        <v>0</v>
      </c>
      <c r="H626" s="95">
        <v>0</v>
      </c>
    </row>
    <row r="627" spans="1:8" ht="19.8" customHeight="1" x14ac:dyDescent="0.3">
      <c r="A627" s="98">
        <f t="shared" si="9"/>
        <v>11</v>
      </c>
      <c r="B627" s="92" t="s">
        <v>2159</v>
      </c>
      <c r="C627" s="92" t="s">
        <v>2160</v>
      </c>
      <c r="D627" s="95">
        <v>2800.93</v>
      </c>
      <c r="E627" s="95">
        <v>2800.93</v>
      </c>
      <c r="F627" s="95">
        <v>0</v>
      </c>
      <c r="G627" s="95">
        <v>0</v>
      </c>
      <c r="H627" s="95">
        <v>0</v>
      </c>
    </row>
    <row r="628" spans="1:8" ht="19.8" customHeight="1" x14ac:dyDescent="0.3">
      <c r="A628" s="98">
        <f t="shared" si="9"/>
        <v>7</v>
      </c>
      <c r="B628" s="92" t="s">
        <v>2161</v>
      </c>
      <c r="C628" s="92" t="s">
        <v>2162</v>
      </c>
      <c r="D628" s="95">
        <v>61921.34</v>
      </c>
      <c r="E628" s="95">
        <v>61921.34</v>
      </c>
      <c r="F628" s="95">
        <v>0</v>
      </c>
      <c r="G628" s="95">
        <v>0</v>
      </c>
      <c r="H628" s="95">
        <v>0</v>
      </c>
    </row>
    <row r="629" spans="1:8" ht="19.8" customHeight="1" x14ac:dyDescent="0.3">
      <c r="A629" s="98">
        <f t="shared" si="9"/>
        <v>11</v>
      </c>
      <c r="B629" s="92" t="s">
        <v>2163</v>
      </c>
      <c r="C629" s="92" t="s">
        <v>2164</v>
      </c>
      <c r="D629" s="95">
        <v>19412.97</v>
      </c>
      <c r="E629" s="95">
        <v>19412.97</v>
      </c>
      <c r="F629" s="95">
        <v>0</v>
      </c>
      <c r="G629" s="95">
        <v>0</v>
      </c>
      <c r="H629" s="95">
        <v>0</v>
      </c>
    </row>
    <row r="630" spans="1:8" ht="19.8" customHeight="1" x14ac:dyDescent="0.3">
      <c r="A630" s="98">
        <f t="shared" si="9"/>
        <v>11</v>
      </c>
      <c r="B630" s="92" t="s">
        <v>2165</v>
      </c>
      <c r="C630" s="92" t="s">
        <v>2166</v>
      </c>
      <c r="D630" s="95">
        <v>12589.81</v>
      </c>
      <c r="E630" s="95">
        <v>12589.81</v>
      </c>
      <c r="F630" s="95">
        <v>0</v>
      </c>
      <c r="G630" s="95">
        <v>0</v>
      </c>
      <c r="H630" s="95">
        <v>0</v>
      </c>
    </row>
    <row r="631" spans="1:8" ht="19.8" customHeight="1" x14ac:dyDescent="0.3">
      <c r="A631" s="98">
        <f t="shared" si="9"/>
        <v>11</v>
      </c>
      <c r="B631" s="92" t="s">
        <v>2167</v>
      </c>
      <c r="C631" s="92" t="s">
        <v>2168</v>
      </c>
      <c r="D631" s="95">
        <v>19475.03</v>
      </c>
      <c r="E631" s="95">
        <v>19475.03</v>
      </c>
      <c r="F631" s="95">
        <v>0</v>
      </c>
      <c r="G631" s="95">
        <v>0</v>
      </c>
      <c r="H631" s="95">
        <v>0</v>
      </c>
    </row>
    <row r="632" spans="1:8" ht="19.8" customHeight="1" x14ac:dyDescent="0.3">
      <c r="A632" s="98">
        <f t="shared" si="9"/>
        <v>11</v>
      </c>
      <c r="B632" s="92" t="s">
        <v>2169</v>
      </c>
      <c r="C632" s="92" t="s">
        <v>2170</v>
      </c>
      <c r="D632" s="95">
        <v>3486.11</v>
      </c>
      <c r="E632" s="95">
        <v>3486.11</v>
      </c>
      <c r="F632" s="95">
        <v>0</v>
      </c>
      <c r="G632" s="95">
        <v>0</v>
      </c>
      <c r="H632" s="95">
        <v>0</v>
      </c>
    </row>
    <row r="633" spans="1:8" ht="19.8" customHeight="1" x14ac:dyDescent="0.3">
      <c r="A633" s="98">
        <f t="shared" si="9"/>
        <v>11</v>
      </c>
      <c r="B633" s="92" t="s">
        <v>2171</v>
      </c>
      <c r="C633" s="92" t="s">
        <v>2172</v>
      </c>
      <c r="D633" s="95">
        <v>6957.42</v>
      </c>
      <c r="E633" s="95">
        <v>6957.42</v>
      </c>
      <c r="F633" s="95">
        <v>0</v>
      </c>
      <c r="G633" s="95">
        <v>0</v>
      </c>
      <c r="H633" s="95">
        <v>0</v>
      </c>
    </row>
    <row r="634" spans="1:8" ht="19.8" customHeight="1" x14ac:dyDescent="0.3">
      <c r="A634" s="98">
        <f t="shared" si="9"/>
        <v>3</v>
      </c>
      <c r="B634" s="92" t="s">
        <v>188</v>
      </c>
      <c r="C634" s="92" t="s">
        <v>383</v>
      </c>
      <c r="D634" s="95">
        <v>229001038.46000001</v>
      </c>
      <c r="E634" s="95">
        <v>229001038.46000001</v>
      </c>
      <c r="F634" s="95">
        <v>0</v>
      </c>
      <c r="G634" s="95">
        <v>0</v>
      </c>
      <c r="H634" s="95">
        <v>0</v>
      </c>
    </row>
    <row r="635" spans="1:8" ht="19.8" customHeight="1" x14ac:dyDescent="0.3">
      <c r="A635" s="98">
        <f t="shared" si="9"/>
        <v>7</v>
      </c>
      <c r="B635" s="92" t="s">
        <v>2173</v>
      </c>
      <c r="C635" s="92" t="s">
        <v>2174</v>
      </c>
      <c r="D635" s="95">
        <v>219285277.19</v>
      </c>
      <c r="E635" s="95">
        <v>219285277.19</v>
      </c>
      <c r="F635" s="95">
        <v>0</v>
      </c>
      <c r="G635" s="95">
        <v>0</v>
      </c>
      <c r="H635" s="95">
        <v>0</v>
      </c>
    </row>
    <row r="636" spans="1:8" ht="19.8" customHeight="1" x14ac:dyDescent="0.3">
      <c r="A636" s="98">
        <f t="shared" si="9"/>
        <v>11</v>
      </c>
      <c r="B636" s="92" t="s">
        <v>2175</v>
      </c>
      <c r="C636" s="92" t="s">
        <v>2176</v>
      </c>
      <c r="D636" s="95">
        <v>9225530.1799999997</v>
      </c>
      <c r="E636" s="95">
        <v>9225530.1799999997</v>
      </c>
      <c r="F636" s="95">
        <v>0</v>
      </c>
      <c r="G636" s="95">
        <v>0</v>
      </c>
      <c r="H636" s="95">
        <v>0</v>
      </c>
    </row>
    <row r="637" spans="1:8" ht="19.8" customHeight="1" x14ac:dyDescent="0.3">
      <c r="A637" s="98">
        <f t="shared" si="9"/>
        <v>11</v>
      </c>
      <c r="B637" s="92" t="s">
        <v>2177</v>
      </c>
      <c r="C637" s="92" t="s">
        <v>2178</v>
      </c>
      <c r="D637" s="95">
        <v>7457327.9199999999</v>
      </c>
      <c r="E637" s="95">
        <v>7457327.9199999999</v>
      </c>
      <c r="F637" s="95">
        <v>0</v>
      </c>
      <c r="G637" s="95">
        <v>0</v>
      </c>
      <c r="H637" s="95">
        <v>0</v>
      </c>
    </row>
    <row r="638" spans="1:8" ht="19.8" customHeight="1" x14ac:dyDescent="0.3">
      <c r="A638" s="98">
        <f t="shared" si="9"/>
        <v>11</v>
      </c>
      <c r="B638" s="92" t="s">
        <v>2179</v>
      </c>
      <c r="C638" s="92" t="s">
        <v>2180</v>
      </c>
      <c r="D638" s="95">
        <v>202602419.09</v>
      </c>
      <c r="E638" s="95">
        <v>202602419.09</v>
      </c>
      <c r="F638" s="95">
        <v>0</v>
      </c>
      <c r="G638" s="95">
        <v>0</v>
      </c>
      <c r="H638" s="95">
        <v>0</v>
      </c>
    </row>
    <row r="639" spans="1:8" ht="19.8" customHeight="1" x14ac:dyDescent="0.3">
      <c r="A639" s="98">
        <f t="shared" si="9"/>
        <v>7</v>
      </c>
      <c r="B639" s="92" t="s">
        <v>2181</v>
      </c>
      <c r="C639" s="92" t="s">
        <v>2182</v>
      </c>
      <c r="D639" s="95">
        <v>378547.94</v>
      </c>
      <c r="E639" s="95">
        <v>378547.94</v>
      </c>
      <c r="F639" s="95">
        <v>0</v>
      </c>
      <c r="G639" s="95">
        <v>0</v>
      </c>
      <c r="H639" s="95">
        <v>0</v>
      </c>
    </row>
    <row r="640" spans="1:8" ht="19.8" customHeight="1" x14ac:dyDescent="0.3">
      <c r="A640" s="98">
        <f t="shared" si="9"/>
        <v>11</v>
      </c>
      <c r="B640" s="92" t="s">
        <v>2183</v>
      </c>
      <c r="C640" s="92" t="s">
        <v>2184</v>
      </c>
      <c r="D640" s="95">
        <v>5731.09</v>
      </c>
      <c r="E640" s="95">
        <v>5731.09</v>
      </c>
      <c r="F640" s="95">
        <v>0</v>
      </c>
      <c r="G640" s="95">
        <v>0</v>
      </c>
      <c r="H640" s="95">
        <v>0</v>
      </c>
    </row>
    <row r="641" spans="1:10" ht="19.8" customHeight="1" x14ac:dyDescent="0.3">
      <c r="A641" s="98">
        <f t="shared" si="9"/>
        <v>11</v>
      </c>
      <c r="B641" s="92" t="s">
        <v>2185</v>
      </c>
      <c r="C641" s="92" t="s">
        <v>2186</v>
      </c>
      <c r="D641" s="95">
        <v>309521.28999999998</v>
      </c>
      <c r="E641" s="95">
        <v>309521.28999999998</v>
      </c>
      <c r="F641" s="95">
        <v>0</v>
      </c>
      <c r="G641" s="95">
        <v>0</v>
      </c>
      <c r="H641" s="95">
        <v>0</v>
      </c>
    </row>
    <row r="642" spans="1:10" ht="19.8" customHeight="1" x14ac:dyDescent="0.3">
      <c r="A642" s="98">
        <f t="shared" si="9"/>
        <v>11</v>
      </c>
      <c r="B642" s="92" t="s">
        <v>2187</v>
      </c>
      <c r="C642" s="92" t="s">
        <v>2188</v>
      </c>
      <c r="D642" s="95">
        <v>63295.56</v>
      </c>
      <c r="E642" s="95">
        <v>63295.56</v>
      </c>
      <c r="F642" s="95">
        <v>0</v>
      </c>
      <c r="G642" s="95">
        <v>0</v>
      </c>
      <c r="H642" s="95">
        <v>0</v>
      </c>
    </row>
    <row r="643" spans="1:10" ht="19.8" customHeight="1" x14ac:dyDescent="0.3">
      <c r="A643" s="98">
        <f t="shared" ref="A643:A706" si="10">+LEN(B643)</f>
        <v>7</v>
      </c>
      <c r="B643" s="92" t="s">
        <v>2189</v>
      </c>
      <c r="C643" s="92" t="s">
        <v>2190</v>
      </c>
      <c r="D643" s="95">
        <v>5119.5600000000004</v>
      </c>
      <c r="E643" s="95">
        <v>5119.5600000000004</v>
      </c>
      <c r="F643" s="95">
        <v>0</v>
      </c>
      <c r="G643" s="95">
        <v>0</v>
      </c>
      <c r="H643" s="95">
        <v>0</v>
      </c>
    </row>
    <row r="644" spans="1:10" ht="19.8" customHeight="1" x14ac:dyDescent="0.3">
      <c r="A644" s="98">
        <f t="shared" si="10"/>
        <v>11</v>
      </c>
      <c r="B644" s="92" t="s">
        <v>2191</v>
      </c>
      <c r="C644" s="92" t="s">
        <v>2192</v>
      </c>
      <c r="D644" s="95">
        <v>3859.56</v>
      </c>
      <c r="E644" s="95">
        <v>3859.56</v>
      </c>
      <c r="F644" s="95">
        <v>0</v>
      </c>
      <c r="G644" s="95">
        <v>0</v>
      </c>
      <c r="H644" s="95">
        <v>0</v>
      </c>
    </row>
    <row r="645" spans="1:10" ht="19.8" customHeight="1" x14ac:dyDescent="0.3">
      <c r="A645" s="98">
        <f t="shared" si="10"/>
        <v>11</v>
      </c>
      <c r="B645" s="92" t="s">
        <v>2193</v>
      </c>
      <c r="C645" s="92" t="s">
        <v>2194</v>
      </c>
      <c r="D645" s="95">
        <v>1260</v>
      </c>
      <c r="E645" s="95">
        <v>1260</v>
      </c>
      <c r="F645" s="95">
        <v>0</v>
      </c>
      <c r="G645" s="95">
        <v>0</v>
      </c>
      <c r="H645" s="95">
        <v>0</v>
      </c>
    </row>
    <row r="646" spans="1:10" ht="19.8" customHeight="1" x14ac:dyDescent="0.3">
      <c r="A646" s="98">
        <f t="shared" si="10"/>
        <v>7</v>
      </c>
      <c r="B646" s="92" t="s">
        <v>2195</v>
      </c>
      <c r="C646" s="92" t="s">
        <v>2196</v>
      </c>
      <c r="D646" s="95">
        <v>9332093.7699999996</v>
      </c>
      <c r="E646" s="95">
        <v>9332093.7699999996</v>
      </c>
      <c r="F646" s="95">
        <v>0</v>
      </c>
      <c r="G646" s="95">
        <v>0</v>
      </c>
      <c r="H646" s="95">
        <v>0</v>
      </c>
    </row>
    <row r="647" spans="1:10" ht="19.8" customHeight="1" x14ac:dyDescent="0.3">
      <c r="A647" s="98">
        <f t="shared" si="10"/>
        <v>11</v>
      </c>
      <c r="B647" s="92" t="s">
        <v>2197</v>
      </c>
      <c r="C647" s="92" t="s">
        <v>2196</v>
      </c>
      <c r="D647" s="95">
        <v>9332093.7699999996</v>
      </c>
      <c r="E647" s="95">
        <v>9332093.7699999996</v>
      </c>
      <c r="F647" s="95">
        <v>0</v>
      </c>
      <c r="G647" s="95">
        <v>0</v>
      </c>
      <c r="H647" s="95">
        <v>0</v>
      </c>
    </row>
    <row r="648" spans="1:10" ht="19.8" customHeight="1" x14ac:dyDescent="0.3">
      <c r="A648" s="98">
        <f t="shared" si="10"/>
        <v>3</v>
      </c>
      <c r="B648" s="92" t="s">
        <v>189</v>
      </c>
      <c r="C648" s="92" t="s">
        <v>319</v>
      </c>
      <c r="D648" s="95">
        <v>51854624.670000002</v>
      </c>
      <c r="E648" s="95">
        <v>1221.58</v>
      </c>
      <c r="F648" s="95">
        <v>51853403.090000004</v>
      </c>
      <c r="G648" s="95">
        <v>0</v>
      </c>
      <c r="H648" s="95">
        <v>51853403.090000004</v>
      </c>
    </row>
    <row r="649" spans="1:10" ht="19.8" customHeight="1" x14ac:dyDescent="0.3">
      <c r="A649" s="98">
        <f t="shared" si="10"/>
        <v>7</v>
      </c>
      <c r="B649" s="92" t="s">
        <v>2198</v>
      </c>
      <c r="C649" s="92" t="s">
        <v>2199</v>
      </c>
      <c r="D649" s="95">
        <v>50766027.240000002</v>
      </c>
      <c r="E649" s="95">
        <v>0</v>
      </c>
      <c r="F649" s="95">
        <v>50766027.240000002</v>
      </c>
      <c r="G649" s="95">
        <v>0</v>
      </c>
      <c r="H649" s="95">
        <v>50766027.240000002</v>
      </c>
    </row>
    <row r="650" spans="1:10" ht="19.8" customHeight="1" x14ac:dyDescent="0.3">
      <c r="A650" s="98">
        <f t="shared" si="10"/>
        <v>11</v>
      </c>
      <c r="B650" s="92" t="s">
        <v>2200</v>
      </c>
      <c r="C650" s="92" t="s">
        <v>2201</v>
      </c>
      <c r="D650" s="95">
        <v>50766027.240000002</v>
      </c>
      <c r="E650" s="95">
        <v>0</v>
      </c>
      <c r="F650" s="95">
        <v>50766027.240000002</v>
      </c>
      <c r="G650" s="95">
        <v>0</v>
      </c>
      <c r="H650" s="95">
        <v>50766027.240000002</v>
      </c>
    </row>
    <row r="651" spans="1:10" ht="19.8" customHeight="1" x14ac:dyDescent="0.3">
      <c r="A651" s="98">
        <f t="shared" si="10"/>
        <v>7</v>
      </c>
      <c r="B651" s="101" t="s">
        <v>2202</v>
      </c>
      <c r="C651" s="101" t="s">
        <v>2203</v>
      </c>
      <c r="D651" s="102">
        <v>367468.49</v>
      </c>
      <c r="E651" s="102">
        <v>1164.52</v>
      </c>
      <c r="F651" s="102">
        <v>366303.97</v>
      </c>
      <c r="G651" s="102">
        <v>0</v>
      </c>
      <c r="H651" s="102">
        <v>366303.97</v>
      </c>
      <c r="J651" s="97"/>
    </row>
    <row r="652" spans="1:10" ht="19.8" customHeight="1" x14ac:dyDescent="0.3">
      <c r="A652" s="98">
        <f t="shared" si="10"/>
        <v>11</v>
      </c>
      <c r="B652" s="92" t="s">
        <v>2204</v>
      </c>
      <c r="C652" s="92" t="s">
        <v>2205</v>
      </c>
      <c r="D652" s="95">
        <v>367468.49</v>
      </c>
      <c r="E652" s="95">
        <v>1164.52</v>
      </c>
      <c r="F652" s="95">
        <v>366303.97</v>
      </c>
      <c r="G652" s="95">
        <v>0</v>
      </c>
      <c r="H652" s="95">
        <v>366303.97</v>
      </c>
      <c r="I652" s="103"/>
      <c r="J652" s="104"/>
    </row>
    <row r="653" spans="1:10" ht="19.8" customHeight="1" x14ac:dyDescent="0.3">
      <c r="A653" s="98">
        <f t="shared" si="10"/>
        <v>7</v>
      </c>
      <c r="B653" s="101" t="s">
        <v>2206</v>
      </c>
      <c r="C653" s="101" t="s">
        <v>2207</v>
      </c>
      <c r="D653" s="102">
        <v>721128.94</v>
      </c>
      <c r="E653" s="102">
        <v>57.06</v>
      </c>
      <c r="F653" s="102">
        <v>721071.88</v>
      </c>
      <c r="G653" s="102">
        <v>0</v>
      </c>
      <c r="H653" s="102">
        <v>721071.88</v>
      </c>
      <c r="J653" s="97"/>
    </row>
    <row r="654" spans="1:10" ht="19.8" customHeight="1" x14ac:dyDescent="0.3">
      <c r="A654" s="98">
        <f t="shared" si="10"/>
        <v>11</v>
      </c>
      <c r="B654" s="92" t="s">
        <v>2208</v>
      </c>
      <c r="C654" s="92" t="s">
        <v>2209</v>
      </c>
      <c r="D654" s="95">
        <v>218248.06</v>
      </c>
      <c r="E654" s="95">
        <v>0</v>
      </c>
      <c r="F654" s="95">
        <v>218248.06</v>
      </c>
      <c r="G654" s="95">
        <v>0</v>
      </c>
      <c r="H654" s="95">
        <v>218248.06</v>
      </c>
    </row>
    <row r="655" spans="1:10" ht="19.8" customHeight="1" x14ac:dyDescent="0.3">
      <c r="A655" s="98">
        <f t="shared" si="10"/>
        <v>11</v>
      </c>
      <c r="B655" s="92" t="s">
        <v>2210</v>
      </c>
      <c r="C655" s="92" t="s">
        <v>2211</v>
      </c>
      <c r="D655" s="95">
        <v>894.54</v>
      </c>
      <c r="E655" s="95">
        <v>57.06</v>
      </c>
      <c r="F655" s="95">
        <v>837.48</v>
      </c>
      <c r="G655" s="95">
        <v>0</v>
      </c>
      <c r="H655" s="95">
        <v>837.48</v>
      </c>
    </row>
    <row r="656" spans="1:10" ht="19.8" customHeight="1" x14ac:dyDescent="0.3">
      <c r="A656" s="98">
        <f t="shared" si="10"/>
        <v>11</v>
      </c>
      <c r="B656" s="92" t="s">
        <v>2212</v>
      </c>
      <c r="C656" s="92" t="s">
        <v>2213</v>
      </c>
      <c r="D656" s="95">
        <v>2076.64</v>
      </c>
      <c r="E656" s="95">
        <v>0</v>
      </c>
      <c r="F656" s="95">
        <v>2076.64</v>
      </c>
      <c r="G656" s="95">
        <v>0</v>
      </c>
      <c r="H656" s="95">
        <v>2076.64</v>
      </c>
    </row>
    <row r="657" spans="1:8" ht="19.8" customHeight="1" x14ac:dyDescent="0.3">
      <c r="A657" s="98">
        <f t="shared" si="10"/>
        <v>11</v>
      </c>
      <c r="B657" s="92" t="s">
        <v>2214</v>
      </c>
      <c r="C657" s="92" t="s">
        <v>2215</v>
      </c>
      <c r="D657" s="95">
        <v>3072.06</v>
      </c>
      <c r="E657" s="95">
        <v>0</v>
      </c>
      <c r="F657" s="95">
        <v>3072.06</v>
      </c>
      <c r="G657" s="95">
        <v>0</v>
      </c>
      <c r="H657" s="95">
        <v>3072.06</v>
      </c>
    </row>
    <row r="658" spans="1:8" ht="19.8" customHeight="1" x14ac:dyDescent="0.3">
      <c r="A658" s="98">
        <f t="shared" si="10"/>
        <v>11</v>
      </c>
      <c r="B658" s="92" t="s">
        <v>2216</v>
      </c>
      <c r="C658" s="92" t="s">
        <v>2217</v>
      </c>
      <c r="D658" s="95">
        <v>20006.09</v>
      </c>
      <c r="E658" s="95">
        <v>0</v>
      </c>
      <c r="F658" s="95">
        <v>20006.09</v>
      </c>
      <c r="G658" s="95">
        <v>0</v>
      </c>
      <c r="H658" s="95">
        <v>20006.09</v>
      </c>
    </row>
    <row r="659" spans="1:8" ht="19.8" customHeight="1" x14ac:dyDescent="0.3">
      <c r="A659" s="98">
        <f t="shared" si="10"/>
        <v>11</v>
      </c>
      <c r="B659" s="92" t="s">
        <v>2218</v>
      </c>
      <c r="C659" s="92" t="s">
        <v>2219</v>
      </c>
      <c r="D659" s="95">
        <v>466156.07</v>
      </c>
      <c r="E659" s="95">
        <v>0</v>
      </c>
      <c r="F659" s="95">
        <v>466156.07</v>
      </c>
      <c r="G659" s="95">
        <v>0</v>
      </c>
      <c r="H659" s="95">
        <v>466156.07</v>
      </c>
    </row>
    <row r="660" spans="1:8" ht="19.8" customHeight="1" x14ac:dyDescent="0.3">
      <c r="A660" s="98">
        <f t="shared" si="10"/>
        <v>11</v>
      </c>
      <c r="B660" s="92" t="s">
        <v>2220</v>
      </c>
      <c r="C660" s="92" t="s">
        <v>2221</v>
      </c>
      <c r="D660" s="95">
        <v>1016.94</v>
      </c>
      <c r="E660" s="95">
        <v>0</v>
      </c>
      <c r="F660" s="95">
        <v>1016.94</v>
      </c>
      <c r="G660" s="95">
        <v>0</v>
      </c>
      <c r="H660" s="95">
        <v>1016.94</v>
      </c>
    </row>
    <row r="661" spans="1:8" ht="19.8" customHeight="1" x14ac:dyDescent="0.3">
      <c r="A661" s="98">
        <f t="shared" si="10"/>
        <v>11</v>
      </c>
      <c r="B661" s="92" t="s">
        <v>2222</v>
      </c>
      <c r="C661" s="92" t="s">
        <v>2223</v>
      </c>
      <c r="D661" s="95">
        <v>9658.5400000000009</v>
      </c>
      <c r="E661" s="95">
        <v>0</v>
      </c>
      <c r="F661" s="95">
        <v>9658.5400000000009</v>
      </c>
      <c r="G661" s="95">
        <v>0</v>
      </c>
      <c r="H661" s="95">
        <v>9658.5400000000009</v>
      </c>
    </row>
    <row r="662" spans="1:8" ht="19.8" customHeight="1" x14ac:dyDescent="0.3">
      <c r="A662" s="98">
        <f t="shared" si="10"/>
        <v>3</v>
      </c>
      <c r="B662" s="92" t="s">
        <v>190</v>
      </c>
      <c r="C662" s="92" t="s">
        <v>320</v>
      </c>
      <c r="D662" s="95">
        <v>12623451.09</v>
      </c>
      <c r="E662" s="95">
        <v>12254875.470000001</v>
      </c>
      <c r="F662" s="95">
        <v>368575.62</v>
      </c>
      <c r="G662" s="95">
        <v>0</v>
      </c>
      <c r="H662" s="95">
        <v>368575.62</v>
      </c>
    </row>
    <row r="663" spans="1:8" s="96" customFormat="1" ht="19.8" customHeight="1" x14ac:dyDescent="0.3">
      <c r="A663" s="98">
        <f t="shared" si="10"/>
        <v>7</v>
      </c>
      <c r="B663" s="92" t="s">
        <v>2224</v>
      </c>
      <c r="C663" s="92" t="s">
        <v>320</v>
      </c>
      <c r="D663" s="95">
        <v>12623451.09</v>
      </c>
      <c r="E663" s="95">
        <v>12254875.470000001</v>
      </c>
      <c r="F663" s="95">
        <v>368575.62</v>
      </c>
      <c r="G663" s="95">
        <v>0</v>
      </c>
      <c r="H663" s="95">
        <v>368575.62</v>
      </c>
    </row>
    <row r="664" spans="1:8" ht="19.8" customHeight="1" x14ac:dyDescent="0.3">
      <c r="A664" s="98">
        <f t="shared" si="10"/>
        <v>11</v>
      </c>
      <c r="B664" s="92" t="s">
        <v>2225</v>
      </c>
      <c r="C664" s="92" t="s">
        <v>2226</v>
      </c>
      <c r="D664" s="95">
        <v>12623451.09</v>
      </c>
      <c r="E664" s="95">
        <v>12254875.470000001</v>
      </c>
      <c r="F664" s="95">
        <v>368575.62</v>
      </c>
      <c r="G664" s="95">
        <v>0</v>
      </c>
      <c r="H664" s="95">
        <v>368575.62</v>
      </c>
    </row>
    <row r="665" spans="1:8" ht="19.8" customHeight="1" x14ac:dyDescent="0.3">
      <c r="A665" s="98">
        <f t="shared" si="10"/>
        <v>3</v>
      </c>
      <c r="B665" s="92" t="s">
        <v>384</v>
      </c>
      <c r="C665" s="92" t="s">
        <v>385</v>
      </c>
      <c r="D665" s="95">
        <v>53544177.579999998</v>
      </c>
      <c r="E665" s="95">
        <v>49268932.68</v>
      </c>
      <c r="F665" s="95">
        <v>4275244.9000000004</v>
      </c>
      <c r="G665" s="95">
        <v>0</v>
      </c>
      <c r="H665" s="95">
        <v>4275244.9000000004</v>
      </c>
    </row>
    <row r="666" spans="1:8" ht="19.8" customHeight="1" x14ac:dyDescent="0.3">
      <c r="A666" s="98">
        <f t="shared" si="10"/>
        <v>7</v>
      </c>
      <c r="B666" s="92" t="s">
        <v>2227</v>
      </c>
      <c r="C666" s="92" t="s">
        <v>2228</v>
      </c>
      <c r="D666" s="95">
        <v>53544177.579999998</v>
      </c>
      <c r="E666" s="95">
        <v>49268932.68</v>
      </c>
      <c r="F666" s="95">
        <v>4275244.9000000004</v>
      </c>
      <c r="G666" s="95">
        <v>0</v>
      </c>
      <c r="H666" s="95">
        <v>4275244.9000000004</v>
      </c>
    </row>
    <row r="667" spans="1:8" s="96" customFormat="1" ht="19.8" customHeight="1" x14ac:dyDescent="0.3">
      <c r="A667" s="98">
        <f t="shared" si="10"/>
        <v>11</v>
      </c>
      <c r="B667" s="92" t="s">
        <v>2229</v>
      </c>
      <c r="C667" s="92" t="s">
        <v>2230</v>
      </c>
      <c r="D667" s="95">
        <v>26923395.57</v>
      </c>
      <c r="E667" s="95">
        <v>26923395.57</v>
      </c>
      <c r="F667" s="95">
        <v>0</v>
      </c>
      <c r="G667" s="95">
        <v>0</v>
      </c>
      <c r="H667" s="95">
        <v>0</v>
      </c>
    </row>
    <row r="668" spans="1:8" ht="19.8" customHeight="1" x14ac:dyDescent="0.3">
      <c r="A668" s="98">
        <f t="shared" si="10"/>
        <v>11</v>
      </c>
      <c r="B668" s="92" t="s">
        <v>2231</v>
      </c>
      <c r="C668" s="92" t="s">
        <v>2232</v>
      </c>
      <c r="D668" s="95">
        <v>12187117.529999999</v>
      </c>
      <c r="E668" s="95">
        <v>12187117.529999999</v>
      </c>
      <c r="F668" s="95">
        <v>0</v>
      </c>
      <c r="G668" s="95">
        <v>0</v>
      </c>
      <c r="H668" s="95">
        <v>0</v>
      </c>
    </row>
    <row r="669" spans="1:8" ht="19.8" customHeight="1" x14ac:dyDescent="0.3">
      <c r="A669" s="98">
        <f t="shared" si="10"/>
        <v>11</v>
      </c>
      <c r="B669" s="92" t="s">
        <v>2233</v>
      </c>
      <c r="C669" s="92" t="s">
        <v>2234</v>
      </c>
      <c r="D669" s="95">
        <v>5256023.13</v>
      </c>
      <c r="E669" s="95">
        <v>4864544.6500000004</v>
      </c>
      <c r="F669" s="95">
        <v>391478.48</v>
      </c>
      <c r="G669" s="95">
        <v>0</v>
      </c>
      <c r="H669" s="95">
        <v>391478.48</v>
      </c>
    </row>
    <row r="670" spans="1:8" ht="19.8" customHeight="1" x14ac:dyDescent="0.3">
      <c r="A670" s="98">
        <f t="shared" si="10"/>
        <v>11</v>
      </c>
      <c r="B670" s="92" t="s">
        <v>2235</v>
      </c>
      <c r="C670" s="92" t="s">
        <v>2236</v>
      </c>
      <c r="D670" s="95">
        <v>165687.29999999999</v>
      </c>
      <c r="E670" s="95">
        <v>154582.79999999999</v>
      </c>
      <c r="F670" s="95">
        <v>11104.5</v>
      </c>
      <c r="G670" s="95">
        <v>0</v>
      </c>
      <c r="H670" s="95">
        <v>11104.5</v>
      </c>
    </row>
    <row r="671" spans="1:8" ht="19.8" customHeight="1" x14ac:dyDescent="0.3">
      <c r="A671" s="98">
        <f t="shared" si="10"/>
        <v>11</v>
      </c>
      <c r="B671" s="92" t="s">
        <v>2237</v>
      </c>
      <c r="C671" s="92" t="s">
        <v>2238</v>
      </c>
      <c r="D671" s="95">
        <v>6983265.8099999996</v>
      </c>
      <c r="E671" s="95">
        <v>3128714.55</v>
      </c>
      <c r="F671" s="95">
        <v>3854551.26</v>
      </c>
      <c r="G671" s="95">
        <v>0</v>
      </c>
      <c r="H671" s="95">
        <v>3854551.26</v>
      </c>
    </row>
    <row r="672" spans="1:8" ht="19.8" customHeight="1" x14ac:dyDescent="0.3">
      <c r="A672" s="98">
        <f t="shared" si="10"/>
        <v>11</v>
      </c>
      <c r="B672" s="92" t="s">
        <v>2239</v>
      </c>
      <c r="C672" s="92" t="s">
        <v>2240</v>
      </c>
      <c r="D672" s="95">
        <v>49296.31</v>
      </c>
      <c r="E672" s="95">
        <v>49296.31</v>
      </c>
      <c r="F672" s="95">
        <v>0</v>
      </c>
      <c r="G672" s="95">
        <v>0</v>
      </c>
      <c r="H672" s="95">
        <v>0</v>
      </c>
    </row>
    <row r="673" spans="1:8" ht="19.8" customHeight="1" x14ac:dyDescent="0.3">
      <c r="A673" s="98">
        <f t="shared" si="10"/>
        <v>11</v>
      </c>
      <c r="B673" s="92" t="s">
        <v>2241</v>
      </c>
      <c r="C673" s="92" t="s">
        <v>2242</v>
      </c>
      <c r="D673" s="95">
        <v>21700</v>
      </c>
      <c r="E673" s="95">
        <v>21700</v>
      </c>
      <c r="F673" s="95">
        <v>0</v>
      </c>
      <c r="G673" s="95">
        <v>0</v>
      </c>
      <c r="H673" s="95">
        <v>0</v>
      </c>
    </row>
    <row r="674" spans="1:8" ht="19.8" customHeight="1" x14ac:dyDescent="0.3">
      <c r="A674" s="98">
        <f t="shared" si="10"/>
        <v>11</v>
      </c>
      <c r="B674" s="92" t="s">
        <v>2243</v>
      </c>
      <c r="C674" s="92" t="s">
        <v>2244</v>
      </c>
      <c r="D674" s="95">
        <v>551818.93000000005</v>
      </c>
      <c r="E674" s="95">
        <v>551818.93000000005</v>
      </c>
      <c r="F674" s="95">
        <v>0</v>
      </c>
      <c r="G674" s="95">
        <v>0</v>
      </c>
      <c r="H674" s="95">
        <v>0</v>
      </c>
    </row>
    <row r="675" spans="1:8" ht="19.8" customHeight="1" x14ac:dyDescent="0.3">
      <c r="A675" s="98">
        <f t="shared" si="10"/>
        <v>11</v>
      </c>
      <c r="B675" s="92" t="s">
        <v>2245</v>
      </c>
      <c r="C675" s="92" t="s">
        <v>2246</v>
      </c>
      <c r="D675" s="95">
        <v>366752.6</v>
      </c>
      <c r="E675" s="95">
        <v>366752.6</v>
      </c>
      <c r="F675" s="95">
        <v>0</v>
      </c>
      <c r="G675" s="95">
        <v>0</v>
      </c>
      <c r="H675" s="95">
        <v>0</v>
      </c>
    </row>
    <row r="676" spans="1:8" ht="19.8" customHeight="1" x14ac:dyDescent="0.3">
      <c r="A676" s="98">
        <f t="shared" si="10"/>
        <v>11</v>
      </c>
      <c r="B676" s="92" t="s">
        <v>2247</v>
      </c>
      <c r="C676" s="92" t="s">
        <v>2248</v>
      </c>
      <c r="D676" s="95">
        <v>102579.31</v>
      </c>
      <c r="E676" s="95">
        <v>102579.31</v>
      </c>
      <c r="F676" s="95">
        <v>0</v>
      </c>
      <c r="G676" s="95">
        <v>0</v>
      </c>
      <c r="H676" s="95">
        <v>0</v>
      </c>
    </row>
    <row r="677" spans="1:8" ht="19.8" customHeight="1" x14ac:dyDescent="0.3">
      <c r="A677" s="98">
        <f t="shared" si="10"/>
        <v>11</v>
      </c>
      <c r="B677" s="92" t="s">
        <v>2249</v>
      </c>
      <c r="C677" s="92" t="s">
        <v>2250</v>
      </c>
      <c r="D677" s="95">
        <v>787475.77</v>
      </c>
      <c r="E677" s="95">
        <v>769365.11</v>
      </c>
      <c r="F677" s="95">
        <v>18110.66</v>
      </c>
      <c r="G677" s="95">
        <v>0</v>
      </c>
      <c r="H677" s="95">
        <v>18110.66</v>
      </c>
    </row>
    <row r="678" spans="1:8" ht="19.8" customHeight="1" x14ac:dyDescent="0.3">
      <c r="A678" s="98">
        <f t="shared" si="10"/>
        <v>11</v>
      </c>
      <c r="B678" s="92" t="s">
        <v>2251</v>
      </c>
      <c r="C678" s="92" t="s">
        <v>2252</v>
      </c>
      <c r="D678" s="95">
        <v>35665.32</v>
      </c>
      <c r="E678" s="95">
        <v>35665.32</v>
      </c>
      <c r="F678" s="95">
        <v>0</v>
      </c>
      <c r="G678" s="95">
        <v>0</v>
      </c>
      <c r="H678" s="95">
        <v>0</v>
      </c>
    </row>
    <row r="679" spans="1:8" ht="19.8" customHeight="1" x14ac:dyDescent="0.3">
      <c r="A679" s="98">
        <f t="shared" si="10"/>
        <v>11</v>
      </c>
      <c r="B679" s="92" t="s">
        <v>2253</v>
      </c>
      <c r="C679" s="92" t="s">
        <v>2254</v>
      </c>
      <c r="D679" s="95">
        <v>113400</v>
      </c>
      <c r="E679" s="95">
        <v>113400</v>
      </c>
      <c r="F679" s="95">
        <v>0</v>
      </c>
      <c r="G679" s="95">
        <v>0</v>
      </c>
      <c r="H679" s="95">
        <v>0</v>
      </c>
    </row>
    <row r="680" spans="1:8" ht="19.8" customHeight="1" x14ac:dyDescent="0.3">
      <c r="A680" s="98">
        <f t="shared" si="10"/>
        <v>3</v>
      </c>
      <c r="B680" s="92" t="s">
        <v>271</v>
      </c>
      <c r="C680" s="92" t="s">
        <v>426</v>
      </c>
      <c r="D680" s="95">
        <v>4388005.3600000003</v>
      </c>
      <c r="E680" s="95">
        <v>4388005.3600000003</v>
      </c>
      <c r="F680" s="95">
        <v>0</v>
      </c>
      <c r="G680" s="95">
        <v>0</v>
      </c>
      <c r="H680" s="95">
        <v>0</v>
      </c>
    </row>
    <row r="681" spans="1:8" ht="19.8" customHeight="1" x14ac:dyDescent="0.3">
      <c r="A681" s="98">
        <f t="shared" si="10"/>
        <v>7</v>
      </c>
      <c r="B681" s="92" t="s">
        <v>2255</v>
      </c>
      <c r="C681" s="92" t="s">
        <v>2256</v>
      </c>
      <c r="D681" s="95">
        <v>4388005.3600000003</v>
      </c>
      <c r="E681" s="95">
        <v>4388005.3600000003</v>
      </c>
      <c r="F681" s="95">
        <v>0</v>
      </c>
      <c r="G681" s="95">
        <v>0</v>
      </c>
      <c r="H681" s="95">
        <v>0</v>
      </c>
    </row>
    <row r="682" spans="1:8" ht="19.8" customHeight="1" x14ac:dyDescent="0.3">
      <c r="A682" s="98">
        <f t="shared" si="10"/>
        <v>11</v>
      </c>
      <c r="B682" s="92" t="s">
        <v>2257</v>
      </c>
      <c r="C682" s="92" t="s">
        <v>2256</v>
      </c>
      <c r="D682" s="95">
        <v>4388005.3600000003</v>
      </c>
      <c r="E682" s="95">
        <v>4388005.3600000003</v>
      </c>
      <c r="F682" s="95">
        <v>0</v>
      </c>
      <c r="G682" s="95">
        <v>0</v>
      </c>
      <c r="H682" s="95">
        <v>0</v>
      </c>
    </row>
    <row r="683" spans="1:8" ht="19.8" customHeight="1" x14ac:dyDescent="0.3">
      <c r="A683" s="98">
        <f t="shared" si="10"/>
        <v>3</v>
      </c>
      <c r="B683" s="92" t="s">
        <v>272</v>
      </c>
      <c r="C683" s="92" t="s">
        <v>309</v>
      </c>
      <c r="D683" s="95">
        <v>6159055.9900000002</v>
      </c>
      <c r="E683" s="95">
        <v>4906189.5</v>
      </c>
      <c r="F683" s="95">
        <v>1252866.49</v>
      </c>
      <c r="G683" s="95">
        <v>0</v>
      </c>
      <c r="H683" s="95">
        <v>1252866.49</v>
      </c>
    </row>
    <row r="684" spans="1:8" ht="19.8" customHeight="1" x14ac:dyDescent="0.3">
      <c r="A684" s="98">
        <f t="shared" si="10"/>
        <v>7</v>
      </c>
      <c r="B684" s="92" t="s">
        <v>2258</v>
      </c>
      <c r="C684" s="92" t="s">
        <v>309</v>
      </c>
      <c r="D684" s="95">
        <v>6159055.9900000002</v>
      </c>
      <c r="E684" s="95">
        <v>4906189.5</v>
      </c>
      <c r="F684" s="95">
        <v>1252866.49</v>
      </c>
      <c r="G684" s="95">
        <v>0</v>
      </c>
      <c r="H684" s="95">
        <v>1252866.49</v>
      </c>
    </row>
    <row r="685" spans="1:8" ht="19.8" customHeight="1" x14ac:dyDescent="0.3">
      <c r="A685" s="98">
        <f t="shared" si="10"/>
        <v>11</v>
      </c>
      <c r="B685" s="92" t="s">
        <v>2259</v>
      </c>
      <c r="C685" s="92" t="s">
        <v>309</v>
      </c>
      <c r="D685" s="95">
        <v>6115676.3799999999</v>
      </c>
      <c r="E685" s="95">
        <v>4863589.5</v>
      </c>
      <c r="F685" s="95">
        <v>1252086.8799999999</v>
      </c>
      <c r="G685" s="95">
        <v>0</v>
      </c>
      <c r="H685" s="95">
        <v>1252086.8799999999</v>
      </c>
    </row>
    <row r="686" spans="1:8" ht="19.8" customHeight="1" x14ac:dyDescent="0.3">
      <c r="A686" s="98">
        <f t="shared" si="10"/>
        <v>11</v>
      </c>
      <c r="B686" s="92" t="s">
        <v>2260</v>
      </c>
      <c r="C686" s="92" t="s">
        <v>2261</v>
      </c>
      <c r="D686" s="95">
        <v>43379.61</v>
      </c>
      <c r="E686" s="95">
        <v>42600</v>
      </c>
      <c r="F686" s="95">
        <v>779.61</v>
      </c>
      <c r="G686" s="95">
        <v>0</v>
      </c>
      <c r="H686" s="95">
        <v>779.61</v>
      </c>
    </row>
    <row r="687" spans="1:8" ht="19.8" customHeight="1" x14ac:dyDescent="0.3">
      <c r="A687" s="98">
        <f t="shared" si="10"/>
        <v>3</v>
      </c>
      <c r="B687" s="92" t="s">
        <v>369</v>
      </c>
      <c r="C687" s="92" t="s">
        <v>370</v>
      </c>
      <c r="D687" s="95">
        <v>200912497.02000001</v>
      </c>
      <c r="E687" s="95">
        <v>169329610.97</v>
      </c>
      <c r="F687" s="95">
        <v>31582886.050000001</v>
      </c>
      <c r="G687" s="95">
        <v>0</v>
      </c>
      <c r="H687" s="95">
        <v>31582886.050000001</v>
      </c>
    </row>
    <row r="688" spans="1:8" ht="19.8" customHeight="1" x14ac:dyDescent="0.3">
      <c r="A688" s="98">
        <f t="shared" si="10"/>
        <v>7</v>
      </c>
      <c r="B688" s="92" t="s">
        <v>2262</v>
      </c>
      <c r="C688" s="92" t="s">
        <v>370</v>
      </c>
      <c r="D688" s="95">
        <v>200912497.02000001</v>
      </c>
      <c r="E688" s="95">
        <v>169329610.97</v>
      </c>
      <c r="F688" s="95">
        <v>31582886.050000001</v>
      </c>
      <c r="G688" s="95">
        <v>0</v>
      </c>
      <c r="H688" s="95">
        <v>31582886.050000001</v>
      </c>
    </row>
    <row r="689" spans="1:8" ht="19.8" customHeight="1" x14ac:dyDescent="0.3">
      <c r="A689" s="98">
        <f t="shared" si="10"/>
        <v>11</v>
      </c>
      <c r="B689" s="92" t="s">
        <v>2263</v>
      </c>
      <c r="C689" s="92" t="s">
        <v>2264</v>
      </c>
      <c r="D689" s="95">
        <v>246871.5</v>
      </c>
      <c r="E689" s="95">
        <v>675</v>
      </c>
      <c r="F689" s="95">
        <v>246196.5</v>
      </c>
      <c r="G689" s="95">
        <v>0</v>
      </c>
      <c r="H689" s="95">
        <v>246196.5</v>
      </c>
    </row>
    <row r="690" spans="1:8" ht="19.8" customHeight="1" x14ac:dyDescent="0.3">
      <c r="A690" s="98">
        <f t="shared" si="10"/>
        <v>11</v>
      </c>
      <c r="B690" s="92" t="s">
        <v>2265</v>
      </c>
      <c r="C690" s="92" t="s">
        <v>2266</v>
      </c>
      <c r="D690" s="95">
        <v>142459757.56999999</v>
      </c>
      <c r="E690" s="95">
        <v>136408141.03</v>
      </c>
      <c r="F690" s="95">
        <v>6051616.54</v>
      </c>
      <c r="G690" s="95">
        <v>0</v>
      </c>
      <c r="H690" s="95">
        <v>6051616.54</v>
      </c>
    </row>
    <row r="691" spans="1:8" ht="19.8" customHeight="1" x14ac:dyDescent="0.3">
      <c r="A691" s="98">
        <f t="shared" si="10"/>
        <v>11</v>
      </c>
      <c r="B691" s="92" t="s">
        <v>2267</v>
      </c>
      <c r="C691" s="92" t="s">
        <v>2268</v>
      </c>
      <c r="D691" s="95">
        <v>14982355.1</v>
      </c>
      <c r="E691" s="95">
        <v>14949528.9</v>
      </c>
      <c r="F691" s="95">
        <v>32826.199999999997</v>
      </c>
      <c r="G691" s="95">
        <v>0</v>
      </c>
      <c r="H691" s="95">
        <v>32826.199999999997</v>
      </c>
    </row>
    <row r="692" spans="1:8" ht="19.8" customHeight="1" x14ac:dyDescent="0.3">
      <c r="A692" s="98">
        <f t="shared" si="10"/>
        <v>11</v>
      </c>
      <c r="B692" s="92" t="s">
        <v>2269</v>
      </c>
      <c r="C692" s="92" t="s">
        <v>2270</v>
      </c>
      <c r="D692" s="95">
        <v>42318119.450000003</v>
      </c>
      <c r="E692" s="95">
        <v>17101001.039999999</v>
      </c>
      <c r="F692" s="95">
        <v>25217118.41</v>
      </c>
      <c r="G692" s="95">
        <v>0</v>
      </c>
      <c r="H692" s="95">
        <v>25217118.41</v>
      </c>
    </row>
    <row r="693" spans="1:8" ht="19.8" customHeight="1" x14ac:dyDescent="0.3">
      <c r="A693" s="98">
        <f t="shared" si="10"/>
        <v>11</v>
      </c>
      <c r="B693" s="92" t="s">
        <v>2271</v>
      </c>
      <c r="C693" s="92" t="s">
        <v>2272</v>
      </c>
      <c r="D693" s="95">
        <v>905393.4</v>
      </c>
      <c r="E693" s="95">
        <v>870265</v>
      </c>
      <c r="F693" s="95">
        <v>35128.400000000001</v>
      </c>
      <c r="G693" s="95">
        <v>0</v>
      </c>
      <c r="H693" s="95">
        <v>35128.400000000001</v>
      </c>
    </row>
    <row r="694" spans="1:8" ht="19.8" customHeight="1" x14ac:dyDescent="0.3">
      <c r="A694" s="98">
        <f t="shared" si="10"/>
        <v>3</v>
      </c>
      <c r="B694" s="92" t="s">
        <v>192</v>
      </c>
      <c r="C694" s="92" t="s">
        <v>371</v>
      </c>
      <c r="D694" s="95">
        <v>652619744.65999997</v>
      </c>
      <c r="E694" s="95">
        <v>0</v>
      </c>
      <c r="F694" s="95">
        <v>652619744.65999997</v>
      </c>
      <c r="G694" s="95">
        <v>0</v>
      </c>
      <c r="H694" s="95">
        <v>652619744.65999997</v>
      </c>
    </row>
    <row r="695" spans="1:8" ht="19.8" customHeight="1" x14ac:dyDescent="0.3">
      <c r="A695" s="98">
        <f t="shared" si="10"/>
        <v>7</v>
      </c>
      <c r="B695" s="92" t="s">
        <v>2273</v>
      </c>
      <c r="C695" s="92" t="s">
        <v>371</v>
      </c>
      <c r="D695" s="95">
        <v>652619744.65999997</v>
      </c>
      <c r="E695" s="95">
        <v>0</v>
      </c>
      <c r="F695" s="95">
        <v>652619744.65999997</v>
      </c>
      <c r="G695" s="95">
        <v>0</v>
      </c>
      <c r="H695" s="95">
        <v>652619744.65999997</v>
      </c>
    </row>
    <row r="696" spans="1:8" ht="19.8" customHeight="1" x14ac:dyDescent="0.3">
      <c r="A696" s="98">
        <f t="shared" si="10"/>
        <v>11</v>
      </c>
      <c r="B696" s="92" t="s">
        <v>2274</v>
      </c>
      <c r="C696" s="92" t="s">
        <v>2275</v>
      </c>
      <c r="D696" s="95">
        <v>365501421</v>
      </c>
      <c r="E696" s="95">
        <v>0</v>
      </c>
      <c r="F696" s="95">
        <v>365501421</v>
      </c>
      <c r="G696" s="95">
        <v>0</v>
      </c>
      <c r="H696" s="95">
        <v>365501421</v>
      </c>
    </row>
    <row r="697" spans="1:8" ht="19.8" customHeight="1" x14ac:dyDescent="0.3">
      <c r="A697" s="98">
        <f t="shared" si="10"/>
        <v>11</v>
      </c>
      <c r="B697" s="92" t="s">
        <v>2276</v>
      </c>
      <c r="C697" s="92" t="s">
        <v>2268</v>
      </c>
      <c r="D697" s="95">
        <v>31616108.48</v>
      </c>
      <c r="E697" s="95">
        <v>0</v>
      </c>
      <c r="F697" s="95">
        <v>31616108.48</v>
      </c>
      <c r="G697" s="95">
        <v>0</v>
      </c>
      <c r="H697" s="95">
        <v>31616108.48</v>
      </c>
    </row>
    <row r="698" spans="1:8" ht="19.8" customHeight="1" x14ac:dyDescent="0.3">
      <c r="A698" s="98">
        <f t="shared" si="10"/>
        <v>11</v>
      </c>
      <c r="B698" s="92" t="s">
        <v>2277</v>
      </c>
      <c r="C698" s="92" t="s">
        <v>2278</v>
      </c>
      <c r="D698" s="95">
        <v>89635990</v>
      </c>
      <c r="E698" s="95">
        <v>0</v>
      </c>
      <c r="F698" s="95">
        <v>89635990</v>
      </c>
      <c r="G698" s="95">
        <v>0</v>
      </c>
      <c r="H698" s="95">
        <v>89635990</v>
      </c>
    </row>
    <row r="699" spans="1:8" ht="19.8" customHeight="1" x14ac:dyDescent="0.3">
      <c r="A699" s="98">
        <f t="shared" si="10"/>
        <v>11</v>
      </c>
      <c r="B699" s="92" t="s">
        <v>2279</v>
      </c>
      <c r="C699" s="92" t="s">
        <v>2280</v>
      </c>
      <c r="D699" s="95">
        <v>671240</v>
      </c>
      <c r="E699" s="95">
        <v>0</v>
      </c>
      <c r="F699" s="95">
        <v>671240</v>
      </c>
      <c r="G699" s="95">
        <v>0</v>
      </c>
      <c r="H699" s="95">
        <v>671240</v>
      </c>
    </row>
    <row r="700" spans="1:8" ht="19.8" customHeight="1" x14ac:dyDescent="0.3">
      <c r="A700" s="98">
        <f t="shared" si="10"/>
        <v>11</v>
      </c>
      <c r="B700" s="92" t="s">
        <v>2281</v>
      </c>
      <c r="C700" s="92" t="s">
        <v>2272</v>
      </c>
      <c r="D700" s="95">
        <v>870265</v>
      </c>
      <c r="E700" s="95">
        <v>0</v>
      </c>
      <c r="F700" s="95">
        <v>870265</v>
      </c>
      <c r="G700" s="95">
        <v>0</v>
      </c>
      <c r="H700" s="95">
        <v>870265</v>
      </c>
    </row>
    <row r="701" spans="1:8" ht="19.8" customHeight="1" x14ac:dyDescent="0.3">
      <c r="A701" s="98">
        <f t="shared" si="10"/>
        <v>11</v>
      </c>
      <c r="B701" s="92" t="s">
        <v>2282</v>
      </c>
      <c r="C701" s="92" t="s">
        <v>2283</v>
      </c>
      <c r="D701" s="95">
        <v>115863044.2</v>
      </c>
      <c r="E701" s="95">
        <v>0</v>
      </c>
      <c r="F701" s="95">
        <v>115863044.2</v>
      </c>
      <c r="G701" s="95">
        <v>0</v>
      </c>
      <c r="H701" s="95">
        <v>115863044.2</v>
      </c>
    </row>
    <row r="702" spans="1:8" ht="19.8" customHeight="1" x14ac:dyDescent="0.3">
      <c r="A702" s="98">
        <f t="shared" si="10"/>
        <v>11</v>
      </c>
      <c r="B702" s="92" t="s">
        <v>2284</v>
      </c>
      <c r="C702" s="92" t="s">
        <v>2285</v>
      </c>
      <c r="D702" s="95">
        <v>3521056</v>
      </c>
      <c r="E702" s="95">
        <v>0</v>
      </c>
      <c r="F702" s="95">
        <v>3521056</v>
      </c>
      <c r="G702" s="95">
        <v>0</v>
      </c>
      <c r="H702" s="95">
        <v>3521056</v>
      </c>
    </row>
    <row r="703" spans="1:8" ht="19.8" customHeight="1" x14ac:dyDescent="0.3">
      <c r="A703" s="98">
        <f t="shared" si="10"/>
        <v>11</v>
      </c>
      <c r="B703" s="92" t="s">
        <v>2286</v>
      </c>
      <c r="C703" s="92" t="s">
        <v>2287</v>
      </c>
      <c r="D703" s="95">
        <v>44901346.979999997</v>
      </c>
      <c r="E703" s="95">
        <v>0</v>
      </c>
      <c r="F703" s="95">
        <v>44901346.979999997</v>
      </c>
      <c r="G703" s="95">
        <v>0</v>
      </c>
      <c r="H703" s="95">
        <v>44901346.979999997</v>
      </c>
    </row>
    <row r="704" spans="1:8" ht="19.8" customHeight="1" x14ac:dyDescent="0.3">
      <c r="A704" s="98">
        <f t="shared" si="10"/>
        <v>11</v>
      </c>
      <c r="B704" s="92" t="s">
        <v>2288</v>
      </c>
      <c r="C704" s="92" t="s">
        <v>2289</v>
      </c>
      <c r="D704" s="95">
        <v>31328</v>
      </c>
      <c r="E704" s="95">
        <v>0</v>
      </c>
      <c r="F704" s="95">
        <v>31328</v>
      </c>
      <c r="G704" s="95">
        <v>0</v>
      </c>
      <c r="H704" s="95">
        <v>31328</v>
      </c>
    </row>
    <row r="705" spans="1:8" ht="19.8" customHeight="1" x14ac:dyDescent="0.3">
      <c r="A705" s="98">
        <f t="shared" si="10"/>
        <v>11</v>
      </c>
      <c r="B705" s="92" t="s">
        <v>2290</v>
      </c>
      <c r="C705" s="92" t="s">
        <v>2291</v>
      </c>
      <c r="D705" s="95">
        <v>7945</v>
      </c>
      <c r="E705" s="95">
        <v>0</v>
      </c>
      <c r="F705" s="95">
        <v>7945</v>
      </c>
      <c r="G705" s="95">
        <v>0</v>
      </c>
      <c r="H705" s="95">
        <v>7945</v>
      </c>
    </row>
    <row r="706" spans="1:8" ht="19.8" customHeight="1" x14ac:dyDescent="0.3">
      <c r="A706" s="98">
        <f t="shared" si="10"/>
        <v>3</v>
      </c>
      <c r="B706" s="92" t="s">
        <v>193</v>
      </c>
      <c r="C706" s="92" t="s">
        <v>389</v>
      </c>
      <c r="D706" s="95">
        <v>269664708.95999998</v>
      </c>
      <c r="E706" s="95">
        <v>122935091.72</v>
      </c>
      <c r="F706" s="95">
        <v>146729617.24000001</v>
      </c>
      <c r="G706" s="95">
        <v>0</v>
      </c>
      <c r="H706" s="95">
        <v>146729617.24000001</v>
      </c>
    </row>
    <row r="707" spans="1:8" ht="19.8" customHeight="1" x14ac:dyDescent="0.3">
      <c r="A707" s="98">
        <f t="shared" ref="A707:A770" si="11">+LEN(B707)</f>
        <v>7</v>
      </c>
      <c r="B707" s="92" t="s">
        <v>2292</v>
      </c>
      <c r="C707" s="92" t="s">
        <v>389</v>
      </c>
      <c r="D707" s="95">
        <v>269664708.95999998</v>
      </c>
      <c r="E707" s="95">
        <v>122935091.72</v>
      </c>
      <c r="F707" s="95">
        <v>146729617.24000001</v>
      </c>
      <c r="G707" s="95">
        <v>0</v>
      </c>
      <c r="H707" s="95">
        <v>146729617.24000001</v>
      </c>
    </row>
    <row r="708" spans="1:8" ht="19.8" customHeight="1" x14ac:dyDescent="0.3">
      <c r="A708" s="98">
        <f t="shared" si="11"/>
        <v>11</v>
      </c>
      <c r="B708" s="92" t="s">
        <v>2293</v>
      </c>
      <c r="C708" s="92" t="s">
        <v>2294</v>
      </c>
      <c r="D708" s="95">
        <v>227139133.33000001</v>
      </c>
      <c r="E708" s="95">
        <v>113569566.62</v>
      </c>
      <c r="F708" s="95">
        <v>113569566.70999999</v>
      </c>
      <c r="G708" s="95">
        <v>0</v>
      </c>
      <c r="H708" s="95">
        <v>113569566.70999999</v>
      </c>
    </row>
    <row r="709" spans="1:8" ht="19.8" customHeight="1" x14ac:dyDescent="0.3">
      <c r="A709" s="98">
        <f t="shared" si="11"/>
        <v>11</v>
      </c>
      <c r="B709" s="92" t="s">
        <v>2295</v>
      </c>
      <c r="C709" s="92" t="s">
        <v>2296</v>
      </c>
      <c r="D709" s="95">
        <v>42525575.630000003</v>
      </c>
      <c r="E709" s="95">
        <v>9365525.0999999996</v>
      </c>
      <c r="F709" s="95">
        <v>33160050.530000001</v>
      </c>
      <c r="G709" s="95">
        <v>0</v>
      </c>
      <c r="H709" s="95">
        <v>33160050.530000001</v>
      </c>
    </row>
    <row r="710" spans="1:8" ht="19.8" customHeight="1" x14ac:dyDescent="0.3">
      <c r="A710" s="98">
        <f t="shared" si="11"/>
        <v>3</v>
      </c>
      <c r="B710" s="92" t="s">
        <v>194</v>
      </c>
      <c r="C710" s="92" t="s">
        <v>321</v>
      </c>
      <c r="D710" s="95">
        <v>127076591.93000001</v>
      </c>
      <c r="E710" s="95">
        <v>58930181.020000003</v>
      </c>
      <c r="F710" s="95">
        <v>68146410.909999996</v>
      </c>
      <c r="G710" s="95">
        <v>0</v>
      </c>
      <c r="H710" s="95">
        <v>68146410.909999996</v>
      </c>
    </row>
    <row r="711" spans="1:8" ht="19.8" customHeight="1" x14ac:dyDescent="0.3">
      <c r="A711" s="98">
        <f t="shared" si="11"/>
        <v>7</v>
      </c>
      <c r="B711" s="92" t="s">
        <v>2297</v>
      </c>
      <c r="C711" s="92" t="s">
        <v>321</v>
      </c>
      <c r="D711" s="95">
        <v>126776105.40000001</v>
      </c>
      <c r="E711" s="95">
        <v>58629694.490000002</v>
      </c>
      <c r="F711" s="95">
        <v>68146410.909999996</v>
      </c>
      <c r="G711" s="95">
        <v>0</v>
      </c>
      <c r="H711" s="95">
        <v>68146410.909999996</v>
      </c>
    </row>
    <row r="712" spans="1:8" ht="19.8" customHeight="1" x14ac:dyDescent="0.3">
      <c r="A712" s="98">
        <f t="shared" si="11"/>
        <v>11</v>
      </c>
      <c r="B712" s="92" t="s">
        <v>2298</v>
      </c>
      <c r="C712" s="92" t="s">
        <v>2299</v>
      </c>
      <c r="D712" s="95">
        <v>81901874.420000002</v>
      </c>
      <c r="E712" s="95">
        <v>40950937.210000001</v>
      </c>
      <c r="F712" s="95">
        <v>40950937.210000001</v>
      </c>
      <c r="G712" s="95">
        <v>0</v>
      </c>
      <c r="H712" s="95">
        <v>40950937.210000001</v>
      </c>
    </row>
    <row r="713" spans="1:8" ht="19.8" customHeight="1" x14ac:dyDescent="0.3">
      <c r="A713" s="98">
        <f t="shared" si="11"/>
        <v>11</v>
      </c>
      <c r="B713" s="92" t="s">
        <v>2300</v>
      </c>
      <c r="C713" s="92" t="s">
        <v>2301</v>
      </c>
      <c r="D713" s="95">
        <v>24803801.879999999</v>
      </c>
      <c r="E713" s="95">
        <v>12296506.310000001</v>
      </c>
      <c r="F713" s="95">
        <v>12507295.57</v>
      </c>
      <c r="G713" s="95">
        <v>0</v>
      </c>
      <c r="H713" s="95">
        <v>12507295.57</v>
      </c>
    </row>
    <row r="714" spans="1:8" ht="19.8" customHeight="1" x14ac:dyDescent="0.3">
      <c r="A714" s="98">
        <f t="shared" si="11"/>
        <v>11</v>
      </c>
      <c r="B714" s="92" t="s">
        <v>2302</v>
      </c>
      <c r="C714" s="92" t="s">
        <v>2303</v>
      </c>
      <c r="D714" s="95">
        <v>1153275.7</v>
      </c>
      <c r="E714" s="95">
        <v>576637.85</v>
      </c>
      <c r="F714" s="95">
        <v>576637.85</v>
      </c>
      <c r="G714" s="95">
        <v>0</v>
      </c>
      <c r="H714" s="95">
        <v>576637.85</v>
      </c>
    </row>
    <row r="715" spans="1:8" ht="19.8" customHeight="1" x14ac:dyDescent="0.3">
      <c r="A715" s="98">
        <f t="shared" si="11"/>
        <v>11</v>
      </c>
      <c r="B715" s="92" t="s">
        <v>2304</v>
      </c>
      <c r="C715" s="92" t="s">
        <v>2305</v>
      </c>
      <c r="D715" s="95">
        <v>18917153.399999999</v>
      </c>
      <c r="E715" s="95">
        <v>4805613.12</v>
      </c>
      <c r="F715" s="95">
        <v>14111540.279999999</v>
      </c>
      <c r="G715" s="95">
        <v>0</v>
      </c>
      <c r="H715" s="95">
        <v>14111540.279999999</v>
      </c>
    </row>
    <row r="716" spans="1:8" ht="19.8" customHeight="1" x14ac:dyDescent="0.3">
      <c r="A716" s="98">
        <f t="shared" si="11"/>
        <v>7</v>
      </c>
      <c r="B716" s="92" t="s">
        <v>2306</v>
      </c>
      <c r="C716" s="92" t="s">
        <v>321</v>
      </c>
      <c r="D716" s="95">
        <v>300486.53000000003</v>
      </c>
      <c r="E716" s="95">
        <v>300486.53000000003</v>
      </c>
      <c r="F716" s="95">
        <v>0</v>
      </c>
      <c r="G716" s="95">
        <v>0</v>
      </c>
      <c r="H716" s="95">
        <v>0</v>
      </c>
    </row>
    <row r="717" spans="1:8" ht="19.8" customHeight="1" x14ac:dyDescent="0.3">
      <c r="A717" s="98">
        <f t="shared" si="11"/>
        <v>11</v>
      </c>
      <c r="B717" s="92" t="s">
        <v>2307</v>
      </c>
      <c r="C717" s="92" t="s">
        <v>2308</v>
      </c>
      <c r="D717" s="95">
        <v>300486.53000000003</v>
      </c>
      <c r="E717" s="95">
        <v>300486.53000000003</v>
      </c>
      <c r="F717" s="95">
        <v>0</v>
      </c>
      <c r="G717" s="95">
        <v>0</v>
      </c>
      <c r="H717" s="95">
        <v>0</v>
      </c>
    </row>
    <row r="718" spans="1:8" ht="19.8" customHeight="1" x14ac:dyDescent="0.3">
      <c r="A718" s="98">
        <f t="shared" si="11"/>
        <v>3</v>
      </c>
      <c r="B718" s="92" t="s">
        <v>195</v>
      </c>
      <c r="C718" s="92" t="s">
        <v>322</v>
      </c>
      <c r="D718" s="95">
        <v>336400433.41000003</v>
      </c>
      <c r="E718" s="95">
        <v>168616080.69</v>
      </c>
      <c r="F718" s="95">
        <v>167784352.72</v>
      </c>
      <c r="G718" s="95">
        <v>0</v>
      </c>
      <c r="H718" s="95">
        <v>167784352.72</v>
      </c>
    </row>
    <row r="719" spans="1:8" ht="19.8" customHeight="1" x14ac:dyDescent="0.3">
      <c r="A719" s="98">
        <f t="shared" si="11"/>
        <v>7</v>
      </c>
      <c r="B719" s="92" t="s">
        <v>2309</v>
      </c>
      <c r="C719" s="92" t="s">
        <v>322</v>
      </c>
      <c r="D719" s="95">
        <v>336400433.41000003</v>
      </c>
      <c r="E719" s="95">
        <v>168616080.69</v>
      </c>
      <c r="F719" s="95">
        <v>167784352.72</v>
      </c>
      <c r="G719" s="95">
        <v>0</v>
      </c>
      <c r="H719" s="95">
        <v>167784352.72</v>
      </c>
    </row>
    <row r="720" spans="1:8" ht="19.8" customHeight="1" x14ac:dyDescent="0.3">
      <c r="A720" s="98">
        <f t="shared" si="11"/>
        <v>11</v>
      </c>
      <c r="B720" s="92" t="s">
        <v>2310</v>
      </c>
      <c r="C720" s="92" t="s">
        <v>2311</v>
      </c>
      <c r="D720" s="95">
        <v>262034236.43000001</v>
      </c>
      <c r="E720" s="95">
        <v>137468294.66</v>
      </c>
      <c r="F720" s="95">
        <v>124565941.77</v>
      </c>
      <c r="G720" s="95">
        <v>0</v>
      </c>
      <c r="H720" s="95">
        <v>124565941.77</v>
      </c>
    </row>
    <row r="721" spans="1:8" ht="19.8" customHeight="1" x14ac:dyDescent="0.3">
      <c r="A721" s="98">
        <f t="shared" si="11"/>
        <v>11</v>
      </c>
      <c r="B721" s="92" t="s">
        <v>2312</v>
      </c>
      <c r="C721" s="92" t="s">
        <v>2313</v>
      </c>
      <c r="D721" s="95">
        <v>74366196.980000004</v>
      </c>
      <c r="E721" s="95">
        <v>31147786.030000001</v>
      </c>
      <c r="F721" s="95">
        <v>43218410.950000003</v>
      </c>
      <c r="G721" s="95">
        <v>0</v>
      </c>
      <c r="H721" s="95">
        <v>43218410.950000003</v>
      </c>
    </row>
    <row r="722" spans="1:8" ht="19.8" customHeight="1" x14ac:dyDescent="0.3">
      <c r="A722" s="98">
        <f t="shared" si="11"/>
        <v>3</v>
      </c>
      <c r="B722" s="92" t="s">
        <v>196</v>
      </c>
      <c r="C722" s="92" t="s">
        <v>323</v>
      </c>
      <c r="D722" s="95">
        <v>488805465.13999999</v>
      </c>
      <c r="E722" s="95">
        <v>236020792.53999999</v>
      </c>
      <c r="F722" s="95">
        <v>252784672.59999999</v>
      </c>
      <c r="G722" s="95">
        <v>0</v>
      </c>
      <c r="H722" s="95">
        <v>252784672.59999999</v>
      </c>
    </row>
    <row r="723" spans="1:8" ht="19.8" customHeight="1" x14ac:dyDescent="0.3">
      <c r="A723" s="98">
        <f t="shared" si="11"/>
        <v>7</v>
      </c>
      <c r="B723" s="92" t="s">
        <v>2314</v>
      </c>
      <c r="C723" s="92" t="s">
        <v>2315</v>
      </c>
      <c r="D723" s="95">
        <v>1297037.47</v>
      </c>
      <c r="E723" s="95">
        <v>444080.23</v>
      </c>
      <c r="F723" s="95">
        <v>852957.24</v>
      </c>
      <c r="G723" s="95">
        <v>0</v>
      </c>
      <c r="H723" s="95">
        <v>852957.24</v>
      </c>
    </row>
    <row r="724" spans="1:8" ht="19.8" customHeight="1" x14ac:dyDescent="0.3">
      <c r="A724" s="98">
        <f t="shared" si="11"/>
        <v>11</v>
      </c>
      <c r="B724" s="92" t="s">
        <v>2316</v>
      </c>
      <c r="C724" s="92" t="s">
        <v>2317</v>
      </c>
      <c r="D724" s="95">
        <v>1297037.47</v>
      </c>
      <c r="E724" s="95">
        <v>444080.23</v>
      </c>
      <c r="F724" s="95">
        <v>852957.24</v>
      </c>
      <c r="G724" s="95">
        <v>0</v>
      </c>
      <c r="H724" s="95">
        <v>852957.24</v>
      </c>
    </row>
    <row r="725" spans="1:8" ht="19.8" customHeight="1" x14ac:dyDescent="0.3">
      <c r="A725" s="98">
        <f t="shared" si="11"/>
        <v>7</v>
      </c>
      <c r="B725" s="92" t="s">
        <v>2318</v>
      </c>
      <c r="C725" s="92" t="s">
        <v>323</v>
      </c>
      <c r="D725" s="95">
        <v>484875281.88999999</v>
      </c>
      <c r="E725" s="95">
        <v>232949476.69999999</v>
      </c>
      <c r="F725" s="95">
        <v>251925805.19</v>
      </c>
      <c r="G725" s="95">
        <v>0</v>
      </c>
      <c r="H725" s="95">
        <v>251925805.19</v>
      </c>
    </row>
    <row r="726" spans="1:8" ht="19.8" customHeight="1" x14ac:dyDescent="0.3">
      <c r="A726" s="98">
        <f t="shared" si="11"/>
        <v>11</v>
      </c>
      <c r="B726" s="92" t="s">
        <v>2319</v>
      </c>
      <c r="C726" s="92" t="s">
        <v>2320</v>
      </c>
      <c r="D726" s="95">
        <v>60177100.07</v>
      </c>
      <c r="E726" s="95">
        <v>30124494.34</v>
      </c>
      <c r="F726" s="95">
        <v>30052605.73</v>
      </c>
      <c r="G726" s="95">
        <v>0</v>
      </c>
      <c r="H726" s="95">
        <v>30052605.73</v>
      </c>
    </row>
    <row r="727" spans="1:8" ht="19.8" customHeight="1" x14ac:dyDescent="0.3">
      <c r="A727" s="98">
        <f t="shared" si="11"/>
        <v>11</v>
      </c>
      <c r="B727" s="92" t="s">
        <v>2321</v>
      </c>
      <c r="C727" s="92" t="s">
        <v>2322</v>
      </c>
      <c r="D727" s="95">
        <v>319232181.63</v>
      </c>
      <c r="E727" s="95">
        <v>163413191.34999999</v>
      </c>
      <c r="F727" s="95">
        <v>155818990.28</v>
      </c>
      <c r="G727" s="95">
        <v>0</v>
      </c>
      <c r="H727" s="95">
        <v>155818990.28</v>
      </c>
    </row>
    <row r="728" spans="1:8" ht="19.8" customHeight="1" x14ac:dyDescent="0.3">
      <c r="A728" s="98">
        <f t="shared" si="11"/>
        <v>11</v>
      </c>
      <c r="B728" s="92" t="s">
        <v>2323</v>
      </c>
      <c r="C728" s="92" t="s">
        <v>2324</v>
      </c>
      <c r="D728" s="95">
        <v>40846739.219999999</v>
      </c>
      <c r="E728" s="95">
        <v>20592403.5</v>
      </c>
      <c r="F728" s="95">
        <v>20254335.719999999</v>
      </c>
      <c r="G728" s="95">
        <v>0</v>
      </c>
      <c r="H728" s="95">
        <v>20254335.719999999</v>
      </c>
    </row>
    <row r="729" spans="1:8" ht="19.8" customHeight="1" x14ac:dyDescent="0.3">
      <c r="A729" s="98">
        <f t="shared" si="11"/>
        <v>11</v>
      </c>
      <c r="B729" s="92" t="s">
        <v>2325</v>
      </c>
      <c r="C729" s="92" t="s">
        <v>2326</v>
      </c>
      <c r="D729" s="95">
        <v>64619260.969999999</v>
      </c>
      <c r="E729" s="95">
        <v>18819387.510000002</v>
      </c>
      <c r="F729" s="95">
        <v>45799873.460000001</v>
      </c>
      <c r="G729" s="95">
        <v>0</v>
      </c>
      <c r="H729" s="95">
        <v>45799873.460000001</v>
      </c>
    </row>
    <row r="730" spans="1:8" ht="19.8" customHeight="1" x14ac:dyDescent="0.3">
      <c r="A730" s="98">
        <f t="shared" si="11"/>
        <v>7</v>
      </c>
      <c r="B730" s="92" t="s">
        <v>2327</v>
      </c>
      <c r="C730" s="92" t="s">
        <v>323</v>
      </c>
      <c r="D730" s="95">
        <v>96811.07</v>
      </c>
      <c r="E730" s="95">
        <v>96811.07</v>
      </c>
      <c r="F730" s="95">
        <v>0</v>
      </c>
      <c r="G730" s="95">
        <v>0</v>
      </c>
      <c r="H730" s="95">
        <v>0</v>
      </c>
    </row>
    <row r="731" spans="1:8" ht="19.8" customHeight="1" x14ac:dyDescent="0.3">
      <c r="A731" s="98">
        <f t="shared" si="11"/>
        <v>11</v>
      </c>
      <c r="B731" s="92" t="s">
        <v>2328</v>
      </c>
      <c r="C731" s="92" t="s">
        <v>2329</v>
      </c>
      <c r="D731" s="95">
        <v>96811.07</v>
      </c>
      <c r="E731" s="95">
        <v>96811.07</v>
      </c>
      <c r="F731" s="95">
        <v>0</v>
      </c>
      <c r="G731" s="95">
        <v>0</v>
      </c>
      <c r="H731" s="95">
        <v>0</v>
      </c>
    </row>
    <row r="732" spans="1:8" ht="19.8" customHeight="1" x14ac:dyDescent="0.3">
      <c r="A732" s="98">
        <f t="shared" si="11"/>
        <v>7</v>
      </c>
      <c r="B732" s="92" t="s">
        <v>2330</v>
      </c>
      <c r="C732" s="92" t="s">
        <v>323</v>
      </c>
      <c r="D732" s="95">
        <v>2486410.4300000002</v>
      </c>
      <c r="E732" s="95">
        <v>2481559.5</v>
      </c>
      <c r="F732" s="95">
        <v>4850.93</v>
      </c>
      <c r="G732" s="95">
        <v>0</v>
      </c>
      <c r="H732" s="95">
        <v>4850.93</v>
      </c>
    </row>
    <row r="733" spans="1:8" ht="19.8" customHeight="1" x14ac:dyDescent="0.3">
      <c r="A733" s="98">
        <f t="shared" si="11"/>
        <v>11</v>
      </c>
      <c r="B733" s="92" t="s">
        <v>2331</v>
      </c>
      <c r="C733" s="92" t="s">
        <v>2332</v>
      </c>
      <c r="D733" s="95">
        <v>2486410.4300000002</v>
      </c>
      <c r="E733" s="95">
        <v>2481559.5</v>
      </c>
      <c r="F733" s="95">
        <v>4850.93</v>
      </c>
      <c r="G733" s="95">
        <v>0</v>
      </c>
      <c r="H733" s="95">
        <v>4850.93</v>
      </c>
    </row>
    <row r="734" spans="1:8" ht="19.8" customHeight="1" x14ac:dyDescent="0.3">
      <c r="A734" s="98">
        <f t="shared" si="11"/>
        <v>7</v>
      </c>
      <c r="B734" s="92" t="s">
        <v>2333</v>
      </c>
      <c r="C734" s="92" t="s">
        <v>323</v>
      </c>
      <c r="D734" s="95">
        <v>49924.28</v>
      </c>
      <c r="E734" s="95">
        <v>48865.04</v>
      </c>
      <c r="F734" s="95">
        <v>1059.24</v>
      </c>
      <c r="G734" s="95">
        <v>0</v>
      </c>
      <c r="H734" s="95">
        <v>1059.24</v>
      </c>
    </row>
    <row r="735" spans="1:8" ht="19.8" customHeight="1" x14ac:dyDescent="0.3">
      <c r="A735" s="98">
        <f t="shared" si="11"/>
        <v>11</v>
      </c>
      <c r="B735" s="92" t="s">
        <v>2334</v>
      </c>
      <c r="C735" s="92" t="s">
        <v>2335</v>
      </c>
      <c r="D735" s="95">
        <v>49924.28</v>
      </c>
      <c r="E735" s="95">
        <v>48865.04</v>
      </c>
      <c r="F735" s="95">
        <v>1059.24</v>
      </c>
      <c r="G735" s="95">
        <v>0</v>
      </c>
      <c r="H735" s="95">
        <v>1059.24</v>
      </c>
    </row>
    <row r="736" spans="1:8" ht="19.8" customHeight="1" x14ac:dyDescent="0.3">
      <c r="A736" s="98">
        <f t="shared" si="11"/>
        <v>3</v>
      </c>
      <c r="B736" s="92" t="s">
        <v>197</v>
      </c>
      <c r="C736" s="92" t="s">
        <v>329</v>
      </c>
      <c r="D736" s="95">
        <v>237331778.22</v>
      </c>
      <c r="E736" s="95">
        <v>475952853.24000001</v>
      </c>
      <c r="F736" s="95">
        <v>0</v>
      </c>
      <c r="G736" s="95">
        <v>238621075.02000001</v>
      </c>
      <c r="H736" s="95">
        <v>-238621075.02000001</v>
      </c>
    </row>
    <row r="737" spans="1:8" ht="19.8" customHeight="1" x14ac:dyDescent="0.3">
      <c r="A737" s="98">
        <f t="shared" si="11"/>
        <v>7</v>
      </c>
      <c r="B737" s="92" t="s">
        <v>2336</v>
      </c>
      <c r="C737" s="92" t="s">
        <v>2337</v>
      </c>
      <c r="D737" s="95">
        <v>236641540.28</v>
      </c>
      <c r="E737" s="95">
        <v>475259995.56</v>
      </c>
      <c r="F737" s="95">
        <v>0</v>
      </c>
      <c r="G737" s="95">
        <v>238618455.28</v>
      </c>
      <c r="H737" s="95">
        <v>-238618455.28</v>
      </c>
    </row>
    <row r="738" spans="1:8" ht="19.8" customHeight="1" x14ac:dyDescent="0.3">
      <c r="A738" s="98">
        <f t="shared" si="11"/>
        <v>11</v>
      </c>
      <c r="B738" s="92" t="s">
        <v>2338</v>
      </c>
      <c r="C738" s="92" t="s">
        <v>2339</v>
      </c>
      <c r="D738" s="95">
        <v>10288515.85</v>
      </c>
      <c r="E738" s="95">
        <v>20495095.039999999</v>
      </c>
      <c r="F738" s="95">
        <v>0</v>
      </c>
      <c r="G738" s="95">
        <v>10206579.189999999</v>
      </c>
      <c r="H738" s="95">
        <v>-10206579.189999999</v>
      </c>
    </row>
    <row r="739" spans="1:8" ht="19.8" customHeight="1" x14ac:dyDescent="0.3">
      <c r="A739" s="98">
        <f t="shared" si="11"/>
        <v>11</v>
      </c>
      <c r="B739" s="92" t="s">
        <v>2340</v>
      </c>
      <c r="C739" s="92" t="s">
        <v>2341</v>
      </c>
      <c r="D739" s="95">
        <v>24121145.18</v>
      </c>
      <c r="E739" s="95">
        <v>47893250.700000003</v>
      </c>
      <c r="F739" s="95">
        <v>0</v>
      </c>
      <c r="G739" s="95">
        <v>23772105.52</v>
      </c>
      <c r="H739" s="95">
        <v>-23772105.52</v>
      </c>
    </row>
    <row r="740" spans="1:8" ht="19.8" customHeight="1" x14ac:dyDescent="0.3">
      <c r="A740" s="98">
        <f t="shared" si="11"/>
        <v>11</v>
      </c>
      <c r="B740" s="92" t="s">
        <v>2342</v>
      </c>
      <c r="C740" s="92" t="s">
        <v>436</v>
      </c>
      <c r="D740" s="95">
        <v>52555178.509999998</v>
      </c>
      <c r="E740" s="95">
        <v>90890435.420000002</v>
      </c>
      <c r="F740" s="95">
        <v>0</v>
      </c>
      <c r="G740" s="95">
        <v>38335256.909999996</v>
      </c>
      <c r="H740" s="95">
        <v>-38335256.909999996</v>
      </c>
    </row>
    <row r="741" spans="1:8" ht="19.8" customHeight="1" x14ac:dyDescent="0.3">
      <c r="A741" s="98">
        <f t="shared" si="11"/>
        <v>11</v>
      </c>
      <c r="B741" s="92" t="s">
        <v>2343</v>
      </c>
      <c r="C741" s="92" t="s">
        <v>437</v>
      </c>
      <c r="D741" s="95">
        <v>121619732.06</v>
      </c>
      <c r="E741" s="95">
        <v>233230798.91</v>
      </c>
      <c r="F741" s="95">
        <v>0</v>
      </c>
      <c r="G741" s="95">
        <v>111611066.84999999</v>
      </c>
      <c r="H741" s="95">
        <v>-111611066.84999999</v>
      </c>
    </row>
    <row r="742" spans="1:8" ht="19.8" customHeight="1" x14ac:dyDescent="0.3">
      <c r="A742" s="98">
        <f t="shared" si="11"/>
        <v>11</v>
      </c>
      <c r="B742" s="92" t="s">
        <v>2344</v>
      </c>
      <c r="C742" s="92" t="s">
        <v>2345</v>
      </c>
      <c r="D742" s="95">
        <v>28056968.68</v>
      </c>
      <c r="E742" s="95">
        <v>82750415.489999995</v>
      </c>
      <c r="F742" s="95">
        <v>0</v>
      </c>
      <c r="G742" s="95">
        <v>54693446.810000002</v>
      </c>
      <c r="H742" s="95">
        <v>-54693446.810000002</v>
      </c>
    </row>
    <row r="743" spans="1:8" ht="19.8" customHeight="1" x14ac:dyDescent="0.3">
      <c r="A743" s="98">
        <f t="shared" si="11"/>
        <v>7</v>
      </c>
      <c r="B743" s="92" t="s">
        <v>2346</v>
      </c>
      <c r="C743" s="92" t="s">
        <v>2337</v>
      </c>
      <c r="D743" s="95">
        <v>22213.93</v>
      </c>
      <c r="E743" s="95">
        <v>22213.93</v>
      </c>
      <c r="F743" s="95">
        <v>0</v>
      </c>
      <c r="G743" s="95">
        <v>0</v>
      </c>
      <c r="H743" s="95">
        <v>0</v>
      </c>
    </row>
    <row r="744" spans="1:8" ht="19.8" customHeight="1" x14ac:dyDescent="0.3">
      <c r="A744" s="98">
        <f t="shared" si="11"/>
        <v>11</v>
      </c>
      <c r="B744" s="92" t="s">
        <v>2347</v>
      </c>
      <c r="C744" s="92" t="s">
        <v>2348</v>
      </c>
      <c r="D744" s="95">
        <v>22213.93</v>
      </c>
      <c r="E744" s="95">
        <v>22213.93</v>
      </c>
      <c r="F744" s="95">
        <v>0</v>
      </c>
      <c r="G744" s="95">
        <v>0</v>
      </c>
      <c r="H744" s="95">
        <v>0</v>
      </c>
    </row>
    <row r="745" spans="1:8" ht="19.8" customHeight="1" x14ac:dyDescent="0.3">
      <c r="A745" s="98">
        <f t="shared" si="11"/>
        <v>7</v>
      </c>
      <c r="B745" s="92" t="s">
        <v>2349</v>
      </c>
      <c r="C745" s="92" t="s">
        <v>2337</v>
      </c>
      <c r="D745" s="95">
        <v>657768.06000000006</v>
      </c>
      <c r="E745" s="95">
        <v>659806</v>
      </c>
      <c r="F745" s="95">
        <v>0</v>
      </c>
      <c r="G745" s="95">
        <v>2037.94</v>
      </c>
      <c r="H745" s="95">
        <v>-2037.94</v>
      </c>
    </row>
    <row r="746" spans="1:8" ht="19.8" customHeight="1" x14ac:dyDescent="0.3">
      <c r="A746" s="98">
        <f t="shared" si="11"/>
        <v>11</v>
      </c>
      <c r="B746" s="92" t="s">
        <v>2350</v>
      </c>
      <c r="C746" s="92" t="s">
        <v>2351</v>
      </c>
      <c r="D746" s="95">
        <v>48460.33</v>
      </c>
      <c r="E746" s="95">
        <v>48460.33</v>
      </c>
      <c r="F746" s="95">
        <v>0</v>
      </c>
      <c r="G746" s="95">
        <v>0</v>
      </c>
      <c r="H746" s="95">
        <v>0</v>
      </c>
    </row>
    <row r="747" spans="1:8" ht="19.8" customHeight="1" x14ac:dyDescent="0.3">
      <c r="A747" s="98">
        <f t="shared" si="11"/>
        <v>11</v>
      </c>
      <c r="B747" s="92" t="s">
        <v>2352</v>
      </c>
      <c r="C747" s="92" t="s">
        <v>2353</v>
      </c>
      <c r="D747" s="95">
        <v>609307.73</v>
      </c>
      <c r="E747" s="95">
        <v>611345.67000000004</v>
      </c>
      <c r="F747" s="95">
        <v>0</v>
      </c>
      <c r="G747" s="95">
        <v>2037.94</v>
      </c>
      <c r="H747" s="95">
        <v>-2037.94</v>
      </c>
    </row>
    <row r="748" spans="1:8" ht="19.8" customHeight="1" x14ac:dyDescent="0.3">
      <c r="A748" s="98">
        <f t="shared" si="11"/>
        <v>7</v>
      </c>
      <c r="B748" s="92" t="s">
        <v>2354</v>
      </c>
      <c r="C748" s="92" t="s">
        <v>2337</v>
      </c>
      <c r="D748" s="95">
        <v>10255.950000000001</v>
      </c>
      <c r="E748" s="95">
        <v>10837.75</v>
      </c>
      <c r="F748" s="95">
        <v>0</v>
      </c>
      <c r="G748" s="95">
        <v>581.79999999999995</v>
      </c>
      <c r="H748" s="95">
        <v>-581.79999999999995</v>
      </c>
    </row>
    <row r="749" spans="1:8" ht="19.8" customHeight="1" x14ac:dyDescent="0.3">
      <c r="A749" s="98">
        <f t="shared" si="11"/>
        <v>11</v>
      </c>
      <c r="B749" s="92" t="s">
        <v>2355</v>
      </c>
      <c r="C749" s="92" t="s">
        <v>2356</v>
      </c>
      <c r="D749" s="95">
        <v>10255.950000000001</v>
      </c>
      <c r="E749" s="95">
        <v>10837.75</v>
      </c>
      <c r="F749" s="95">
        <v>0</v>
      </c>
      <c r="G749" s="95">
        <v>581.79999999999995</v>
      </c>
      <c r="H749" s="95">
        <v>-581.79999999999995</v>
      </c>
    </row>
    <row r="750" spans="1:8" ht="19.8" customHeight="1" x14ac:dyDescent="0.3">
      <c r="A750" s="98">
        <f t="shared" si="11"/>
        <v>3</v>
      </c>
      <c r="B750" s="92" t="s">
        <v>273</v>
      </c>
      <c r="C750" s="92" t="s">
        <v>324</v>
      </c>
      <c r="D750" s="95">
        <v>602610776.71000004</v>
      </c>
      <c r="E750" s="95">
        <v>293613084.07999998</v>
      </c>
      <c r="F750" s="95">
        <v>308997692.63</v>
      </c>
      <c r="G750" s="95">
        <v>0</v>
      </c>
      <c r="H750" s="95">
        <v>308997692.63</v>
      </c>
    </row>
    <row r="751" spans="1:8" ht="19.8" customHeight="1" x14ac:dyDescent="0.3">
      <c r="A751" s="98">
        <f t="shared" si="11"/>
        <v>7</v>
      </c>
      <c r="B751" s="92" t="s">
        <v>2357</v>
      </c>
      <c r="C751" s="92" t="s">
        <v>324</v>
      </c>
      <c r="D751" s="95">
        <v>594453157.79999995</v>
      </c>
      <c r="E751" s="95">
        <v>287293796.01999998</v>
      </c>
      <c r="F751" s="95">
        <v>307159361.77999997</v>
      </c>
      <c r="G751" s="95">
        <v>0</v>
      </c>
      <c r="H751" s="95">
        <v>307159361.77999997</v>
      </c>
    </row>
    <row r="752" spans="1:8" ht="19.8" customHeight="1" x14ac:dyDescent="0.3">
      <c r="A752" s="98">
        <f t="shared" si="11"/>
        <v>11</v>
      </c>
      <c r="B752" s="92" t="s">
        <v>2358</v>
      </c>
      <c r="C752" s="92" t="s">
        <v>2359</v>
      </c>
      <c r="D752" s="95">
        <v>240205261.93000001</v>
      </c>
      <c r="E752" s="95">
        <v>0</v>
      </c>
      <c r="F752" s="95">
        <v>240205261.93000001</v>
      </c>
      <c r="G752" s="95">
        <v>0</v>
      </c>
      <c r="H752" s="95">
        <v>240205261.93000001</v>
      </c>
    </row>
    <row r="753" spans="1:8" ht="19.8" customHeight="1" x14ac:dyDescent="0.3">
      <c r="A753" s="98">
        <f t="shared" si="11"/>
        <v>11</v>
      </c>
      <c r="B753" s="92" t="s">
        <v>2360</v>
      </c>
      <c r="C753" s="92" t="s">
        <v>2361</v>
      </c>
      <c r="D753" s="95">
        <v>157629.5</v>
      </c>
      <c r="E753" s="95">
        <v>0</v>
      </c>
      <c r="F753" s="95">
        <v>157629.5</v>
      </c>
      <c r="G753" s="95">
        <v>0</v>
      </c>
      <c r="H753" s="95">
        <v>157629.5</v>
      </c>
    </row>
    <row r="754" spans="1:8" ht="19.8" customHeight="1" x14ac:dyDescent="0.3">
      <c r="A754" s="98">
        <f t="shared" si="11"/>
        <v>11</v>
      </c>
      <c r="B754" s="92" t="s">
        <v>2362</v>
      </c>
      <c r="C754" s="92" t="s">
        <v>2363</v>
      </c>
      <c r="D754" s="95">
        <v>3627166.72</v>
      </c>
      <c r="E754" s="95">
        <v>3242330.05</v>
      </c>
      <c r="F754" s="95">
        <v>384836.67</v>
      </c>
      <c r="G754" s="95">
        <v>0</v>
      </c>
      <c r="H754" s="95">
        <v>384836.67</v>
      </c>
    </row>
    <row r="755" spans="1:8" ht="19.8" customHeight="1" x14ac:dyDescent="0.3">
      <c r="A755" s="98">
        <f t="shared" si="11"/>
        <v>11</v>
      </c>
      <c r="B755" s="92" t="s">
        <v>2364</v>
      </c>
      <c r="C755" s="92" t="s">
        <v>2365</v>
      </c>
      <c r="D755" s="95">
        <v>48233210</v>
      </c>
      <c r="E755" s="95">
        <v>48233210</v>
      </c>
      <c r="F755" s="95">
        <v>0</v>
      </c>
      <c r="G755" s="95">
        <v>0</v>
      </c>
      <c r="H755" s="95">
        <v>0</v>
      </c>
    </row>
    <row r="756" spans="1:8" ht="19.8" customHeight="1" x14ac:dyDescent="0.3">
      <c r="A756" s="98">
        <f t="shared" si="11"/>
        <v>11</v>
      </c>
      <c r="B756" s="92" t="s">
        <v>2366</v>
      </c>
      <c r="C756" s="92" t="s">
        <v>2367</v>
      </c>
      <c r="D756" s="95">
        <v>113095646.56</v>
      </c>
      <c r="E756" s="95">
        <v>103080984.61</v>
      </c>
      <c r="F756" s="95">
        <v>10014661.949999999</v>
      </c>
      <c r="G756" s="95">
        <v>0</v>
      </c>
      <c r="H756" s="95">
        <v>10014661.949999999</v>
      </c>
    </row>
    <row r="757" spans="1:8" ht="19.8" customHeight="1" x14ac:dyDescent="0.3">
      <c r="A757" s="98">
        <f t="shared" si="11"/>
        <v>11</v>
      </c>
      <c r="B757" s="92" t="s">
        <v>2368</v>
      </c>
      <c r="C757" s="92" t="s">
        <v>2369</v>
      </c>
      <c r="D757" s="95">
        <v>42107201.729999997</v>
      </c>
      <c r="E757" s="95">
        <v>10160000</v>
      </c>
      <c r="F757" s="95">
        <v>31947201.73</v>
      </c>
      <c r="G757" s="95">
        <v>0</v>
      </c>
      <c r="H757" s="95">
        <v>31947201.73</v>
      </c>
    </row>
    <row r="758" spans="1:8" ht="19.8" customHeight="1" x14ac:dyDescent="0.3">
      <c r="A758" s="98">
        <f t="shared" si="11"/>
        <v>11</v>
      </c>
      <c r="B758" s="92" t="s">
        <v>2370</v>
      </c>
      <c r="C758" s="92" t="s">
        <v>2371</v>
      </c>
      <c r="D758" s="95">
        <v>4378809.6900000004</v>
      </c>
      <c r="E758" s="95">
        <v>4378809.6900000004</v>
      </c>
      <c r="F758" s="95">
        <v>0</v>
      </c>
      <c r="G758" s="95">
        <v>0</v>
      </c>
      <c r="H758" s="95">
        <v>0</v>
      </c>
    </row>
    <row r="759" spans="1:8" ht="19.8" customHeight="1" x14ac:dyDescent="0.3">
      <c r="A759" s="98">
        <f t="shared" si="11"/>
        <v>11</v>
      </c>
      <c r="B759" s="92" t="s">
        <v>2372</v>
      </c>
      <c r="C759" s="92" t="s">
        <v>2373</v>
      </c>
      <c r="D759" s="95">
        <v>116765039.23</v>
      </c>
      <c r="E759" s="95">
        <v>105062073.73999999</v>
      </c>
      <c r="F759" s="95">
        <v>11702965.49</v>
      </c>
      <c r="G759" s="95">
        <v>0</v>
      </c>
      <c r="H759" s="95">
        <v>11702965.49</v>
      </c>
    </row>
    <row r="760" spans="1:8" ht="19.8" customHeight="1" x14ac:dyDescent="0.3">
      <c r="A760" s="98">
        <f t="shared" si="11"/>
        <v>11</v>
      </c>
      <c r="B760" s="92" t="s">
        <v>2374</v>
      </c>
      <c r="C760" s="92" t="s">
        <v>2375</v>
      </c>
      <c r="D760" s="95">
        <v>25883192.440000001</v>
      </c>
      <c r="E760" s="95">
        <v>13136387.93</v>
      </c>
      <c r="F760" s="95">
        <v>12746804.51</v>
      </c>
      <c r="G760" s="95">
        <v>0</v>
      </c>
      <c r="H760" s="95">
        <v>12746804.51</v>
      </c>
    </row>
    <row r="761" spans="1:8" ht="19.8" customHeight="1" x14ac:dyDescent="0.3">
      <c r="A761" s="98">
        <f t="shared" si="11"/>
        <v>7</v>
      </c>
      <c r="B761" s="92" t="s">
        <v>2376</v>
      </c>
      <c r="C761" s="92" t="s">
        <v>2377</v>
      </c>
      <c r="D761" s="95">
        <v>2221061.52</v>
      </c>
      <c r="E761" s="95">
        <v>382730.67</v>
      </c>
      <c r="F761" s="95">
        <v>1838330.85</v>
      </c>
      <c r="G761" s="95">
        <v>0</v>
      </c>
      <c r="H761" s="95">
        <v>1838330.85</v>
      </c>
    </row>
    <row r="762" spans="1:8" ht="19.8" customHeight="1" x14ac:dyDescent="0.3">
      <c r="A762" s="98">
        <f t="shared" si="11"/>
        <v>11</v>
      </c>
      <c r="B762" s="92" t="s">
        <v>2378</v>
      </c>
      <c r="C762" s="92" t="s">
        <v>2379</v>
      </c>
      <c r="D762" s="95">
        <v>13215.06</v>
      </c>
      <c r="E762" s="95">
        <v>13215.06</v>
      </c>
      <c r="F762" s="95">
        <v>0</v>
      </c>
      <c r="G762" s="95">
        <v>0</v>
      </c>
      <c r="H762" s="95">
        <v>0</v>
      </c>
    </row>
    <row r="763" spans="1:8" ht="19.8" customHeight="1" x14ac:dyDescent="0.3">
      <c r="A763" s="98">
        <f t="shared" si="11"/>
        <v>11</v>
      </c>
      <c r="B763" s="92" t="s">
        <v>2380</v>
      </c>
      <c r="C763" s="92" t="s">
        <v>2381</v>
      </c>
      <c r="D763" s="95">
        <v>865218.94</v>
      </c>
      <c r="E763" s="95">
        <v>200115.61</v>
      </c>
      <c r="F763" s="95">
        <v>665103.32999999996</v>
      </c>
      <c r="G763" s="95">
        <v>0</v>
      </c>
      <c r="H763" s="95">
        <v>665103.32999999996</v>
      </c>
    </row>
    <row r="764" spans="1:8" ht="19.8" customHeight="1" x14ac:dyDescent="0.3">
      <c r="A764" s="98">
        <f t="shared" si="11"/>
        <v>11</v>
      </c>
      <c r="B764" s="92" t="s">
        <v>2382</v>
      </c>
      <c r="C764" s="92" t="s">
        <v>2383</v>
      </c>
      <c r="D764" s="95">
        <v>1342627.52</v>
      </c>
      <c r="E764" s="95">
        <v>169400</v>
      </c>
      <c r="F764" s="95">
        <v>1173227.52</v>
      </c>
      <c r="G764" s="95">
        <v>0</v>
      </c>
      <c r="H764" s="95">
        <v>1173227.52</v>
      </c>
    </row>
    <row r="765" spans="1:8" ht="19.8" customHeight="1" x14ac:dyDescent="0.3">
      <c r="A765" s="98">
        <f t="shared" si="11"/>
        <v>7</v>
      </c>
      <c r="B765" s="92" t="s">
        <v>2384</v>
      </c>
      <c r="C765" s="92" t="s">
        <v>2385</v>
      </c>
      <c r="D765" s="95">
        <v>5936557.3899999997</v>
      </c>
      <c r="E765" s="95">
        <v>5936557.3899999997</v>
      </c>
      <c r="F765" s="95">
        <v>0</v>
      </c>
      <c r="G765" s="95">
        <v>0</v>
      </c>
      <c r="H765" s="95">
        <v>0</v>
      </c>
    </row>
    <row r="766" spans="1:8" ht="19.8" customHeight="1" x14ac:dyDescent="0.3">
      <c r="A766" s="98">
        <f t="shared" si="11"/>
        <v>11</v>
      </c>
      <c r="B766" s="92" t="s">
        <v>2386</v>
      </c>
      <c r="C766" s="92" t="s">
        <v>2385</v>
      </c>
      <c r="D766" s="95">
        <v>5936557.3899999997</v>
      </c>
      <c r="E766" s="95">
        <v>5936557.3899999997</v>
      </c>
      <c r="F766" s="95">
        <v>0</v>
      </c>
      <c r="G766" s="95">
        <v>0</v>
      </c>
      <c r="H766" s="95">
        <v>0</v>
      </c>
    </row>
    <row r="767" spans="1:8" ht="19.8" customHeight="1" x14ac:dyDescent="0.3">
      <c r="A767" s="98">
        <f t="shared" si="11"/>
        <v>3</v>
      </c>
      <c r="B767" s="92" t="s">
        <v>198</v>
      </c>
      <c r="C767" s="92" t="s">
        <v>372</v>
      </c>
      <c r="D767" s="95">
        <v>122683644.2</v>
      </c>
      <c r="E767" s="95">
        <v>112586611.54000001</v>
      </c>
      <c r="F767" s="95">
        <v>10097032.970000001</v>
      </c>
      <c r="G767" s="95">
        <v>0.310000000000002</v>
      </c>
      <c r="H767" s="95">
        <v>10097032.66</v>
      </c>
    </row>
    <row r="768" spans="1:8" ht="19.8" customHeight="1" x14ac:dyDescent="0.3">
      <c r="A768" s="98">
        <f t="shared" si="11"/>
        <v>7</v>
      </c>
      <c r="B768" s="92" t="s">
        <v>2387</v>
      </c>
      <c r="C768" s="92" t="s">
        <v>372</v>
      </c>
      <c r="D768" s="95">
        <v>26164476.120000001</v>
      </c>
      <c r="E768" s="95">
        <v>21242420.190000001</v>
      </c>
      <c r="F768" s="95">
        <v>4922056.24</v>
      </c>
      <c r="G768" s="95">
        <v>0.310000000000002</v>
      </c>
      <c r="H768" s="95">
        <v>4922055.93</v>
      </c>
    </row>
    <row r="769" spans="1:8" ht="19.8" customHeight="1" x14ac:dyDescent="0.3">
      <c r="A769" s="98">
        <f t="shared" si="11"/>
        <v>11</v>
      </c>
      <c r="B769" s="92" t="s">
        <v>2388</v>
      </c>
      <c r="C769" s="92" t="s">
        <v>2389</v>
      </c>
      <c r="D769" s="95">
        <v>26270.51</v>
      </c>
      <c r="E769" s="95">
        <v>22444.73</v>
      </c>
      <c r="F769" s="95">
        <v>3825.78</v>
      </c>
      <c r="G769" s="95">
        <v>0</v>
      </c>
      <c r="H769" s="95">
        <v>3825.78</v>
      </c>
    </row>
    <row r="770" spans="1:8" ht="19.8" customHeight="1" x14ac:dyDescent="0.3">
      <c r="A770" s="98">
        <f t="shared" si="11"/>
        <v>11</v>
      </c>
      <c r="B770" s="92" t="s">
        <v>2390</v>
      </c>
      <c r="C770" s="92" t="s">
        <v>2391</v>
      </c>
      <c r="D770" s="95">
        <v>25868689.949999999</v>
      </c>
      <c r="E770" s="95">
        <v>20950459.489999998</v>
      </c>
      <c r="F770" s="95">
        <v>4918230.46</v>
      </c>
      <c r="G770" s="95">
        <v>0</v>
      </c>
      <c r="H770" s="95">
        <v>4918230.46</v>
      </c>
    </row>
    <row r="771" spans="1:8" ht="19.8" customHeight="1" x14ac:dyDescent="0.3">
      <c r="A771" s="98">
        <f t="shared" ref="A771:A834" si="12">+LEN(B771)</f>
        <v>11</v>
      </c>
      <c r="B771" s="92" t="s">
        <v>2392</v>
      </c>
      <c r="C771" s="92" t="s">
        <v>2393</v>
      </c>
      <c r="D771" s="95">
        <v>269515.65999999997</v>
      </c>
      <c r="E771" s="95">
        <v>269515.96999999997</v>
      </c>
      <c r="F771" s="95">
        <v>0</v>
      </c>
      <c r="G771" s="95">
        <v>0.310000000000002</v>
      </c>
      <c r="H771" s="95">
        <v>-0.310000000000002</v>
      </c>
    </row>
    <row r="772" spans="1:8" ht="19.8" customHeight="1" x14ac:dyDescent="0.3">
      <c r="A772" s="98">
        <f t="shared" si="12"/>
        <v>7</v>
      </c>
      <c r="B772" s="92" t="s">
        <v>2394</v>
      </c>
      <c r="C772" s="92" t="s">
        <v>316</v>
      </c>
      <c r="D772" s="95">
        <v>96519168.079999998</v>
      </c>
      <c r="E772" s="95">
        <v>91344191.349999994</v>
      </c>
      <c r="F772" s="95">
        <v>5174976.7300000004</v>
      </c>
      <c r="G772" s="95">
        <v>0</v>
      </c>
      <c r="H772" s="95">
        <v>5174976.7300000004</v>
      </c>
    </row>
    <row r="773" spans="1:8" ht="19.8" customHeight="1" x14ac:dyDescent="0.3">
      <c r="A773" s="98">
        <f t="shared" si="12"/>
        <v>11</v>
      </c>
      <c r="B773" s="92" t="s">
        <v>2395</v>
      </c>
      <c r="C773" s="92" t="s">
        <v>2396</v>
      </c>
      <c r="D773" s="95">
        <v>90099009.689999998</v>
      </c>
      <c r="E773" s="95">
        <v>85470463.269999996</v>
      </c>
      <c r="F773" s="95">
        <v>4628546.42</v>
      </c>
      <c r="G773" s="95">
        <v>0</v>
      </c>
      <c r="H773" s="95">
        <v>4628546.42</v>
      </c>
    </row>
    <row r="774" spans="1:8" ht="19.8" customHeight="1" x14ac:dyDescent="0.3">
      <c r="A774" s="98">
        <f t="shared" si="12"/>
        <v>11</v>
      </c>
      <c r="B774" s="92" t="s">
        <v>2397</v>
      </c>
      <c r="C774" s="92" t="s">
        <v>2398</v>
      </c>
      <c r="D774" s="95">
        <v>6420158.3899999997</v>
      </c>
      <c r="E774" s="95">
        <v>5873728.0800000001</v>
      </c>
      <c r="F774" s="95">
        <v>546430.31000000006</v>
      </c>
      <c r="G774" s="95">
        <v>0</v>
      </c>
      <c r="H774" s="95">
        <v>546430.31000000006</v>
      </c>
    </row>
    <row r="775" spans="1:8" ht="19.8" customHeight="1" x14ac:dyDescent="0.3">
      <c r="A775" s="98">
        <f t="shared" si="12"/>
        <v>3</v>
      </c>
      <c r="B775" s="92" t="s">
        <v>199</v>
      </c>
      <c r="C775" s="92" t="s">
        <v>325</v>
      </c>
      <c r="D775" s="95">
        <v>263621852.18000001</v>
      </c>
      <c r="E775" s="95">
        <v>123660153.25</v>
      </c>
      <c r="F775" s="95">
        <v>139961698.93000001</v>
      </c>
      <c r="G775" s="95">
        <v>0</v>
      </c>
      <c r="H775" s="95">
        <v>139961698.93000001</v>
      </c>
    </row>
    <row r="776" spans="1:8" ht="19.8" customHeight="1" x14ac:dyDescent="0.3">
      <c r="A776" s="98">
        <f t="shared" si="12"/>
        <v>7</v>
      </c>
      <c r="B776" s="92" t="s">
        <v>2399</v>
      </c>
      <c r="C776" s="92" t="s">
        <v>325</v>
      </c>
      <c r="D776" s="95">
        <v>263621852.18000001</v>
      </c>
      <c r="E776" s="95">
        <v>123660153.25</v>
      </c>
      <c r="F776" s="95">
        <v>139961698.93000001</v>
      </c>
      <c r="G776" s="95">
        <v>0</v>
      </c>
      <c r="H776" s="95">
        <v>139961698.93000001</v>
      </c>
    </row>
    <row r="777" spans="1:8" ht="19.8" customHeight="1" x14ac:dyDescent="0.3">
      <c r="A777" s="98">
        <f t="shared" si="12"/>
        <v>11</v>
      </c>
      <c r="B777" s="92" t="s">
        <v>2400</v>
      </c>
      <c r="C777" s="92" t="s">
        <v>2401</v>
      </c>
      <c r="D777" s="95">
        <v>5128421.5599999996</v>
      </c>
      <c r="E777" s="95">
        <v>2564210.7799999998</v>
      </c>
      <c r="F777" s="95">
        <v>2564210.7799999998</v>
      </c>
      <c r="G777" s="95">
        <v>0</v>
      </c>
      <c r="H777" s="95">
        <v>2564210.7799999998</v>
      </c>
    </row>
    <row r="778" spans="1:8" ht="19.8" customHeight="1" x14ac:dyDescent="0.3">
      <c r="A778" s="98">
        <f t="shared" si="12"/>
        <v>11</v>
      </c>
      <c r="B778" s="92" t="s">
        <v>2402</v>
      </c>
      <c r="C778" s="92" t="s">
        <v>2403</v>
      </c>
      <c r="D778" s="95">
        <v>155610668.09</v>
      </c>
      <c r="E778" s="95">
        <v>81299420.969999999</v>
      </c>
      <c r="F778" s="95">
        <v>74311247.120000005</v>
      </c>
      <c r="G778" s="95">
        <v>0</v>
      </c>
      <c r="H778" s="95">
        <v>74311247.120000005</v>
      </c>
    </row>
    <row r="779" spans="1:8" ht="19.8" customHeight="1" x14ac:dyDescent="0.3">
      <c r="A779" s="98">
        <f t="shared" si="12"/>
        <v>11</v>
      </c>
      <c r="B779" s="92" t="s">
        <v>2404</v>
      </c>
      <c r="C779" s="92" t="s">
        <v>2405</v>
      </c>
      <c r="D779" s="95">
        <v>81408373.290000007</v>
      </c>
      <c r="E779" s="95">
        <v>37210873.869999997</v>
      </c>
      <c r="F779" s="95">
        <v>44197499.420000002</v>
      </c>
      <c r="G779" s="95">
        <v>0</v>
      </c>
      <c r="H779" s="95">
        <v>44197499.420000002</v>
      </c>
    </row>
    <row r="780" spans="1:8" ht="19.8" customHeight="1" x14ac:dyDescent="0.3">
      <c r="A780" s="98">
        <f t="shared" si="12"/>
        <v>11</v>
      </c>
      <c r="B780" s="92" t="s">
        <v>2406</v>
      </c>
      <c r="C780" s="92" t="s">
        <v>2407</v>
      </c>
      <c r="D780" s="95">
        <v>21474389.239999998</v>
      </c>
      <c r="E780" s="95">
        <v>2585647.63</v>
      </c>
      <c r="F780" s="95">
        <v>18888741.609999999</v>
      </c>
      <c r="G780" s="95">
        <v>0</v>
      </c>
      <c r="H780" s="95">
        <v>18888741.609999999</v>
      </c>
    </row>
    <row r="781" spans="1:8" ht="19.8" customHeight="1" x14ac:dyDescent="0.3">
      <c r="A781" s="98">
        <f t="shared" si="12"/>
        <v>3</v>
      </c>
      <c r="B781" s="92" t="s">
        <v>200</v>
      </c>
      <c r="C781" s="92" t="s">
        <v>326</v>
      </c>
      <c r="D781" s="95">
        <v>195072554.59999999</v>
      </c>
      <c r="E781" s="95">
        <v>125209551.34999999</v>
      </c>
      <c r="F781" s="95">
        <v>69863003.25</v>
      </c>
      <c r="G781" s="95">
        <v>0</v>
      </c>
      <c r="H781" s="95">
        <v>69863003.25</v>
      </c>
    </row>
    <row r="782" spans="1:8" ht="19.8" customHeight="1" x14ac:dyDescent="0.3">
      <c r="A782" s="98">
        <f t="shared" si="12"/>
        <v>7</v>
      </c>
      <c r="B782" s="92" t="s">
        <v>2408</v>
      </c>
      <c r="C782" s="92" t="s">
        <v>326</v>
      </c>
      <c r="D782" s="95">
        <v>195072554.59999999</v>
      </c>
      <c r="E782" s="95">
        <v>125209551.34999999</v>
      </c>
      <c r="F782" s="95">
        <v>69863003.25</v>
      </c>
      <c r="G782" s="95">
        <v>0</v>
      </c>
      <c r="H782" s="95">
        <v>69863003.25</v>
      </c>
    </row>
    <row r="783" spans="1:8" ht="19.8" customHeight="1" x14ac:dyDescent="0.3">
      <c r="A783" s="98">
        <f t="shared" si="12"/>
        <v>11</v>
      </c>
      <c r="B783" s="92" t="s">
        <v>2409</v>
      </c>
      <c r="C783" s="92" t="s">
        <v>2410</v>
      </c>
      <c r="D783" s="95">
        <v>183279274.37</v>
      </c>
      <c r="E783" s="95">
        <v>117123506.39</v>
      </c>
      <c r="F783" s="95">
        <v>66155767.979999997</v>
      </c>
      <c r="G783" s="95">
        <v>0</v>
      </c>
      <c r="H783" s="95">
        <v>66155767.979999997</v>
      </c>
    </row>
    <row r="784" spans="1:8" ht="19.8" customHeight="1" x14ac:dyDescent="0.3">
      <c r="A784" s="98">
        <f t="shared" si="12"/>
        <v>11</v>
      </c>
      <c r="B784" s="92" t="s">
        <v>2411</v>
      </c>
      <c r="C784" s="92" t="s">
        <v>2412</v>
      </c>
      <c r="D784" s="95">
        <v>4378809.6900000004</v>
      </c>
      <c r="E784" s="95">
        <v>4378809.6900000004</v>
      </c>
      <c r="F784" s="95">
        <v>0</v>
      </c>
      <c r="G784" s="95">
        <v>0</v>
      </c>
      <c r="H784" s="95">
        <v>0</v>
      </c>
    </row>
    <row r="785" spans="1:8" ht="19.8" customHeight="1" x14ac:dyDescent="0.3">
      <c r="A785" s="98">
        <f t="shared" si="12"/>
        <v>11</v>
      </c>
      <c r="B785" s="92" t="s">
        <v>2413</v>
      </c>
      <c r="C785" s="92" t="s">
        <v>2414</v>
      </c>
      <c r="D785" s="95">
        <v>7414470.54</v>
      </c>
      <c r="E785" s="95">
        <v>3707235.27</v>
      </c>
      <c r="F785" s="95">
        <v>3707235.27</v>
      </c>
      <c r="G785" s="95">
        <v>0</v>
      </c>
      <c r="H785" s="95">
        <v>3707235.27</v>
      </c>
    </row>
    <row r="786" spans="1:8" ht="19.8" customHeight="1" x14ac:dyDescent="0.3">
      <c r="A786" s="98">
        <f t="shared" si="12"/>
        <v>3</v>
      </c>
      <c r="B786" s="92" t="s">
        <v>201</v>
      </c>
      <c r="C786" s="92" t="s">
        <v>327</v>
      </c>
      <c r="D786" s="95">
        <v>7363639.6299999999</v>
      </c>
      <c r="E786" s="95">
        <v>5042445.8099999996</v>
      </c>
      <c r="F786" s="95">
        <v>2321193.8199999998</v>
      </c>
      <c r="G786" s="95">
        <v>0</v>
      </c>
      <c r="H786" s="95">
        <v>2321193.8199999998</v>
      </c>
    </row>
    <row r="787" spans="1:8" ht="19.8" customHeight="1" x14ac:dyDescent="0.3">
      <c r="A787" s="98">
        <f t="shared" si="12"/>
        <v>7</v>
      </c>
      <c r="B787" s="92" t="s">
        <v>2415</v>
      </c>
      <c r="C787" s="92" t="s">
        <v>327</v>
      </c>
      <c r="D787" s="95">
        <v>7363639.6299999999</v>
      </c>
      <c r="E787" s="95">
        <v>5042445.8099999996</v>
      </c>
      <c r="F787" s="95">
        <v>2321193.8199999998</v>
      </c>
      <c r="G787" s="95">
        <v>0</v>
      </c>
      <c r="H787" s="95">
        <v>2321193.8199999998</v>
      </c>
    </row>
    <row r="788" spans="1:8" ht="19.8" customHeight="1" x14ac:dyDescent="0.3">
      <c r="A788" s="98">
        <f t="shared" si="12"/>
        <v>11</v>
      </c>
      <c r="B788" s="92" t="s">
        <v>2416</v>
      </c>
      <c r="C788" s="92" t="s">
        <v>2417</v>
      </c>
      <c r="D788" s="95">
        <v>6289884.9800000004</v>
      </c>
      <c r="E788" s="95">
        <v>4592102.53</v>
      </c>
      <c r="F788" s="95">
        <v>1697782.45</v>
      </c>
      <c r="G788" s="95">
        <v>0</v>
      </c>
      <c r="H788" s="95">
        <v>1697782.45</v>
      </c>
    </row>
    <row r="789" spans="1:8" ht="19.8" customHeight="1" x14ac:dyDescent="0.3">
      <c r="A789" s="98">
        <f t="shared" si="12"/>
        <v>11</v>
      </c>
      <c r="B789" s="92" t="s">
        <v>2418</v>
      </c>
      <c r="C789" s="92" t="s">
        <v>2419</v>
      </c>
      <c r="D789" s="95">
        <v>1414.6</v>
      </c>
      <c r="E789" s="95">
        <v>1031.77</v>
      </c>
      <c r="F789" s="95">
        <v>382.83</v>
      </c>
      <c r="G789" s="95">
        <v>0</v>
      </c>
      <c r="H789" s="95">
        <v>382.83</v>
      </c>
    </row>
    <row r="790" spans="1:8" ht="19.8" customHeight="1" x14ac:dyDescent="0.3">
      <c r="A790" s="98">
        <f t="shared" si="12"/>
        <v>11</v>
      </c>
      <c r="B790" s="92" t="s">
        <v>2420</v>
      </c>
      <c r="C790" s="92" t="s">
        <v>2421</v>
      </c>
      <c r="D790" s="95">
        <v>1072340.05</v>
      </c>
      <c r="E790" s="95">
        <v>449311.51</v>
      </c>
      <c r="F790" s="95">
        <v>623028.54</v>
      </c>
      <c r="G790" s="95">
        <v>0</v>
      </c>
      <c r="H790" s="95">
        <v>623028.54</v>
      </c>
    </row>
    <row r="791" spans="1:8" ht="19.8" customHeight="1" x14ac:dyDescent="0.3">
      <c r="A791" s="98">
        <f t="shared" si="12"/>
        <v>3</v>
      </c>
      <c r="B791" s="92" t="s">
        <v>202</v>
      </c>
      <c r="C791" s="92" t="s">
        <v>328</v>
      </c>
      <c r="D791" s="95">
        <v>335012560.22000003</v>
      </c>
      <c r="E791" s="95">
        <v>160379245.59</v>
      </c>
      <c r="F791" s="95">
        <v>174633314.63</v>
      </c>
      <c r="G791" s="95">
        <v>0</v>
      </c>
      <c r="H791" s="95">
        <v>174633314.63</v>
      </c>
    </row>
    <row r="792" spans="1:8" ht="19.8" customHeight="1" x14ac:dyDescent="0.3">
      <c r="A792" s="98">
        <f t="shared" si="12"/>
        <v>7</v>
      </c>
      <c r="B792" s="92" t="s">
        <v>2422</v>
      </c>
      <c r="C792" s="92" t="s">
        <v>328</v>
      </c>
      <c r="D792" s="95">
        <v>333491314.51999998</v>
      </c>
      <c r="E792" s="95">
        <v>158858340.09</v>
      </c>
      <c r="F792" s="95">
        <v>174632974.43000001</v>
      </c>
      <c r="G792" s="95">
        <v>0</v>
      </c>
      <c r="H792" s="95">
        <v>174632974.43000001</v>
      </c>
    </row>
    <row r="793" spans="1:8" ht="19.8" customHeight="1" x14ac:dyDescent="0.3">
      <c r="A793" s="98">
        <f t="shared" si="12"/>
        <v>11</v>
      </c>
      <c r="B793" s="92" t="s">
        <v>2423</v>
      </c>
      <c r="C793" s="92" t="s">
        <v>2424</v>
      </c>
      <c r="D793" s="95">
        <v>273983447.88</v>
      </c>
      <c r="E793" s="95">
        <v>137171064.55000001</v>
      </c>
      <c r="F793" s="95">
        <v>136812383.33000001</v>
      </c>
      <c r="G793" s="95">
        <v>0</v>
      </c>
      <c r="H793" s="95">
        <v>136812383.33000001</v>
      </c>
    </row>
    <row r="794" spans="1:8" ht="19.8" customHeight="1" x14ac:dyDescent="0.3">
      <c r="A794" s="98">
        <f t="shared" si="12"/>
        <v>11</v>
      </c>
      <c r="B794" s="92" t="s">
        <v>2425</v>
      </c>
      <c r="C794" s="92" t="s">
        <v>2426</v>
      </c>
      <c r="D794" s="95">
        <v>21895101.66</v>
      </c>
      <c r="E794" s="95">
        <v>11004007.380000001</v>
      </c>
      <c r="F794" s="95">
        <v>10891094.279999999</v>
      </c>
      <c r="G794" s="95">
        <v>0</v>
      </c>
      <c r="H794" s="95">
        <v>10891094.279999999</v>
      </c>
    </row>
    <row r="795" spans="1:8" ht="19.8" customHeight="1" x14ac:dyDescent="0.3">
      <c r="A795" s="98">
        <f t="shared" si="12"/>
        <v>11</v>
      </c>
      <c r="B795" s="92" t="s">
        <v>2427</v>
      </c>
      <c r="C795" s="92" t="s">
        <v>2428</v>
      </c>
      <c r="D795" s="95">
        <v>37612764.979999997</v>
      </c>
      <c r="E795" s="95">
        <v>10683268.16</v>
      </c>
      <c r="F795" s="95">
        <v>26929496.82</v>
      </c>
      <c r="G795" s="95">
        <v>0</v>
      </c>
      <c r="H795" s="95">
        <v>26929496.82</v>
      </c>
    </row>
    <row r="796" spans="1:8" ht="19.8" customHeight="1" x14ac:dyDescent="0.3">
      <c r="A796" s="98">
        <f t="shared" si="12"/>
        <v>7</v>
      </c>
      <c r="B796" s="92" t="s">
        <v>2429</v>
      </c>
      <c r="C796" s="92" t="s">
        <v>328</v>
      </c>
      <c r="D796" s="95">
        <v>91532.53</v>
      </c>
      <c r="E796" s="95">
        <v>91532.53</v>
      </c>
      <c r="F796" s="95">
        <v>0</v>
      </c>
      <c r="G796" s="95">
        <v>0</v>
      </c>
      <c r="H796" s="95">
        <v>0</v>
      </c>
    </row>
    <row r="797" spans="1:8" ht="19.8" customHeight="1" x14ac:dyDescent="0.3">
      <c r="A797" s="98">
        <f t="shared" si="12"/>
        <v>11</v>
      </c>
      <c r="B797" s="92" t="s">
        <v>2430</v>
      </c>
      <c r="C797" s="92" t="s">
        <v>2431</v>
      </c>
      <c r="D797" s="95">
        <v>91532.53</v>
      </c>
      <c r="E797" s="95">
        <v>91532.53</v>
      </c>
      <c r="F797" s="95">
        <v>0</v>
      </c>
      <c r="G797" s="95">
        <v>0</v>
      </c>
      <c r="H797" s="95">
        <v>0</v>
      </c>
    </row>
    <row r="798" spans="1:8" ht="19.8" customHeight="1" x14ac:dyDescent="0.3">
      <c r="A798" s="98">
        <f t="shared" si="12"/>
        <v>7</v>
      </c>
      <c r="B798" s="92" t="s">
        <v>2432</v>
      </c>
      <c r="C798" s="92" t="s">
        <v>328</v>
      </c>
      <c r="D798" s="95">
        <v>1427387.87</v>
      </c>
      <c r="E798" s="95">
        <v>1427047.67</v>
      </c>
      <c r="F798" s="95">
        <v>340.2</v>
      </c>
      <c r="G798" s="95">
        <v>0</v>
      </c>
      <c r="H798" s="95">
        <v>340.2</v>
      </c>
    </row>
    <row r="799" spans="1:8" ht="19.8" customHeight="1" x14ac:dyDescent="0.3">
      <c r="A799" s="98">
        <f t="shared" si="12"/>
        <v>11</v>
      </c>
      <c r="B799" s="92" t="s">
        <v>2433</v>
      </c>
      <c r="C799" s="92" t="s">
        <v>2434</v>
      </c>
      <c r="D799" s="95">
        <v>1427387.87</v>
      </c>
      <c r="E799" s="95">
        <v>1427047.67</v>
      </c>
      <c r="F799" s="95">
        <v>340.2</v>
      </c>
      <c r="G799" s="95">
        <v>0</v>
      </c>
      <c r="H799" s="95">
        <v>340.2</v>
      </c>
    </row>
    <row r="800" spans="1:8" ht="19.8" customHeight="1" x14ac:dyDescent="0.3">
      <c r="A800" s="98">
        <f t="shared" si="12"/>
        <v>7</v>
      </c>
      <c r="B800" s="92" t="s">
        <v>2435</v>
      </c>
      <c r="C800" s="92" t="s">
        <v>328</v>
      </c>
      <c r="D800" s="95">
        <v>2325.3000000000002</v>
      </c>
      <c r="E800" s="95">
        <v>2325.3000000000002</v>
      </c>
      <c r="F800" s="95">
        <v>0</v>
      </c>
      <c r="G800" s="95">
        <v>0</v>
      </c>
      <c r="H800" s="95">
        <v>0</v>
      </c>
    </row>
    <row r="801" spans="1:8" ht="19.8" customHeight="1" x14ac:dyDescent="0.3">
      <c r="A801" s="98">
        <f t="shared" si="12"/>
        <v>11</v>
      </c>
      <c r="B801" s="92" t="s">
        <v>2436</v>
      </c>
      <c r="C801" s="92" t="s">
        <v>2437</v>
      </c>
      <c r="D801" s="95">
        <v>2325.3000000000002</v>
      </c>
      <c r="E801" s="95">
        <v>2325.3000000000002</v>
      </c>
      <c r="F801" s="95">
        <v>0</v>
      </c>
      <c r="G801" s="95">
        <v>0</v>
      </c>
      <c r="H801" s="95">
        <v>0</v>
      </c>
    </row>
    <row r="802" spans="1:8" ht="19.8" customHeight="1" x14ac:dyDescent="0.3">
      <c r="A802" s="98">
        <f t="shared" si="12"/>
        <v>3</v>
      </c>
      <c r="B802" s="92" t="s">
        <v>203</v>
      </c>
      <c r="C802" s="92" t="s">
        <v>329</v>
      </c>
      <c r="D802" s="95">
        <v>239876799.40000001</v>
      </c>
      <c r="E802" s="95">
        <v>459971295.81</v>
      </c>
      <c r="F802" s="95">
        <v>0</v>
      </c>
      <c r="G802" s="95">
        <v>220094496.41</v>
      </c>
      <c r="H802" s="95">
        <v>-220094496.41</v>
      </c>
    </row>
    <row r="803" spans="1:8" ht="19.8" customHeight="1" x14ac:dyDescent="0.3">
      <c r="A803" s="98">
        <f t="shared" si="12"/>
        <v>7</v>
      </c>
      <c r="B803" s="92" t="s">
        <v>2438</v>
      </c>
      <c r="C803" s="92" t="s">
        <v>329</v>
      </c>
      <c r="D803" s="95">
        <v>239387556.80000001</v>
      </c>
      <c r="E803" s="95">
        <v>459481883.11000001</v>
      </c>
      <c r="F803" s="95">
        <v>0</v>
      </c>
      <c r="G803" s="95">
        <v>220094326.31</v>
      </c>
      <c r="H803" s="95">
        <v>-220094326.31</v>
      </c>
    </row>
    <row r="804" spans="1:8" ht="19.8" customHeight="1" x14ac:dyDescent="0.3">
      <c r="A804" s="98">
        <f t="shared" si="12"/>
        <v>11</v>
      </c>
      <c r="B804" s="92" t="s">
        <v>2439</v>
      </c>
      <c r="C804" s="92" t="s">
        <v>438</v>
      </c>
      <c r="D804" s="95">
        <v>33112931.48</v>
      </c>
      <c r="E804" s="95">
        <v>65246974.869999997</v>
      </c>
      <c r="F804" s="95">
        <v>0</v>
      </c>
      <c r="G804" s="95">
        <v>32134043.390000001</v>
      </c>
      <c r="H804" s="95">
        <v>-32134043.390000001</v>
      </c>
    </row>
    <row r="805" spans="1:8" ht="19.8" customHeight="1" x14ac:dyDescent="0.3">
      <c r="A805" s="98">
        <f t="shared" si="12"/>
        <v>11</v>
      </c>
      <c r="B805" s="92" t="s">
        <v>2440</v>
      </c>
      <c r="C805" s="92" t="s">
        <v>2441</v>
      </c>
      <c r="D805" s="95">
        <v>102575870.73999999</v>
      </c>
      <c r="E805" s="95">
        <v>149641182.88999999</v>
      </c>
      <c r="F805" s="95">
        <v>0</v>
      </c>
      <c r="G805" s="95">
        <v>47065312.149999999</v>
      </c>
      <c r="H805" s="95">
        <v>-47065312.149999999</v>
      </c>
    </row>
    <row r="806" spans="1:8" ht="19.8" customHeight="1" x14ac:dyDescent="0.3">
      <c r="A806" s="98">
        <f t="shared" si="12"/>
        <v>11</v>
      </c>
      <c r="B806" s="92" t="s">
        <v>2442</v>
      </c>
      <c r="C806" s="92" t="s">
        <v>2443</v>
      </c>
      <c r="D806" s="95">
        <v>4151713.14</v>
      </c>
      <c r="E806" s="95">
        <v>5396267.7000000002</v>
      </c>
      <c r="F806" s="95">
        <v>0</v>
      </c>
      <c r="G806" s="95">
        <v>1244554.56</v>
      </c>
      <c r="H806" s="95">
        <v>-1244554.56</v>
      </c>
    </row>
    <row r="807" spans="1:8" ht="19.8" customHeight="1" x14ac:dyDescent="0.3">
      <c r="A807" s="98">
        <f t="shared" si="12"/>
        <v>11</v>
      </c>
      <c r="B807" s="92" t="s">
        <v>2444</v>
      </c>
      <c r="C807" s="92" t="s">
        <v>439</v>
      </c>
      <c r="D807" s="95">
        <v>89455201.400000006</v>
      </c>
      <c r="E807" s="95">
        <v>177595165.25999999</v>
      </c>
      <c r="F807" s="95">
        <v>0</v>
      </c>
      <c r="G807" s="95">
        <v>88139963.859999999</v>
      </c>
      <c r="H807" s="95">
        <v>-88139963.859999999</v>
      </c>
    </row>
    <row r="808" spans="1:8" ht="19.8" customHeight="1" x14ac:dyDescent="0.3">
      <c r="A808" s="98">
        <f t="shared" si="12"/>
        <v>11</v>
      </c>
      <c r="B808" s="92" t="s">
        <v>2445</v>
      </c>
      <c r="C808" s="92" t="s">
        <v>2446</v>
      </c>
      <c r="D808" s="95">
        <v>10091840.039999999</v>
      </c>
      <c r="E808" s="95">
        <v>61602292.390000001</v>
      </c>
      <c r="F808" s="95">
        <v>0</v>
      </c>
      <c r="G808" s="95">
        <v>51510452.350000001</v>
      </c>
      <c r="H808" s="95">
        <v>-51510452.350000001</v>
      </c>
    </row>
    <row r="809" spans="1:8" ht="19.8" customHeight="1" x14ac:dyDescent="0.3">
      <c r="A809" s="98">
        <f t="shared" si="12"/>
        <v>7</v>
      </c>
      <c r="B809" s="92" t="s">
        <v>2447</v>
      </c>
      <c r="C809" s="92" t="s">
        <v>2337</v>
      </c>
      <c r="D809" s="95">
        <v>30302.34</v>
      </c>
      <c r="E809" s="95">
        <v>30302.34</v>
      </c>
      <c r="F809" s="95">
        <v>0</v>
      </c>
      <c r="G809" s="95">
        <v>0</v>
      </c>
      <c r="H809" s="95">
        <v>0</v>
      </c>
    </row>
    <row r="810" spans="1:8" ht="19.8" customHeight="1" x14ac:dyDescent="0.3">
      <c r="A810" s="98">
        <f t="shared" si="12"/>
        <v>11</v>
      </c>
      <c r="B810" s="92" t="s">
        <v>2448</v>
      </c>
      <c r="C810" s="92" t="s">
        <v>2449</v>
      </c>
      <c r="D810" s="95">
        <v>30302.34</v>
      </c>
      <c r="E810" s="95">
        <v>30302.34</v>
      </c>
      <c r="F810" s="95">
        <v>0</v>
      </c>
      <c r="G810" s="95">
        <v>0</v>
      </c>
      <c r="H810" s="95">
        <v>0</v>
      </c>
    </row>
    <row r="811" spans="1:8" ht="19.8" customHeight="1" x14ac:dyDescent="0.3">
      <c r="A811" s="98">
        <f t="shared" si="12"/>
        <v>7</v>
      </c>
      <c r="B811" s="92" t="s">
        <v>2450</v>
      </c>
      <c r="C811" s="92" t="s">
        <v>2337</v>
      </c>
      <c r="D811" s="95">
        <v>458190.22</v>
      </c>
      <c r="E811" s="95">
        <v>458360.32000000001</v>
      </c>
      <c r="F811" s="95">
        <v>0</v>
      </c>
      <c r="G811" s="95">
        <v>170.1</v>
      </c>
      <c r="H811" s="95">
        <v>-170.1</v>
      </c>
    </row>
    <row r="812" spans="1:8" ht="19.8" customHeight="1" x14ac:dyDescent="0.3">
      <c r="A812" s="98">
        <f t="shared" si="12"/>
        <v>11</v>
      </c>
      <c r="B812" s="92" t="s">
        <v>2451</v>
      </c>
      <c r="C812" s="92" t="s">
        <v>2452</v>
      </c>
      <c r="D812" s="95">
        <v>458190.22</v>
      </c>
      <c r="E812" s="95">
        <v>458360.32000000001</v>
      </c>
      <c r="F812" s="95">
        <v>0</v>
      </c>
      <c r="G812" s="95">
        <v>170.1</v>
      </c>
      <c r="H812" s="95">
        <v>-170.1</v>
      </c>
    </row>
    <row r="813" spans="1:8" ht="19.8" customHeight="1" x14ac:dyDescent="0.3">
      <c r="A813" s="98">
        <f t="shared" si="12"/>
        <v>7</v>
      </c>
      <c r="B813" s="92" t="s">
        <v>2453</v>
      </c>
      <c r="C813" s="92" t="s">
        <v>2337</v>
      </c>
      <c r="D813" s="95">
        <v>750.04</v>
      </c>
      <c r="E813" s="95">
        <v>750.04</v>
      </c>
      <c r="F813" s="95">
        <v>0</v>
      </c>
      <c r="G813" s="95">
        <v>0</v>
      </c>
      <c r="H813" s="95">
        <v>0</v>
      </c>
    </row>
    <row r="814" spans="1:8" ht="19.8" customHeight="1" x14ac:dyDescent="0.3">
      <c r="A814" s="98">
        <f t="shared" si="12"/>
        <v>11</v>
      </c>
      <c r="B814" s="92" t="s">
        <v>2454</v>
      </c>
      <c r="C814" s="92" t="s">
        <v>2455</v>
      </c>
      <c r="D814" s="95">
        <v>750.04</v>
      </c>
      <c r="E814" s="95">
        <v>750.04</v>
      </c>
      <c r="F814" s="95">
        <v>0</v>
      </c>
      <c r="G814" s="95">
        <v>0</v>
      </c>
      <c r="H814" s="95">
        <v>0</v>
      </c>
    </row>
    <row r="815" spans="1:8" ht="19.8" customHeight="1" x14ac:dyDescent="0.3">
      <c r="A815" s="98">
        <f t="shared" si="12"/>
        <v>3</v>
      </c>
      <c r="B815" s="92" t="s">
        <v>204</v>
      </c>
      <c r="C815" s="92" t="s">
        <v>330</v>
      </c>
      <c r="D815" s="95">
        <v>2566951.98</v>
      </c>
      <c r="E815" s="95">
        <v>2566951.98</v>
      </c>
      <c r="F815" s="95">
        <v>0</v>
      </c>
      <c r="G815" s="95">
        <v>0</v>
      </c>
      <c r="H815" s="95">
        <v>0</v>
      </c>
    </row>
    <row r="816" spans="1:8" ht="19.8" customHeight="1" x14ac:dyDescent="0.3">
      <c r="A816" s="98">
        <f t="shared" si="12"/>
        <v>7</v>
      </c>
      <c r="B816" s="92" t="s">
        <v>2456</v>
      </c>
      <c r="C816" s="92" t="s">
        <v>330</v>
      </c>
      <c r="D816" s="95">
        <v>2566951.98</v>
      </c>
      <c r="E816" s="95">
        <v>2566951.98</v>
      </c>
      <c r="F816" s="95">
        <v>0</v>
      </c>
      <c r="G816" s="95">
        <v>0</v>
      </c>
      <c r="H816" s="95">
        <v>0</v>
      </c>
    </row>
    <row r="817" spans="1:8" ht="19.8" customHeight="1" x14ac:dyDescent="0.3">
      <c r="A817" s="98">
        <f t="shared" si="12"/>
        <v>11</v>
      </c>
      <c r="B817" s="92" t="s">
        <v>2457</v>
      </c>
      <c r="C817" s="92" t="s">
        <v>330</v>
      </c>
      <c r="D817" s="95">
        <v>2566951.98</v>
      </c>
      <c r="E817" s="95">
        <v>2566951.98</v>
      </c>
      <c r="F817" s="95">
        <v>0</v>
      </c>
      <c r="G817" s="95">
        <v>0</v>
      </c>
      <c r="H817" s="95">
        <v>0</v>
      </c>
    </row>
    <row r="818" spans="1:8" ht="19.8" customHeight="1" x14ac:dyDescent="0.3">
      <c r="A818" s="98">
        <f t="shared" si="12"/>
        <v>3</v>
      </c>
      <c r="B818" s="92" t="s">
        <v>205</v>
      </c>
      <c r="C818" s="92" t="s">
        <v>331</v>
      </c>
      <c r="D818" s="95">
        <v>116913602.83</v>
      </c>
      <c r="E818" s="95">
        <v>691514981.63999999</v>
      </c>
      <c r="F818" s="95">
        <v>0</v>
      </c>
      <c r="G818" s="95">
        <v>574601378.80999994</v>
      </c>
      <c r="H818" s="95">
        <v>-574601378.80999994</v>
      </c>
    </row>
    <row r="819" spans="1:8" ht="19.8" customHeight="1" x14ac:dyDescent="0.3">
      <c r="A819" s="98">
        <f t="shared" si="12"/>
        <v>7</v>
      </c>
      <c r="B819" s="92" t="s">
        <v>2458</v>
      </c>
      <c r="C819" s="92" t="s">
        <v>331</v>
      </c>
      <c r="D819" s="95">
        <v>116913602.83</v>
      </c>
      <c r="E819" s="95">
        <v>691514981.63999999</v>
      </c>
      <c r="F819" s="95">
        <v>0</v>
      </c>
      <c r="G819" s="95">
        <v>574601378.80999994</v>
      </c>
      <c r="H819" s="95">
        <v>-574601378.80999994</v>
      </c>
    </row>
    <row r="820" spans="1:8" ht="19.8" customHeight="1" x14ac:dyDescent="0.3">
      <c r="A820" s="98">
        <f t="shared" si="12"/>
        <v>11</v>
      </c>
      <c r="B820" s="92" t="s">
        <v>2459</v>
      </c>
      <c r="C820" s="92" t="s">
        <v>2460</v>
      </c>
      <c r="D820" s="95">
        <v>1927654.34</v>
      </c>
      <c r="E820" s="95">
        <v>1927654.34</v>
      </c>
      <c r="F820" s="95">
        <v>0</v>
      </c>
      <c r="G820" s="95">
        <v>0</v>
      </c>
      <c r="H820" s="95">
        <v>0</v>
      </c>
    </row>
    <row r="821" spans="1:8" ht="19.8" customHeight="1" x14ac:dyDescent="0.3">
      <c r="A821" s="98">
        <f t="shared" si="12"/>
        <v>11</v>
      </c>
      <c r="B821" s="92" t="s">
        <v>2461</v>
      </c>
      <c r="C821" s="92" t="s">
        <v>2462</v>
      </c>
      <c r="D821" s="95">
        <v>1975879.79</v>
      </c>
      <c r="E821" s="95">
        <v>1975879.79</v>
      </c>
      <c r="F821" s="95">
        <v>0</v>
      </c>
      <c r="G821" s="95">
        <v>0</v>
      </c>
      <c r="H821" s="95">
        <v>0</v>
      </c>
    </row>
    <row r="822" spans="1:8" ht="19.8" customHeight="1" x14ac:dyDescent="0.3">
      <c r="A822" s="98">
        <f t="shared" si="12"/>
        <v>11</v>
      </c>
      <c r="B822" s="92" t="s">
        <v>2463</v>
      </c>
      <c r="C822" s="92" t="s">
        <v>2464</v>
      </c>
      <c r="D822" s="95">
        <v>0</v>
      </c>
      <c r="E822" s="95">
        <v>390425.59999999998</v>
      </c>
      <c r="F822" s="95">
        <v>0</v>
      </c>
      <c r="G822" s="95">
        <v>390425.59999999998</v>
      </c>
      <c r="H822" s="95">
        <v>-390425.59999999998</v>
      </c>
    </row>
    <row r="823" spans="1:8" ht="19.8" customHeight="1" x14ac:dyDescent="0.3">
      <c r="A823" s="98">
        <f t="shared" si="12"/>
        <v>11</v>
      </c>
      <c r="B823" s="92" t="s">
        <v>2465</v>
      </c>
      <c r="C823" s="92" t="s">
        <v>2466</v>
      </c>
      <c r="D823" s="95">
        <v>0</v>
      </c>
      <c r="E823" s="95">
        <v>50000000</v>
      </c>
      <c r="F823" s="95">
        <v>0</v>
      </c>
      <c r="G823" s="95">
        <v>50000000</v>
      </c>
      <c r="H823" s="95">
        <v>-50000000</v>
      </c>
    </row>
    <row r="824" spans="1:8" ht="19.8" customHeight="1" x14ac:dyDescent="0.3">
      <c r="A824" s="98">
        <f t="shared" si="12"/>
        <v>11</v>
      </c>
      <c r="B824" s="92" t="s">
        <v>2467</v>
      </c>
      <c r="C824" s="92" t="s">
        <v>2468</v>
      </c>
      <c r="D824" s="95">
        <v>0</v>
      </c>
      <c r="E824" s="95">
        <v>74000000</v>
      </c>
      <c r="F824" s="95">
        <v>0</v>
      </c>
      <c r="G824" s="95">
        <v>74000000</v>
      </c>
      <c r="H824" s="95">
        <v>-74000000</v>
      </c>
    </row>
    <row r="825" spans="1:8" ht="19.8" customHeight="1" x14ac:dyDescent="0.3">
      <c r="A825" s="98">
        <f t="shared" si="12"/>
        <v>11</v>
      </c>
      <c r="B825" s="92" t="s">
        <v>2469</v>
      </c>
      <c r="C825" s="92" t="s">
        <v>2470</v>
      </c>
      <c r="D825" s="95">
        <v>0</v>
      </c>
      <c r="E825" s="95">
        <v>30000000</v>
      </c>
      <c r="F825" s="95">
        <v>0</v>
      </c>
      <c r="G825" s="95">
        <v>30000000</v>
      </c>
      <c r="H825" s="95">
        <v>-30000000</v>
      </c>
    </row>
    <row r="826" spans="1:8" ht="19.8" customHeight="1" x14ac:dyDescent="0.3">
      <c r="A826" s="98">
        <f t="shared" si="12"/>
        <v>11</v>
      </c>
      <c r="B826" s="92" t="s">
        <v>2471</v>
      </c>
      <c r="C826" s="92" t="s">
        <v>2472</v>
      </c>
      <c r="D826" s="95">
        <v>3000000</v>
      </c>
      <c r="E826" s="95">
        <v>8000000</v>
      </c>
      <c r="F826" s="95">
        <v>0</v>
      </c>
      <c r="G826" s="95">
        <v>5000000</v>
      </c>
      <c r="H826" s="95">
        <v>-5000000</v>
      </c>
    </row>
    <row r="827" spans="1:8" ht="19.8" customHeight="1" x14ac:dyDescent="0.3">
      <c r="A827" s="98">
        <f t="shared" si="12"/>
        <v>11</v>
      </c>
      <c r="B827" s="92" t="s">
        <v>2473</v>
      </c>
      <c r="C827" s="92" t="s">
        <v>2474</v>
      </c>
      <c r="D827" s="95">
        <v>541880.94999999995</v>
      </c>
      <c r="E827" s="95">
        <v>1305224.96</v>
      </c>
      <c r="F827" s="95">
        <v>0</v>
      </c>
      <c r="G827" s="95">
        <v>763344.01</v>
      </c>
      <c r="H827" s="95">
        <v>-763344.01</v>
      </c>
    </row>
    <row r="828" spans="1:8" ht="19.8" customHeight="1" x14ac:dyDescent="0.3">
      <c r="A828" s="98">
        <f t="shared" si="12"/>
        <v>11</v>
      </c>
      <c r="B828" s="92" t="s">
        <v>2475</v>
      </c>
      <c r="C828" s="92" t="s">
        <v>2476</v>
      </c>
      <c r="D828" s="95">
        <v>2867774.77</v>
      </c>
      <c r="E828" s="95">
        <v>2867774.77</v>
      </c>
      <c r="F828" s="95">
        <v>0</v>
      </c>
      <c r="G828" s="95">
        <v>0</v>
      </c>
      <c r="H828" s="95">
        <v>0</v>
      </c>
    </row>
    <row r="829" spans="1:8" ht="19.8" customHeight="1" x14ac:dyDescent="0.3">
      <c r="A829" s="98">
        <f t="shared" si="12"/>
        <v>11</v>
      </c>
      <c r="B829" s="92" t="s">
        <v>2477</v>
      </c>
      <c r="C829" s="92" t="s">
        <v>2478</v>
      </c>
      <c r="D829" s="95">
        <v>920429.48</v>
      </c>
      <c r="E829" s="95">
        <v>3725377.52</v>
      </c>
      <c r="F829" s="95">
        <v>0</v>
      </c>
      <c r="G829" s="95">
        <v>2804948.04</v>
      </c>
      <c r="H829" s="95">
        <v>-2804948.04</v>
      </c>
    </row>
    <row r="830" spans="1:8" ht="19.8" customHeight="1" x14ac:dyDescent="0.3">
      <c r="A830" s="98">
        <f t="shared" si="12"/>
        <v>11</v>
      </c>
      <c r="B830" s="92" t="s">
        <v>2479</v>
      </c>
      <c r="C830" s="92" t="s">
        <v>2480</v>
      </c>
      <c r="D830" s="95">
        <v>650865.84</v>
      </c>
      <c r="E830" s="95">
        <v>2890967.25</v>
      </c>
      <c r="F830" s="95">
        <v>0</v>
      </c>
      <c r="G830" s="95">
        <v>2240101.41</v>
      </c>
      <c r="H830" s="95">
        <v>-2240101.41</v>
      </c>
    </row>
    <row r="831" spans="1:8" ht="19.8" customHeight="1" x14ac:dyDescent="0.3">
      <c r="A831" s="98">
        <f t="shared" si="12"/>
        <v>11</v>
      </c>
      <c r="B831" s="92" t="s">
        <v>2481</v>
      </c>
      <c r="C831" s="92" t="s">
        <v>2482</v>
      </c>
      <c r="D831" s="95">
        <v>503551.35</v>
      </c>
      <c r="E831" s="95">
        <v>1066972.6499999999</v>
      </c>
      <c r="F831" s="95">
        <v>0</v>
      </c>
      <c r="G831" s="95">
        <v>563421.30000000005</v>
      </c>
      <c r="H831" s="95">
        <v>-563421.30000000005</v>
      </c>
    </row>
    <row r="832" spans="1:8" ht="19.8" customHeight="1" x14ac:dyDescent="0.3">
      <c r="A832" s="98">
        <f t="shared" si="12"/>
        <v>11</v>
      </c>
      <c r="B832" s="92" t="s">
        <v>2483</v>
      </c>
      <c r="C832" s="92" t="s">
        <v>2484</v>
      </c>
      <c r="D832" s="95">
        <v>75857.06</v>
      </c>
      <c r="E832" s="95">
        <v>75857.06</v>
      </c>
      <c r="F832" s="95">
        <v>0</v>
      </c>
      <c r="G832" s="95">
        <v>0</v>
      </c>
      <c r="H832" s="95">
        <v>0</v>
      </c>
    </row>
    <row r="833" spans="1:8" ht="19.8" customHeight="1" x14ac:dyDescent="0.3">
      <c r="A833" s="98">
        <f t="shared" si="12"/>
        <v>11</v>
      </c>
      <c r="B833" s="92" t="s">
        <v>2485</v>
      </c>
      <c r="C833" s="92" t="s">
        <v>2486</v>
      </c>
      <c r="D833" s="95">
        <v>1122755.02</v>
      </c>
      <c r="E833" s="95">
        <v>5854301.0999999996</v>
      </c>
      <c r="F833" s="95">
        <v>0</v>
      </c>
      <c r="G833" s="95">
        <v>4731546.08</v>
      </c>
      <c r="H833" s="95">
        <v>-4731546.08</v>
      </c>
    </row>
    <row r="834" spans="1:8" ht="19.8" customHeight="1" x14ac:dyDescent="0.3">
      <c r="A834" s="98">
        <f t="shared" si="12"/>
        <v>11</v>
      </c>
      <c r="B834" s="92" t="s">
        <v>2487</v>
      </c>
      <c r="C834" s="92" t="s">
        <v>2488</v>
      </c>
      <c r="D834" s="95">
        <v>656137.21</v>
      </c>
      <c r="E834" s="95">
        <v>1845234.67</v>
      </c>
      <c r="F834" s="95">
        <v>0</v>
      </c>
      <c r="G834" s="95">
        <v>1189097.46</v>
      </c>
      <c r="H834" s="95">
        <v>-1189097.46</v>
      </c>
    </row>
    <row r="835" spans="1:8" ht="19.8" customHeight="1" x14ac:dyDescent="0.3">
      <c r="A835" s="98">
        <f t="shared" ref="A835:A898" si="13">+LEN(B835)</f>
        <v>11</v>
      </c>
      <c r="B835" s="92" t="s">
        <v>2489</v>
      </c>
      <c r="C835" s="92" t="s">
        <v>2490</v>
      </c>
      <c r="D835" s="95">
        <v>1780944</v>
      </c>
      <c r="E835" s="95">
        <v>5008493.74</v>
      </c>
      <c r="F835" s="95">
        <v>0</v>
      </c>
      <c r="G835" s="95">
        <v>3227549.74</v>
      </c>
      <c r="H835" s="95">
        <v>-3227549.74</v>
      </c>
    </row>
    <row r="836" spans="1:8" ht="19.8" customHeight="1" x14ac:dyDescent="0.3">
      <c r="A836" s="98">
        <f t="shared" si="13"/>
        <v>11</v>
      </c>
      <c r="B836" s="92" t="s">
        <v>2491</v>
      </c>
      <c r="C836" s="92" t="s">
        <v>2492</v>
      </c>
      <c r="D836" s="95">
        <v>301527.75</v>
      </c>
      <c r="E836" s="95">
        <v>1149133.9099999999</v>
      </c>
      <c r="F836" s="95">
        <v>0</v>
      </c>
      <c r="G836" s="95">
        <v>847606.16</v>
      </c>
      <c r="H836" s="95">
        <v>-847606.16</v>
      </c>
    </row>
    <row r="837" spans="1:8" ht="19.8" customHeight="1" x14ac:dyDescent="0.3">
      <c r="A837" s="98">
        <f t="shared" si="13"/>
        <v>11</v>
      </c>
      <c r="B837" s="92" t="s">
        <v>2493</v>
      </c>
      <c r="C837" s="92" t="s">
        <v>2494</v>
      </c>
      <c r="D837" s="95">
        <v>30000000</v>
      </c>
      <c r="E837" s="95">
        <v>30000000</v>
      </c>
      <c r="F837" s="95">
        <v>0</v>
      </c>
      <c r="G837" s="95">
        <v>0</v>
      </c>
      <c r="H837" s="95">
        <v>0</v>
      </c>
    </row>
    <row r="838" spans="1:8" ht="19.8" customHeight="1" x14ac:dyDescent="0.3">
      <c r="A838" s="98">
        <f t="shared" si="13"/>
        <v>11</v>
      </c>
      <c r="B838" s="92" t="s">
        <v>2495</v>
      </c>
      <c r="C838" s="92" t="s">
        <v>2496</v>
      </c>
      <c r="D838" s="95">
        <v>0</v>
      </c>
      <c r="E838" s="95">
        <v>5000000</v>
      </c>
      <c r="F838" s="95">
        <v>0</v>
      </c>
      <c r="G838" s="95">
        <v>5000000</v>
      </c>
      <c r="H838" s="95">
        <v>-5000000</v>
      </c>
    </row>
    <row r="839" spans="1:8" ht="19.8" customHeight="1" x14ac:dyDescent="0.3">
      <c r="A839" s="98">
        <f t="shared" si="13"/>
        <v>11</v>
      </c>
      <c r="B839" s="92" t="s">
        <v>2497</v>
      </c>
      <c r="C839" s="92" t="s">
        <v>2498</v>
      </c>
      <c r="D839" s="95">
        <v>0</v>
      </c>
      <c r="E839" s="95">
        <v>2000000</v>
      </c>
      <c r="F839" s="95">
        <v>0</v>
      </c>
      <c r="G839" s="95">
        <v>2000000</v>
      </c>
      <c r="H839" s="95">
        <v>-2000000</v>
      </c>
    </row>
    <row r="840" spans="1:8" ht="19.8" customHeight="1" x14ac:dyDescent="0.3">
      <c r="A840" s="98">
        <f t="shared" si="13"/>
        <v>11</v>
      </c>
      <c r="B840" s="92" t="s">
        <v>2499</v>
      </c>
      <c r="C840" s="92" t="s">
        <v>2500</v>
      </c>
      <c r="D840" s="95">
        <v>5013005.5199999996</v>
      </c>
      <c r="E840" s="95">
        <v>9227634.7899999991</v>
      </c>
      <c r="F840" s="95">
        <v>0</v>
      </c>
      <c r="G840" s="95">
        <v>4214629.2699999996</v>
      </c>
      <c r="H840" s="95">
        <v>-4214629.2699999996</v>
      </c>
    </row>
    <row r="841" spans="1:8" ht="19.8" customHeight="1" x14ac:dyDescent="0.3">
      <c r="A841" s="98">
        <f t="shared" si="13"/>
        <v>11</v>
      </c>
      <c r="B841" s="92" t="s">
        <v>2501</v>
      </c>
      <c r="C841" s="92" t="s">
        <v>2502</v>
      </c>
      <c r="D841" s="95">
        <v>0</v>
      </c>
      <c r="E841" s="95">
        <v>10000000</v>
      </c>
      <c r="F841" s="95">
        <v>0</v>
      </c>
      <c r="G841" s="95">
        <v>10000000</v>
      </c>
      <c r="H841" s="95">
        <v>-10000000</v>
      </c>
    </row>
    <row r="842" spans="1:8" ht="19.8" customHeight="1" x14ac:dyDescent="0.3">
      <c r="A842" s="98">
        <f t="shared" si="13"/>
        <v>11</v>
      </c>
      <c r="B842" s="92" t="s">
        <v>2503</v>
      </c>
      <c r="C842" s="92" t="s">
        <v>2504</v>
      </c>
      <c r="D842" s="95">
        <v>0</v>
      </c>
      <c r="E842" s="95">
        <v>10000000</v>
      </c>
      <c r="F842" s="95">
        <v>0</v>
      </c>
      <c r="G842" s="95">
        <v>10000000</v>
      </c>
      <c r="H842" s="95">
        <v>-10000000</v>
      </c>
    </row>
    <row r="843" spans="1:8" ht="19.8" customHeight="1" x14ac:dyDescent="0.3">
      <c r="A843" s="98">
        <f t="shared" si="13"/>
        <v>11</v>
      </c>
      <c r="B843" s="92" t="s">
        <v>2505</v>
      </c>
      <c r="C843" s="92" t="s">
        <v>2506</v>
      </c>
      <c r="D843" s="95">
        <v>0</v>
      </c>
      <c r="E843" s="95">
        <v>2900000</v>
      </c>
      <c r="F843" s="95">
        <v>0</v>
      </c>
      <c r="G843" s="95">
        <v>2900000</v>
      </c>
      <c r="H843" s="95">
        <v>-2900000</v>
      </c>
    </row>
    <row r="844" spans="1:8" ht="19.8" customHeight="1" x14ac:dyDescent="0.3">
      <c r="A844" s="98">
        <f t="shared" si="13"/>
        <v>11</v>
      </c>
      <c r="B844" s="92" t="s">
        <v>2507</v>
      </c>
      <c r="C844" s="92" t="s">
        <v>2508</v>
      </c>
      <c r="D844" s="95">
        <v>15000000</v>
      </c>
      <c r="E844" s="95">
        <v>15000000</v>
      </c>
      <c r="F844" s="95">
        <v>0</v>
      </c>
      <c r="G844" s="95">
        <v>0</v>
      </c>
      <c r="H844" s="95">
        <v>0</v>
      </c>
    </row>
    <row r="845" spans="1:8" ht="19.8" customHeight="1" x14ac:dyDescent="0.3">
      <c r="A845" s="98">
        <f t="shared" si="13"/>
        <v>11</v>
      </c>
      <c r="B845" s="92" t="s">
        <v>2509</v>
      </c>
      <c r="C845" s="92" t="s">
        <v>2510</v>
      </c>
      <c r="D845" s="95">
        <v>0</v>
      </c>
      <c r="E845" s="95">
        <v>7500000</v>
      </c>
      <c r="F845" s="95">
        <v>0</v>
      </c>
      <c r="G845" s="95">
        <v>7500000</v>
      </c>
      <c r="H845" s="95">
        <v>-7500000</v>
      </c>
    </row>
    <row r="846" spans="1:8" ht="19.8" customHeight="1" x14ac:dyDescent="0.3">
      <c r="A846" s="98">
        <f t="shared" si="13"/>
        <v>11</v>
      </c>
      <c r="B846" s="92" t="s">
        <v>2511</v>
      </c>
      <c r="C846" s="92" t="s">
        <v>2512</v>
      </c>
      <c r="D846" s="95">
        <v>4711732.0999999996</v>
      </c>
      <c r="E846" s="95">
        <v>8698710.9600000009</v>
      </c>
      <c r="F846" s="95">
        <v>0</v>
      </c>
      <c r="G846" s="95">
        <v>3986978.86</v>
      </c>
      <c r="H846" s="95">
        <v>-3986978.86</v>
      </c>
    </row>
    <row r="847" spans="1:8" ht="19.8" customHeight="1" x14ac:dyDescent="0.3">
      <c r="A847" s="98">
        <f t="shared" si="13"/>
        <v>11</v>
      </c>
      <c r="B847" s="92" t="s">
        <v>2513</v>
      </c>
      <c r="C847" s="92" t="s">
        <v>2514</v>
      </c>
      <c r="D847" s="95">
        <v>2362209.39</v>
      </c>
      <c r="E847" s="95">
        <v>4347872.5999999996</v>
      </c>
      <c r="F847" s="95">
        <v>0</v>
      </c>
      <c r="G847" s="95">
        <v>1985663.21</v>
      </c>
      <c r="H847" s="95">
        <v>-1985663.21</v>
      </c>
    </row>
    <row r="848" spans="1:8" ht="19.8" customHeight="1" x14ac:dyDescent="0.3">
      <c r="A848" s="98">
        <f t="shared" si="13"/>
        <v>11</v>
      </c>
      <c r="B848" s="92" t="s">
        <v>2515</v>
      </c>
      <c r="C848" s="92" t="s">
        <v>2516</v>
      </c>
      <c r="D848" s="95">
        <v>2276705.31</v>
      </c>
      <c r="E848" s="95">
        <v>4663050.62</v>
      </c>
      <c r="F848" s="95">
        <v>0</v>
      </c>
      <c r="G848" s="95">
        <v>2386345.31</v>
      </c>
      <c r="H848" s="95">
        <v>-2386345.31</v>
      </c>
    </row>
    <row r="849" spans="1:8" ht="19.8" customHeight="1" x14ac:dyDescent="0.3">
      <c r="A849" s="98">
        <f t="shared" si="13"/>
        <v>11</v>
      </c>
      <c r="B849" s="92" t="s">
        <v>2517</v>
      </c>
      <c r="C849" s="92" t="s">
        <v>2518</v>
      </c>
      <c r="D849" s="95">
        <v>1808988.98</v>
      </c>
      <c r="E849" s="95">
        <v>3744573.45</v>
      </c>
      <c r="F849" s="95">
        <v>0</v>
      </c>
      <c r="G849" s="95">
        <v>1935584.47</v>
      </c>
      <c r="H849" s="95">
        <v>-1935584.47</v>
      </c>
    </row>
    <row r="850" spans="1:8" ht="19.8" customHeight="1" x14ac:dyDescent="0.3">
      <c r="A850" s="98">
        <f t="shared" si="13"/>
        <v>11</v>
      </c>
      <c r="B850" s="92" t="s">
        <v>2519</v>
      </c>
      <c r="C850" s="92" t="s">
        <v>2520</v>
      </c>
      <c r="D850" s="95">
        <v>934620.32</v>
      </c>
      <c r="E850" s="95">
        <v>2333194.2400000002</v>
      </c>
      <c r="F850" s="95">
        <v>0</v>
      </c>
      <c r="G850" s="95">
        <v>1398573.92</v>
      </c>
      <c r="H850" s="95">
        <v>-1398573.92</v>
      </c>
    </row>
    <row r="851" spans="1:8" ht="19.8" customHeight="1" x14ac:dyDescent="0.3">
      <c r="A851" s="98">
        <f t="shared" si="13"/>
        <v>11</v>
      </c>
      <c r="B851" s="92" t="s">
        <v>2521</v>
      </c>
      <c r="C851" s="92" t="s">
        <v>2522</v>
      </c>
      <c r="D851" s="95">
        <v>3309739.98</v>
      </c>
      <c r="E851" s="95">
        <v>9300000</v>
      </c>
      <c r="F851" s="95">
        <v>0</v>
      </c>
      <c r="G851" s="95">
        <v>5990260.0199999996</v>
      </c>
      <c r="H851" s="95">
        <v>-5990260.0199999996</v>
      </c>
    </row>
    <row r="852" spans="1:8" ht="19.8" customHeight="1" x14ac:dyDescent="0.3">
      <c r="A852" s="98">
        <f t="shared" si="13"/>
        <v>11</v>
      </c>
      <c r="B852" s="92" t="s">
        <v>2523</v>
      </c>
      <c r="C852" s="92" t="s">
        <v>2524</v>
      </c>
      <c r="D852" s="95">
        <v>10000000</v>
      </c>
      <c r="E852" s="95">
        <v>10000000</v>
      </c>
      <c r="F852" s="95">
        <v>0</v>
      </c>
      <c r="G852" s="95">
        <v>0</v>
      </c>
      <c r="H852" s="95">
        <v>0</v>
      </c>
    </row>
    <row r="853" spans="1:8" ht="19.8" customHeight="1" x14ac:dyDescent="0.3">
      <c r="A853" s="98">
        <f t="shared" si="13"/>
        <v>11</v>
      </c>
      <c r="B853" s="92" t="s">
        <v>2525</v>
      </c>
      <c r="C853" s="92" t="s">
        <v>2526</v>
      </c>
      <c r="D853" s="95">
        <v>15833333.32</v>
      </c>
      <c r="E853" s="95">
        <v>190000000</v>
      </c>
      <c r="F853" s="95">
        <v>0</v>
      </c>
      <c r="G853" s="95">
        <v>174166666.68000001</v>
      </c>
      <c r="H853" s="95">
        <v>-174166666.68000001</v>
      </c>
    </row>
    <row r="854" spans="1:8" ht="19.8" customHeight="1" x14ac:dyDescent="0.3">
      <c r="A854" s="98">
        <f t="shared" si="13"/>
        <v>11</v>
      </c>
      <c r="B854" s="92" t="s">
        <v>2527</v>
      </c>
      <c r="C854" s="92" t="s">
        <v>2528</v>
      </c>
      <c r="D854" s="95">
        <v>5814197.9500000002</v>
      </c>
      <c r="E854" s="95">
        <v>46677300</v>
      </c>
      <c r="F854" s="95">
        <v>0</v>
      </c>
      <c r="G854" s="95">
        <v>40863102.049999997</v>
      </c>
      <c r="H854" s="95">
        <v>-40863102.049999997</v>
      </c>
    </row>
    <row r="855" spans="1:8" ht="19.8" customHeight="1" x14ac:dyDescent="0.3">
      <c r="A855" s="98">
        <f t="shared" si="13"/>
        <v>11</v>
      </c>
      <c r="B855" s="92" t="s">
        <v>2529</v>
      </c>
      <c r="C855" s="92" t="s">
        <v>2530</v>
      </c>
      <c r="D855" s="95">
        <v>546119.49</v>
      </c>
      <c r="E855" s="95">
        <v>9000000</v>
      </c>
      <c r="F855" s="95">
        <v>0</v>
      </c>
      <c r="G855" s="95">
        <v>8453880.5099999998</v>
      </c>
      <c r="H855" s="95">
        <v>-8453880.5099999998</v>
      </c>
    </row>
    <row r="856" spans="1:8" ht="19.8" customHeight="1" x14ac:dyDescent="0.3">
      <c r="A856" s="98">
        <f t="shared" si="13"/>
        <v>11</v>
      </c>
      <c r="B856" s="92" t="s">
        <v>2531</v>
      </c>
      <c r="C856" s="92" t="s">
        <v>2532</v>
      </c>
      <c r="D856" s="95">
        <v>156689.29</v>
      </c>
      <c r="E856" s="95">
        <v>2500000</v>
      </c>
      <c r="F856" s="95">
        <v>0</v>
      </c>
      <c r="G856" s="95">
        <v>2343310.71</v>
      </c>
      <c r="H856" s="95">
        <v>-2343310.71</v>
      </c>
    </row>
    <row r="857" spans="1:8" ht="19.8" customHeight="1" x14ac:dyDescent="0.3">
      <c r="A857" s="98">
        <f t="shared" si="13"/>
        <v>11</v>
      </c>
      <c r="B857" s="92" t="s">
        <v>2533</v>
      </c>
      <c r="C857" s="92" t="s">
        <v>2534</v>
      </c>
      <c r="D857" s="95">
        <v>1181850.54</v>
      </c>
      <c r="E857" s="95">
        <v>20000000</v>
      </c>
      <c r="F857" s="95">
        <v>0</v>
      </c>
      <c r="G857" s="95">
        <v>18818149.460000001</v>
      </c>
      <c r="H857" s="95">
        <v>-18818149.460000001</v>
      </c>
    </row>
    <row r="858" spans="1:8" ht="19.8" customHeight="1" x14ac:dyDescent="0.3">
      <c r="A858" s="98">
        <f t="shared" si="13"/>
        <v>11</v>
      </c>
      <c r="B858" s="92" t="s">
        <v>2535</v>
      </c>
      <c r="C858" s="92" t="s">
        <v>2536</v>
      </c>
      <c r="D858" s="95">
        <v>793109.85</v>
      </c>
      <c r="E858" s="95">
        <v>12100000</v>
      </c>
      <c r="F858" s="95">
        <v>0</v>
      </c>
      <c r="G858" s="95">
        <v>11306890.15</v>
      </c>
      <c r="H858" s="95">
        <v>-11306890.15</v>
      </c>
    </row>
    <row r="859" spans="1:8" ht="19.8" customHeight="1" x14ac:dyDescent="0.3">
      <c r="A859" s="98">
        <f t="shared" si="13"/>
        <v>11</v>
      </c>
      <c r="B859" s="92" t="s">
        <v>2537</v>
      </c>
      <c r="C859" s="92" t="s">
        <v>2538</v>
      </c>
      <c r="D859" s="95">
        <v>0</v>
      </c>
      <c r="E859" s="95">
        <v>10000000</v>
      </c>
      <c r="F859" s="95">
        <v>0</v>
      </c>
      <c r="G859" s="95">
        <v>10000000</v>
      </c>
      <c r="H859" s="95">
        <v>-10000000</v>
      </c>
    </row>
    <row r="860" spans="1:8" ht="19.8" customHeight="1" x14ac:dyDescent="0.3">
      <c r="A860" s="98">
        <f t="shared" si="13"/>
        <v>11</v>
      </c>
      <c r="B860" s="92" t="s">
        <v>2539</v>
      </c>
      <c r="C860" s="92" t="s">
        <v>2540</v>
      </c>
      <c r="D860" s="95">
        <v>846043.23</v>
      </c>
      <c r="E860" s="95">
        <v>6139347.6200000001</v>
      </c>
      <c r="F860" s="95">
        <v>0</v>
      </c>
      <c r="G860" s="95">
        <v>5293304.3899999997</v>
      </c>
      <c r="H860" s="95">
        <v>-5293304.3899999997</v>
      </c>
    </row>
    <row r="861" spans="1:8" ht="19.8" customHeight="1" x14ac:dyDescent="0.3">
      <c r="A861" s="98">
        <f t="shared" si="13"/>
        <v>11</v>
      </c>
      <c r="B861" s="92" t="s">
        <v>2541</v>
      </c>
      <c r="C861" s="92" t="s">
        <v>2542</v>
      </c>
      <c r="D861" s="95">
        <v>0</v>
      </c>
      <c r="E861" s="95">
        <v>15000000</v>
      </c>
      <c r="F861" s="95">
        <v>0</v>
      </c>
      <c r="G861" s="95">
        <v>15000000</v>
      </c>
      <c r="H861" s="95">
        <v>-15000000</v>
      </c>
    </row>
    <row r="862" spans="1:8" ht="19.8" customHeight="1" x14ac:dyDescent="0.3">
      <c r="A862" s="98">
        <f t="shared" si="13"/>
        <v>11</v>
      </c>
      <c r="B862" s="92" t="s">
        <v>2543</v>
      </c>
      <c r="C862" s="92" t="s">
        <v>2544</v>
      </c>
      <c r="D862" s="95">
        <v>0</v>
      </c>
      <c r="E862" s="95">
        <v>53300000</v>
      </c>
      <c r="F862" s="95">
        <v>0</v>
      </c>
      <c r="G862" s="95">
        <v>53300000</v>
      </c>
      <c r="H862" s="95">
        <v>-53300000</v>
      </c>
    </row>
    <row r="863" spans="1:8" ht="19.8" customHeight="1" x14ac:dyDescent="0.3">
      <c r="A863" s="98">
        <f t="shared" si="13"/>
        <v>3</v>
      </c>
      <c r="B863" s="92" t="s">
        <v>208</v>
      </c>
      <c r="C863" s="92" t="s">
        <v>332</v>
      </c>
      <c r="D863" s="95">
        <v>4239366.6900000004</v>
      </c>
      <c r="E863" s="95">
        <v>4834286.05</v>
      </c>
      <c r="F863" s="95">
        <v>77042.58</v>
      </c>
      <c r="G863" s="95">
        <v>671961.94</v>
      </c>
      <c r="H863" s="95">
        <v>-594919.36</v>
      </c>
    </row>
    <row r="864" spans="1:8" ht="19.8" customHeight="1" x14ac:dyDescent="0.3">
      <c r="A864" s="98">
        <f t="shared" si="13"/>
        <v>7</v>
      </c>
      <c r="B864" s="92" t="s">
        <v>2545</v>
      </c>
      <c r="C864" s="92" t="s">
        <v>2546</v>
      </c>
      <c r="D864" s="95">
        <v>4239366.6900000004</v>
      </c>
      <c r="E864" s="95">
        <v>4834286.05</v>
      </c>
      <c r="F864" s="95">
        <v>77042.58</v>
      </c>
      <c r="G864" s="95">
        <v>671961.94</v>
      </c>
      <c r="H864" s="95">
        <v>-594919.36</v>
      </c>
    </row>
    <row r="865" spans="1:8" ht="19.8" customHeight="1" x14ac:dyDescent="0.3">
      <c r="A865" s="98">
        <f t="shared" si="13"/>
        <v>11</v>
      </c>
      <c r="B865" s="92" t="s">
        <v>2547</v>
      </c>
      <c r="C865" s="92" t="s">
        <v>2548</v>
      </c>
      <c r="D865" s="95">
        <v>34533.65</v>
      </c>
      <c r="E865" s="95">
        <v>37848.19</v>
      </c>
      <c r="F865" s="95">
        <v>0</v>
      </c>
      <c r="G865" s="95">
        <v>3314.54</v>
      </c>
      <c r="H865" s="95">
        <v>-3314.54</v>
      </c>
    </row>
    <row r="866" spans="1:8" ht="19.8" customHeight="1" x14ac:dyDescent="0.3">
      <c r="A866" s="98">
        <f t="shared" si="13"/>
        <v>11</v>
      </c>
      <c r="B866" s="92" t="s">
        <v>2549</v>
      </c>
      <c r="C866" s="92" t="s">
        <v>2550</v>
      </c>
      <c r="D866" s="95">
        <v>17973.12</v>
      </c>
      <c r="E866" s="95">
        <v>16787.47</v>
      </c>
      <c r="F866" s="95">
        <v>1185.6500000000001</v>
      </c>
      <c r="G866" s="95">
        <v>0</v>
      </c>
      <c r="H866" s="95">
        <v>1185.6500000000001</v>
      </c>
    </row>
    <row r="867" spans="1:8" ht="19.8" customHeight="1" x14ac:dyDescent="0.3">
      <c r="A867" s="98">
        <f t="shared" si="13"/>
        <v>11</v>
      </c>
      <c r="B867" s="92" t="s">
        <v>2551</v>
      </c>
      <c r="C867" s="92" t="s">
        <v>2552</v>
      </c>
      <c r="D867" s="95">
        <v>208797.29</v>
      </c>
      <c r="E867" s="95">
        <v>268134.59000000003</v>
      </c>
      <c r="F867" s="95">
        <v>0</v>
      </c>
      <c r="G867" s="95">
        <v>59337.3</v>
      </c>
      <c r="H867" s="95">
        <v>-59337.3</v>
      </c>
    </row>
    <row r="868" spans="1:8" ht="19.8" customHeight="1" x14ac:dyDescent="0.3">
      <c r="A868" s="98">
        <f t="shared" si="13"/>
        <v>11</v>
      </c>
      <c r="B868" s="92" t="s">
        <v>2553</v>
      </c>
      <c r="C868" s="92" t="s">
        <v>2554</v>
      </c>
      <c r="D868" s="95">
        <v>796706.35</v>
      </c>
      <c r="E868" s="95">
        <v>888636.94</v>
      </c>
      <c r="F868" s="95">
        <v>0</v>
      </c>
      <c r="G868" s="95">
        <v>91930.59</v>
      </c>
      <c r="H868" s="95">
        <v>-91930.59</v>
      </c>
    </row>
    <row r="869" spans="1:8" ht="19.8" customHeight="1" x14ac:dyDescent="0.3">
      <c r="A869" s="98">
        <f t="shared" si="13"/>
        <v>11</v>
      </c>
      <c r="B869" s="92" t="s">
        <v>2555</v>
      </c>
      <c r="C869" s="92" t="s">
        <v>2556</v>
      </c>
      <c r="D869" s="95">
        <v>0</v>
      </c>
      <c r="E869" s="95">
        <v>11725.33</v>
      </c>
      <c r="F869" s="95">
        <v>0</v>
      </c>
      <c r="G869" s="95">
        <v>11725.33</v>
      </c>
      <c r="H869" s="95">
        <v>-11725.33</v>
      </c>
    </row>
    <row r="870" spans="1:8" ht="19.8" customHeight="1" x14ac:dyDescent="0.3">
      <c r="A870" s="98">
        <f t="shared" si="13"/>
        <v>11</v>
      </c>
      <c r="B870" s="92" t="s">
        <v>2557</v>
      </c>
      <c r="C870" s="92" t="s">
        <v>2558</v>
      </c>
      <c r="D870" s="95">
        <v>65575.679999999993</v>
      </c>
      <c r="E870" s="95">
        <v>76537.440000000002</v>
      </c>
      <c r="F870" s="95">
        <v>0</v>
      </c>
      <c r="G870" s="95">
        <v>10961.76</v>
      </c>
      <c r="H870" s="95">
        <v>-10961.76</v>
      </c>
    </row>
    <row r="871" spans="1:8" ht="19.8" customHeight="1" x14ac:dyDescent="0.3">
      <c r="A871" s="98">
        <f t="shared" si="13"/>
        <v>11</v>
      </c>
      <c r="B871" s="92" t="s">
        <v>2559</v>
      </c>
      <c r="C871" s="92" t="s">
        <v>2560</v>
      </c>
      <c r="D871" s="95">
        <v>604198.61</v>
      </c>
      <c r="E871" s="95">
        <v>628601.97</v>
      </c>
      <c r="F871" s="95">
        <v>0</v>
      </c>
      <c r="G871" s="95">
        <v>24403.360000000001</v>
      </c>
      <c r="H871" s="95">
        <v>-24403.360000000001</v>
      </c>
    </row>
    <row r="872" spans="1:8" ht="19.8" customHeight="1" x14ac:dyDescent="0.3">
      <c r="A872" s="98">
        <f t="shared" si="13"/>
        <v>11</v>
      </c>
      <c r="B872" s="92" t="s">
        <v>2561</v>
      </c>
      <c r="C872" s="92" t="s">
        <v>2562</v>
      </c>
      <c r="D872" s="95">
        <v>1512828.37</v>
      </c>
      <c r="E872" s="95">
        <v>1633444.02</v>
      </c>
      <c r="F872" s="95">
        <v>0</v>
      </c>
      <c r="G872" s="95">
        <v>120615.65</v>
      </c>
      <c r="H872" s="95">
        <v>-120615.65</v>
      </c>
    </row>
    <row r="873" spans="1:8" ht="19.8" customHeight="1" x14ac:dyDescent="0.3">
      <c r="A873" s="98">
        <f t="shared" si="13"/>
        <v>11</v>
      </c>
      <c r="B873" s="92" t="s">
        <v>2563</v>
      </c>
      <c r="C873" s="92" t="s">
        <v>2564</v>
      </c>
      <c r="D873" s="95">
        <v>257344.55</v>
      </c>
      <c r="E873" s="95">
        <v>253988.49</v>
      </c>
      <c r="F873" s="95">
        <v>3356.06</v>
      </c>
      <c r="G873" s="95">
        <v>0</v>
      </c>
      <c r="H873" s="95">
        <v>3356.06</v>
      </c>
    </row>
    <row r="874" spans="1:8" ht="19.8" customHeight="1" x14ac:dyDescent="0.3">
      <c r="A874" s="98">
        <f t="shared" si="13"/>
        <v>11</v>
      </c>
      <c r="B874" s="92" t="s">
        <v>2565</v>
      </c>
      <c r="C874" s="92" t="s">
        <v>2566</v>
      </c>
      <c r="D874" s="95">
        <v>83741.98</v>
      </c>
      <c r="E874" s="95">
        <v>129231.08</v>
      </c>
      <c r="F874" s="95">
        <v>0</v>
      </c>
      <c r="G874" s="95">
        <v>45489.1</v>
      </c>
      <c r="H874" s="95">
        <v>-45489.1</v>
      </c>
    </row>
    <row r="875" spans="1:8" ht="19.8" customHeight="1" x14ac:dyDescent="0.3">
      <c r="A875" s="98">
        <f t="shared" si="13"/>
        <v>11</v>
      </c>
      <c r="B875" s="92" t="s">
        <v>2567</v>
      </c>
      <c r="C875" s="92" t="s">
        <v>2568</v>
      </c>
      <c r="D875" s="95">
        <v>5494.11</v>
      </c>
      <c r="E875" s="95">
        <v>6068.11</v>
      </c>
      <c r="F875" s="95">
        <v>0</v>
      </c>
      <c r="G875" s="95">
        <v>574</v>
      </c>
      <c r="H875" s="95">
        <v>-574</v>
      </c>
    </row>
    <row r="876" spans="1:8" ht="19.8" customHeight="1" x14ac:dyDescent="0.3">
      <c r="A876" s="98">
        <f t="shared" si="13"/>
        <v>11</v>
      </c>
      <c r="B876" s="92" t="s">
        <v>2569</v>
      </c>
      <c r="C876" s="92" t="s">
        <v>2570</v>
      </c>
      <c r="D876" s="95">
        <v>19243.39</v>
      </c>
      <c r="E876" s="95">
        <v>19243.39</v>
      </c>
      <c r="F876" s="95">
        <v>0</v>
      </c>
      <c r="G876" s="95">
        <v>0</v>
      </c>
      <c r="H876" s="95">
        <v>0</v>
      </c>
    </row>
    <row r="877" spans="1:8" ht="19.8" customHeight="1" x14ac:dyDescent="0.3">
      <c r="A877" s="98">
        <f t="shared" si="13"/>
        <v>11</v>
      </c>
      <c r="B877" s="92" t="s">
        <v>2571</v>
      </c>
      <c r="C877" s="92" t="s">
        <v>2572</v>
      </c>
      <c r="D877" s="95">
        <v>112641.45</v>
      </c>
      <c r="E877" s="95">
        <v>112641.45</v>
      </c>
      <c r="F877" s="95">
        <v>0</v>
      </c>
      <c r="G877" s="95">
        <v>0</v>
      </c>
      <c r="H877" s="95">
        <v>0</v>
      </c>
    </row>
    <row r="878" spans="1:8" ht="19.8" customHeight="1" x14ac:dyDescent="0.3">
      <c r="A878" s="98">
        <f t="shared" si="13"/>
        <v>11</v>
      </c>
      <c r="B878" s="92" t="s">
        <v>2573</v>
      </c>
      <c r="C878" s="92" t="s">
        <v>2574</v>
      </c>
      <c r="D878" s="95">
        <v>24191.66</v>
      </c>
      <c r="E878" s="95">
        <v>62370.51</v>
      </c>
      <c r="F878" s="95">
        <v>0</v>
      </c>
      <c r="G878" s="95">
        <v>38178.85</v>
      </c>
      <c r="H878" s="95">
        <v>-38178.85</v>
      </c>
    </row>
    <row r="879" spans="1:8" ht="19.8" customHeight="1" x14ac:dyDescent="0.3">
      <c r="A879" s="98">
        <f t="shared" si="13"/>
        <v>11</v>
      </c>
      <c r="B879" s="92" t="s">
        <v>2575</v>
      </c>
      <c r="C879" s="92" t="s">
        <v>2576</v>
      </c>
      <c r="D879" s="95">
        <v>50000</v>
      </c>
      <c r="E879" s="95">
        <v>190638.7</v>
      </c>
      <c r="F879" s="95">
        <v>0</v>
      </c>
      <c r="G879" s="95">
        <v>140638.70000000001</v>
      </c>
      <c r="H879" s="95">
        <v>-140638.70000000001</v>
      </c>
    </row>
    <row r="880" spans="1:8" ht="19.8" customHeight="1" x14ac:dyDescent="0.3">
      <c r="A880" s="98">
        <f t="shared" si="13"/>
        <v>11</v>
      </c>
      <c r="B880" s="92" t="s">
        <v>2577</v>
      </c>
      <c r="C880" s="92" t="s">
        <v>2578</v>
      </c>
      <c r="D880" s="95">
        <v>375544.72</v>
      </c>
      <c r="E880" s="95">
        <v>303043.84999999998</v>
      </c>
      <c r="F880" s="95">
        <v>72500.87</v>
      </c>
      <c r="G880" s="95">
        <v>0</v>
      </c>
      <c r="H880" s="95">
        <v>72500.87</v>
      </c>
    </row>
    <row r="881" spans="1:8" ht="19.8" customHeight="1" x14ac:dyDescent="0.3">
      <c r="A881" s="98">
        <f t="shared" si="13"/>
        <v>11</v>
      </c>
      <c r="B881" s="92" t="s">
        <v>2579</v>
      </c>
      <c r="C881" s="92" t="s">
        <v>2580</v>
      </c>
      <c r="D881" s="95">
        <v>70551.759999999995</v>
      </c>
      <c r="E881" s="95">
        <v>177704.52</v>
      </c>
      <c r="F881" s="95">
        <v>0</v>
      </c>
      <c r="G881" s="95">
        <v>107152.76</v>
      </c>
      <c r="H881" s="95">
        <v>-107152.76</v>
      </c>
    </row>
    <row r="882" spans="1:8" ht="19.8" customHeight="1" x14ac:dyDescent="0.3">
      <c r="A882" s="98">
        <f t="shared" si="13"/>
        <v>11</v>
      </c>
      <c r="B882" s="92" t="s">
        <v>2581</v>
      </c>
      <c r="C882" s="92" t="s">
        <v>2582</v>
      </c>
      <c r="D882" s="95">
        <v>0</v>
      </c>
      <c r="E882" s="95">
        <v>17640</v>
      </c>
      <c r="F882" s="95">
        <v>0</v>
      </c>
      <c r="G882" s="95">
        <v>17640</v>
      </c>
      <c r="H882" s="95">
        <v>-17640</v>
      </c>
    </row>
    <row r="883" spans="1:8" ht="19.8" customHeight="1" x14ac:dyDescent="0.3">
      <c r="A883" s="98">
        <f t="shared" si="13"/>
        <v>3</v>
      </c>
      <c r="B883" s="92" t="s">
        <v>209</v>
      </c>
      <c r="C883" s="92" t="s">
        <v>333</v>
      </c>
      <c r="D883" s="95">
        <v>2089627974.1099999</v>
      </c>
      <c r="E883" s="95">
        <v>2384201435.4499998</v>
      </c>
      <c r="F883" s="95">
        <v>0</v>
      </c>
      <c r="G883" s="95">
        <v>294573461.33999997</v>
      </c>
      <c r="H883" s="95">
        <v>-294573461.33999997</v>
      </c>
    </row>
    <row r="884" spans="1:8" ht="19.8" customHeight="1" x14ac:dyDescent="0.3">
      <c r="A884" s="98">
        <f t="shared" si="13"/>
        <v>7</v>
      </c>
      <c r="B884" s="92" t="s">
        <v>2583</v>
      </c>
      <c r="C884" s="92" t="s">
        <v>2584</v>
      </c>
      <c r="D884" s="95">
        <v>2089627974.1099999</v>
      </c>
      <c r="E884" s="95">
        <v>2384201435.4499998</v>
      </c>
      <c r="F884" s="95">
        <v>0</v>
      </c>
      <c r="G884" s="95">
        <v>294573461.33999997</v>
      </c>
      <c r="H884" s="95">
        <v>-294573461.33999997</v>
      </c>
    </row>
    <row r="885" spans="1:8" ht="19.8" customHeight="1" x14ac:dyDescent="0.3">
      <c r="A885" s="98">
        <f t="shared" si="13"/>
        <v>11</v>
      </c>
      <c r="B885" s="92" t="s">
        <v>2585</v>
      </c>
      <c r="C885" s="92" t="s">
        <v>2586</v>
      </c>
      <c r="D885" s="95">
        <v>378530782.75999999</v>
      </c>
      <c r="E885" s="95">
        <v>401697089.19</v>
      </c>
      <c r="F885" s="95">
        <v>0</v>
      </c>
      <c r="G885" s="95">
        <v>23166306.43</v>
      </c>
      <c r="H885" s="95">
        <v>-23166306.43</v>
      </c>
    </row>
    <row r="886" spans="1:8" ht="19.8" customHeight="1" x14ac:dyDescent="0.3">
      <c r="A886" s="98">
        <f t="shared" si="13"/>
        <v>11</v>
      </c>
      <c r="B886" s="92" t="s">
        <v>440</v>
      </c>
      <c r="C886" s="92" t="s">
        <v>2587</v>
      </c>
      <c r="D886" s="95">
        <v>1625628616.3199999</v>
      </c>
      <c r="E886" s="95">
        <v>1883882331.77</v>
      </c>
      <c r="F886" s="95">
        <v>0</v>
      </c>
      <c r="G886" s="95">
        <v>258253715.44999999</v>
      </c>
      <c r="H886" s="95">
        <v>-258253715.44999999</v>
      </c>
    </row>
    <row r="887" spans="1:8" ht="19.8" customHeight="1" x14ac:dyDescent="0.3">
      <c r="A887" s="98">
        <f t="shared" si="13"/>
        <v>11</v>
      </c>
      <c r="B887" s="92" t="s">
        <v>2588</v>
      </c>
      <c r="C887" s="92" t="s">
        <v>2589</v>
      </c>
      <c r="D887" s="95">
        <v>85468575.030000001</v>
      </c>
      <c r="E887" s="95">
        <v>98622014.489999995</v>
      </c>
      <c r="F887" s="95">
        <v>0</v>
      </c>
      <c r="G887" s="95">
        <v>13153439.460000001</v>
      </c>
      <c r="H887" s="95">
        <v>-13153439.460000001</v>
      </c>
    </row>
    <row r="888" spans="1:8" ht="19.8" customHeight="1" x14ac:dyDescent="0.3">
      <c r="A888" s="98">
        <f t="shared" si="13"/>
        <v>3</v>
      </c>
      <c r="B888" s="92" t="s">
        <v>400</v>
      </c>
      <c r="C888" s="92" t="s">
        <v>401</v>
      </c>
      <c r="D888" s="95">
        <v>16520439.960000001</v>
      </c>
      <c r="E888" s="95">
        <v>141077873.09</v>
      </c>
      <c r="F888" s="95">
        <v>0</v>
      </c>
      <c r="G888" s="95">
        <v>124557433.13</v>
      </c>
      <c r="H888" s="95">
        <v>-124557433.13</v>
      </c>
    </row>
    <row r="889" spans="1:8" ht="19.8" customHeight="1" x14ac:dyDescent="0.3">
      <c r="A889" s="98">
        <f t="shared" si="13"/>
        <v>7</v>
      </c>
      <c r="B889" s="92" t="s">
        <v>2590</v>
      </c>
      <c r="C889" s="92" t="s">
        <v>401</v>
      </c>
      <c r="D889" s="95">
        <v>16520439.960000001</v>
      </c>
      <c r="E889" s="95">
        <v>141077873.09</v>
      </c>
      <c r="F889" s="95">
        <v>0</v>
      </c>
      <c r="G889" s="95">
        <v>124557433.13</v>
      </c>
      <c r="H889" s="95">
        <v>-124557433.13</v>
      </c>
    </row>
    <row r="890" spans="1:8" ht="19.8" customHeight="1" x14ac:dyDescent="0.3">
      <c r="A890" s="98">
        <f t="shared" si="13"/>
        <v>11</v>
      </c>
      <c r="B890" s="92" t="s">
        <v>2591</v>
      </c>
      <c r="C890" s="92" t="s">
        <v>2592</v>
      </c>
      <c r="D890" s="95">
        <v>16520439.960000001</v>
      </c>
      <c r="E890" s="95">
        <v>141077873.09</v>
      </c>
      <c r="F890" s="95">
        <v>0</v>
      </c>
      <c r="G890" s="95">
        <v>124557433.13</v>
      </c>
      <c r="H890" s="95">
        <v>-124557433.13</v>
      </c>
    </row>
    <row r="891" spans="1:8" ht="19.8" customHeight="1" x14ac:dyDescent="0.3">
      <c r="A891" s="98">
        <f t="shared" si="13"/>
        <v>3</v>
      </c>
      <c r="B891" s="92" t="s">
        <v>282</v>
      </c>
      <c r="C891" s="92" t="s">
        <v>379</v>
      </c>
      <c r="D891" s="95">
        <v>1413216</v>
      </c>
      <c r="E891" s="95">
        <v>1413216</v>
      </c>
      <c r="F891" s="95">
        <v>0</v>
      </c>
      <c r="G891" s="95">
        <v>0</v>
      </c>
      <c r="H891" s="95">
        <v>0</v>
      </c>
    </row>
    <row r="892" spans="1:8" ht="19.8" customHeight="1" x14ac:dyDescent="0.3">
      <c r="A892" s="98">
        <f t="shared" si="13"/>
        <v>7</v>
      </c>
      <c r="B892" s="92" t="s">
        <v>2593</v>
      </c>
      <c r="C892" s="92" t="s">
        <v>379</v>
      </c>
      <c r="D892" s="95">
        <v>1413216</v>
      </c>
      <c r="E892" s="95">
        <v>1413216</v>
      </c>
      <c r="F892" s="95">
        <v>0</v>
      </c>
      <c r="G892" s="95">
        <v>0</v>
      </c>
      <c r="H892" s="95">
        <v>0</v>
      </c>
    </row>
    <row r="893" spans="1:8" ht="19.8" customHeight="1" x14ac:dyDescent="0.3">
      <c r="A893" s="98">
        <f t="shared" si="13"/>
        <v>11</v>
      </c>
      <c r="B893" s="92" t="s">
        <v>2594</v>
      </c>
      <c r="C893" s="92" t="s">
        <v>2595</v>
      </c>
      <c r="D893" s="95">
        <v>1413216</v>
      </c>
      <c r="E893" s="95">
        <v>1413216</v>
      </c>
      <c r="F893" s="95">
        <v>0</v>
      </c>
      <c r="G893" s="95">
        <v>0</v>
      </c>
      <c r="H893" s="95">
        <v>0</v>
      </c>
    </row>
    <row r="894" spans="1:8" ht="19.8" customHeight="1" x14ac:dyDescent="0.3">
      <c r="A894" s="98">
        <f t="shared" si="13"/>
        <v>3</v>
      </c>
      <c r="B894" s="92" t="s">
        <v>210</v>
      </c>
      <c r="C894" s="92" t="s">
        <v>367</v>
      </c>
      <c r="D894" s="95">
        <v>0.04</v>
      </c>
      <c r="E894" s="95">
        <v>57366.07</v>
      </c>
      <c r="F894" s="95">
        <v>0</v>
      </c>
      <c r="G894" s="95">
        <v>57366.03</v>
      </c>
      <c r="H894" s="95">
        <v>-57366.03</v>
      </c>
    </row>
    <row r="895" spans="1:8" ht="19.8" customHeight="1" x14ac:dyDescent="0.3">
      <c r="A895" s="98">
        <f t="shared" si="13"/>
        <v>7</v>
      </c>
      <c r="B895" s="92" t="s">
        <v>2596</v>
      </c>
      <c r="C895" s="92" t="s">
        <v>367</v>
      </c>
      <c r="D895" s="95">
        <v>0.04</v>
      </c>
      <c r="E895" s="95">
        <v>0.04</v>
      </c>
      <c r="F895" s="95">
        <v>0</v>
      </c>
      <c r="G895" s="95">
        <v>0</v>
      </c>
      <c r="H895" s="95">
        <v>0</v>
      </c>
    </row>
    <row r="896" spans="1:8" ht="19.8" customHeight="1" x14ac:dyDescent="0.3">
      <c r="A896" s="98">
        <f t="shared" si="13"/>
        <v>11</v>
      </c>
      <c r="B896" s="92" t="s">
        <v>2597</v>
      </c>
      <c r="C896" s="92" t="s">
        <v>2598</v>
      </c>
      <c r="D896" s="95">
        <v>0.04</v>
      </c>
      <c r="E896" s="95">
        <v>0.04</v>
      </c>
      <c r="F896" s="95">
        <v>0</v>
      </c>
      <c r="G896" s="95">
        <v>0</v>
      </c>
      <c r="H896" s="95">
        <v>0</v>
      </c>
    </row>
    <row r="897" spans="1:8" ht="19.8" customHeight="1" x14ac:dyDescent="0.3">
      <c r="A897" s="98">
        <f t="shared" si="13"/>
        <v>7</v>
      </c>
      <c r="B897" s="92" t="s">
        <v>2599</v>
      </c>
      <c r="C897" s="92" t="s">
        <v>2600</v>
      </c>
      <c r="D897" s="95">
        <v>0</v>
      </c>
      <c r="E897" s="95">
        <v>57366.03</v>
      </c>
      <c r="F897" s="95">
        <v>0</v>
      </c>
      <c r="G897" s="95">
        <v>57366.03</v>
      </c>
      <c r="H897" s="95">
        <v>-57366.03</v>
      </c>
    </row>
    <row r="898" spans="1:8" ht="19.8" customHeight="1" x14ac:dyDescent="0.3">
      <c r="A898" s="98">
        <f t="shared" si="13"/>
        <v>11</v>
      </c>
      <c r="B898" s="92" t="s">
        <v>2601</v>
      </c>
      <c r="C898" s="92" t="s">
        <v>2602</v>
      </c>
      <c r="D898" s="95">
        <v>0</v>
      </c>
      <c r="E898" s="95">
        <v>57366.03</v>
      </c>
      <c r="F898" s="95">
        <v>0</v>
      </c>
      <c r="G898" s="95">
        <v>57366.03</v>
      </c>
      <c r="H898" s="95">
        <v>-57366.03</v>
      </c>
    </row>
    <row r="899" spans="1:8" ht="19.8" customHeight="1" x14ac:dyDescent="0.3">
      <c r="A899" s="98">
        <f t="shared" ref="A899:A962" si="14">+LEN(B899)</f>
        <v>3</v>
      </c>
      <c r="B899" s="92" t="s">
        <v>211</v>
      </c>
      <c r="C899" s="92" t="s">
        <v>334</v>
      </c>
      <c r="D899" s="95">
        <v>153142997.19999999</v>
      </c>
      <c r="E899" s="95">
        <v>180942642.46000001</v>
      </c>
      <c r="F899" s="95">
        <v>0</v>
      </c>
      <c r="G899" s="95">
        <v>27799645.260000002</v>
      </c>
      <c r="H899" s="95">
        <v>-27799645.260000002</v>
      </c>
    </row>
    <row r="900" spans="1:8" ht="19.8" customHeight="1" x14ac:dyDescent="0.3">
      <c r="A900" s="98">
        <f t="shared" si="14"/>
        <v>7</v>
      </c>
      <c r="B900" s="92" t="s">
        <v>2603</v>
      </c>
      <c r="C900" s="92" t="s">
        <v>334</v>
      </c>
      <c r="D900" s="95">
        <v>152464201.66</v>
      </c>
      <c r="E900" s="95">
        <v>180187624.74000001</v>
      </c>
      <c r="F900" s="95">
        <v>0</v>
      </c>
      <c r="G900" s="95">
        <v>27723423.079999998</v>
      </c>
      <c r="H900" s="95">
        <v>-27723423.079999998</v>
      </c>
    </row>
    <row r="901" spans="1:8" ht="19.8" customHeight="1" x14ac:dyDescent="0.3">
      <c r="A901" s="98">
        <f t="shared" si="14"/>
        <v>11</v>
      </c>
      <c r="B901" s="92" t="s">
        <v>2604</v>
      </c>
      <c r="C901" s="92" t="s">
        <v>2605</v>
      </c>
      <c r="D901" s="95">
        <v>152429002.91999999</v>
      </c>
      <c r="E901" s="95">
        <v>179906264.38999999</v>
      </c>
      <c r="F901" s="95">
        <v>0</v>
      </c>
      <c r="G901" s="95">
        <v>27477261.469999999</v>
      </c>
      <c r="H901" s="95">
        <v>-27477261.469999999</v>
      </c>
    </row>
    <row r="902" spans="1:8" ht="19.8" customHeight="1" x14ac:dyDescent="0.3">
      <c r="A902" s="98">
        <f t="shared" si="14"/>
        <v>11</v>
      </c>
      <c r="B902" s="92" t="s">
        <v>2606</v>
      </c>
      <c r="C902" s="92" t="s">
        <v>2607</v>
      </c>
      <c r="D902" s="95">
        <v>0</v>
      </c>
      <c r="E902" s="95">
        <v>246161.61</v>
      </c>
      <c r="F902" s="95">
        <v>0</v>
      </c>
      <c r="G902" s="95">
        <v>246161.61</v>
      </c>
      <c r="H902" s="95">
        <v>-246161.61</v>
      </c>
    </row>
    <row r="903" spans="1:8" ht="19.8" customHeight="1" x14ac:dyDescent="0.3">
      <c r="A903" s="98">
        <f t="shared" si="14"/>
        <v>11</v>
      </c>
      <c r="B903" s="92" t="s">
        <v>2608</v>
      </c>
      <c r="C903" s="92" t="s">
        <v>2609</v>
      </c>
      <c r="D903" s="95">
        <v>35198.74</v>
      </c>
      <c r="E903" s="95">
        <v>35198.74</v>
      </c>
      <c r="F903" s="95">
        <v>0</v>
      </c>
      <c r="G903" s="95">
        <v>0</v>
      </c>
      <c r="H903" s="95">
        <v>0</v>
      </c>
    </row>
    <row r="904" spans="1:8" ht="19.8" customHeight="1" x14ac:dyDescent="0.3">
      <c r="A904" s="98">
        <f t="shared" si="14"/>
        <v>7</v>
      </c>
      <c r="B904" s="92" t="s">
        <v>2610</v>
      </c>
      <c r="C904" s="92" t="s">
        <v>2611</v>
      </c>
      <c r="D904" s="95">
        <v>678795.54</v>
      </c>
      <c r="E904" s="95">
        <v>755017.72</v>
      </c>
      <c r="F904" s="95">
        <v>0</v>
      </c>
      <c r="G904" s="95">
        <v>76222.179999999993</v>
      </c>
      <c r="H904" s="95">
        <v>-76222.179999999993</v>
      </c>
    </row>
    <row r="905" spans="1:8" ht="19.8" customHeight="1" x14ac:dyDescent="0.3">
      <c r="A905" s="98">
        <f t="shared" si="14"/>
        <v>11</v>
      </c>
      <c r="B905" s="92" t="s">
        <v>2612</v>
      </c>
      <c r="C905" s="92" t="s">
        <v>2613</v>
      </c>
      <c r="D905" s="95">
        <v>678795.54</v>
      </c>
      <c r="E905" s="95">
        <v>755017.72</v>
      </c>
      <c r="F905" s="95">
        <v>0</v>
      </c>
      <c r="G905" s="95">
        <v>76222.179999999993</v>
      </c>
      <c r="H905" s="95">
        <v>-76222.179999999993</v>
      </c>
    </row>
    <row r="906" spans="1:8" ht="19.8" customHeight="1" x14ac:dyDescent="0.3">
      <c r="A906" s="98">
        <f t="shared" si="14"/>
        <v>3</v>
      </c>
      <c r="B906" s="92" t="s">
        <v>283</v>
      </c>
      <c r="C906" s="92" t="s">
        <v>335</v>
      </c>
      <c r="D906" s="95">
        <v>647420864.59000003</v>
      </c>
      <c r="E906" s="95">
        <v>673679447.62</v>
      </c>
      <c r="F906" s="95">
        <v>0</v>
      </c>
      <c r="G906" s="95">
        <v>26258583.030000001</v>
      </c>
      <c r="H906" s="95">
        <v>-26258583.030000001</v>
      </c>
    </row>
    <row r="907" spans="1:8" ht="19.8" customHeight="1" x14ac:dyDescent="0.3">
      <c r="A907" s="98">
        <f t="shared" si="14"/>
        <v>7</v>
      </c>
      <c r="B907" s="92" t="s">
        <v>2614</v>
      </c>
      <c r="C907" s="92" t="s">
        <v>2615</v>
      </c>
      <c r="D907" s="95">
        <v>637934299.08000004</v>
      </c>
      <c r="E907" s="95">
        <v>664157782.11000001</v>
      </c>
      <c r="F907" s="95">
        <v>0</v>
      </c>
      <c r="G907" s="95">
        <v>26223483.030000001</v>
      </c>
      <c r="H907" s="95">
        <v>-26223483.030000001</v>
      </c>
    </row>
    <row r="908" spans="1:8" ht="19.8" customHeight="1" x14ac:dyDescent="0.3">
      <c r="A908" s="98">
        <f t="shared" si="14"/>
        <v>11</v>
      </c>
      <c r="B908" s="92" t="s">
        <v>2616</v>
      </c>
      <c r="C908" s="92" t="s">
        <v>2617</v>
      </c>
      <c r="D908" s="95">
        <v>1516279.22</v>
      </c>
      <c r="E908" s="95">
        <v>1823973.71</v>
      </c>
      <c r="F908" s="95">
        <v>0</v>
      </c>
      <c r="G908" s="95">
        <v>307694.49</v>
      </c>
      <c r="H908" s="95">
        <v>-307694.49</v>
      </c>
    </row>
    <row r="909" spans="1:8" ht="19.8" customHeight="1" x14ac:dyDescent="0.3">
      <c r="A909" s="98">
        <f t="shared" si="14"/>
        <v>11</v>
      </c>
      <c r="B909" s="92" t="s">
        <v>2618</v>
      </c>
      <c r="C909" s="92" t="s">
        <v>2619</v>
      </c>
      <c r="D909" s="95">
        <v>442496183.17000002</v>
      </c>
      <c r="E909" s="95">
        <v>468399718.56999999</v>
      </c>
      <c r="F909" s="95">
        <v>0</v>
      </c>
      <c r="G909" s="95">
        <v>25903535.399999999</v>
      </c>
      <c r="H909" s="95">
        <v>-25903535.399999999</v>
      </c>
    </row>
    <row r="910" spans="1:8" ht="19.8" customHeight="1" x14ac:dyDescent="0.3">
      <c r="A910" s="98">
        <f t="shared" si="14"/>
        <v>11</v>
      </c>
      <c r="B910" s="92" t="s">
        <v>2620</v>
      </c>
      <c r="C910" s="92" t="s">
        <v>2621</v>
      </c>
      <c r="D910" s="95">
        <v>193921836.69</v>
      </c>
      <c r="E910" s="95">
        <v>193934089.83000001</v>
      </c>
      <c r="F910" s="95">
        <v>0</v>
      </c>
      <c r="G910" s="95">
        <v>12253.14</v>
      </c>
      <c r="H910" s="95">
        <v>-12253.14</v>
      </c>
    </row>
    <row r="911" spans="1:8" ht="19.8" customHeight="1" x14ac:dyDescent="0.3">
      <c r="A911" s="98">
        <f t="shared" si="14"/>
        <v>7</v>
      </c>
      <c r="B911" s="92" t="s">
        <v>2622</v>
      </c>
      <c r="C911" s="92" t="s">
        <v>2623</v>
      </c>
      <c r="D911" s="95">
        <v>9486565.5099999998</v>
      </c>
      <c r="E911" s="95">
        <v>9521665.5099999998</v>
      </c>
      <c r="F911" s="95">
        <v>0</v>
      </c>
      <c r="G911" s="95">
        <v>35100</v>
      </c>
      <c r="H911" s="95">
        <v>-35100</v>
      </c>
    </row>
    <row r="912" spans="1:8" ht="19.8" customHeight="1" x14ac:dyDescent="0.3">
      <c r="A912" s="98">
        <f t="shared" si="14"/>
        <v>11</v>
      </c>
      <c r="B912" s="92" t="s">
        <v>2624</v>
      </c>
      <c r="C912" s="92" t="s">
        <v>2623</v>
      </c>
      <c r="D912" s="95">
        <v>9486565.5099999998</v>
      </c>
      <c r="E912" s="95">
        <v>9521665.5099999998</v>
      </c>
      <c r="F912" s="95">
        <v>0</v>
      </c>
      <c r="G912" s="95">
        <v>35100</v>
      </c>
      <c r="H912" s="95">
        <v>-35100</v>
      </c>
    </row>
    <row r="913" spans="1:8" ht="19.8" customHeight="1" x14ac:dyDescent="0.3">
      <c r="A913" s="98">
        <f t="shared" si="14"/>
        <v>3</v>
      </c>
      <c r="B913" s="92" t="s">
        <v>212</v>
      </c>
      <c r="C913" s="92" t="s">
        <v>336</v>
      </c>
      <c r="D913" s="95">
        <v>50711376.200000003</v>
      </c>
      <c r="E913" s="95">
        <v>54099318.93</v>
      </c>
      <c r="F913" s="95">
        <v>0</v>
      </c>
      <c r="G913" s="95">
        <v>3387942.73</v>
      </c>
      <c r="H913" s="95">
        <v>-3387942.73</v>
      </c>
    </row>
    <row r="914" spans="1:8" ht="19.8" customHeight="1" x14ac:dyDescent="0.3">
      <c r="A914" s="98">
        <f t="shared" si="14"/>
        <v>7</v>
      </c>
      <c r="B914" s="92" t="s">
        <v>2625</v>
      </c>
      <c r="C914" s="92" t="s">
        <v>336</v>
      </c>
      <c r="D914" s="95">
        <v>50711376.200000003</v>
      </c>
      <c r="E914" s="95">
        <v>54099318.93</v>
      </c>
      <c r="F914" s="95">
        <v>0</v>
      </c>
      <c r="G914" s="95">
        <v>3387942.73</v>
      </c>
      <c r="H914" s="95">
        <v>-3387942.73</v>
      </c>
    </row>
    <row r="915" spans="1:8" ht="19.8" customHeight="1" x14ac:dyDescent="0.3">
      <c r="A915" s="98">
        <f t="shared" si="14"/>
        <v>11</v>
      </c>
      <c r="B915" s="92" t="s">
        <v>2626</v>
      </c>
      <c r="C915" s="92" t="s">
        <v>336</v>
      </c>
      <c r="D915" s="95">
        <v>50711376.200000003</v>
      </c>
      <c r="E915" s="95">
        <v>54099318.93</v>
      </c>
      <c r="F915" s="95">
        <v>0</v>
      </c>
      <c r="G915" s="95">
        <v>3387942.73</v>
      </c>
      <c r="H915" s="95">
        <v>-3387942.73</v>
      </c>
    </row>
    <row r="916" spans="1:8" ht="19.8" customHeight="1" x14ac:dyDescent="0.3">
      <c r="A916" s="98">
        <f t="shared" si="14"/>
        <v>3</v>
      </c>
      <c r="B916" s="92" t="s">
        <v>373</v>
      </c>
      <c r="C916" s="92" t="s">
        <v>374</v>
      </c>
      <c r="D916" s="95">
        <v>234676644.21000001</v>
      </c>
      <c r="E916" s="95">
        <v>274233793.95999998</v>
      </c>
      <c r="F916" s="95">
        <v>0</v>
      </c>
      <c r="G916" s="95">
        <v>39557149.75</v>
      </c>
      <c r="H916" s="95">
        <v>-39557149.75</v>
      </c>
    </row>
    <row r="917" spans="1:8" ht="19.8" customHeight="1" x14ac:dyDescent="0.3">
      <c r="A917" s="98">
        <f t="shared" si="14"/>
        <v>7</v>
      </c>
      <c r="B917" s="92" t="s">
        <v>2627</v>
      </c>
      <c r="C917" s="92" t="s">
        <v>374</v>
      </c>
      <c r="D917" s="95">
        <v>234676644.21000001</v>
      </c>
      <c r="E917" s="95">
        <v>274233793.95999998</v>
      </c>
      <c r="F917" s="95">
        <v>0</v>
      </c>
      <c r="G917" s="95">
        <v>39557149.75</v>
      </c>
      <c r="H917" s="95">
        <v>-39557149.75</v>
      </c>
    </row>
    <row r="918" spans="1:8" ht="19.8" customHeight="1" x14ac:dyDescent="0.3">
      <c r="A918" s="98">
        <f t="shared" si="14"/>
        <v>11</v>
      </c>
      <c r="B918" s="92" t="s">
        <v>2628</v>
      </c>
      <c r="C918" s="92" t="s">
        <v>374</v>
      </c>
      <c r="D918" s="95">
        <v>14606398.630000001</v>
      </c>
      <c r="E918" s="95">
        <v>20680380.100000001</v>
      </c>
      <c r="F918" s="95">
        <v>0</v>
      </c>
      <c r="G918" s="95">
        <v>6073981.4699999997</v>
      </c>
      <c r="H918" s="95">
        <v>-6073981.4699999997</v>
      </c>
    </row>
    <row r="919" spans="1:8" ht="19.8" customHeight="1" x14ac:dyDescent="0.3">
      <c r="A919" s="98">
        <f t="shared" si="14"/>
        <v>11</v>
      </c>
      <c r="B919" s="92" t="s">
        <v>2629</v>
      </c>
      <c r="C919" s="92" t="s">
        <v>2630</v>
      </c>
      <c r="D919" s="95">
        <v>85404.6</v>
      </c>
      <c r="E919" s="95">
        <v>86421.67</v>
      </c>
      <c r="F919" s="95">
        <v>0</v>
      </c>
      <c r="G919" s="95">
        <v>1017.07</v>
      </c>
      <c r="H919" s="95">
        <v>-1017.07</v>
      </c>
    </row>
    <row r="920" spans="1:8" ht="19.8" customHeight="1" x14ac:dyDescent="0.3">
      <c r="A920" s="98">
        <f t="shared" si="14"/>
        <v>11</v>
      </c>
      <c r="B920" s="92" t="s">
        <v>2631</v>
      </c>
      <c r="C920" s="92" t="s">
        <v>2632</v>
      </c>
      <c r="D920" s="95">
        <v>219984840.97999999</v>
      </c>
      <c r="E920" s="95">
        <v>253466992.19</v>
      </c>
      <c r="F920" s="95">
        <v>0</v>
      </c>
      <c r="G920" s="95">
        <v>33482151.210000001</v>
      </c>
      <c r="H920" s="95">
        <v>-33482151.210000001</v>
      </c>
    </row>
    <row r="921" spans="1:8" ht="19.8" customHeight="1" x14ac:dyDescent="0.3">
      <c r="A921" s="98">
        <f t="shared" si="14"/>
        <v>3</v>
      </c>
      <c r="B921" s="92" t="s">
        <v>213</v>
      </c>
      <c r="C921" s="92" t="s">
        <v>337</v>
      </c>
      <c r="D921" s="95">
        <v>169721912.56999999</v>
      </c>
      <c r="E921" s="95">
        <v>188132640.47</v>
      </c>
      <c r="F921" s="95">
        <v>0</v>
      </c>
      <c r="G921" s="95">
        <v>18410727.899999999</v>
      </c>
      <c r="H921" s="95">
        <v>-18410727.899999999</v>
      </c>
    </row>
    <row r="922" spans="1:8" ht="19.8" customHeight="1" x14ac:dyDescent="0.3">
      <c r="A922" s="98">
        <f t="shared" si="14"/>
        <v>7</v>
      </c>
      <c r="B922" s="92" t="s">
        <v>2633</v>
      </c>
      <c r="C922" s="92" t="s">
        <v>2634</v>
      </c>
      <c r="D922" s="95">
        <v>36108758.009999998</v>
      </c>
      <c r="E922" s="95">
        <v>46895388.009999998</v>
      </c>
      <c r="F922" s="95">
        <v>0</v>
      </c>
      <c r="G922" s="95">
        <v>10786630</v>
      </c>
      <c r="H922" s="95">
        <v>-10786630</v>
      </c>
    </row>
    <row r="923" spans="1:8" ht="19.8" customHeight="1" x14ac:dyDescent="0.3">
      <c r="A923" s="98">
        <f t="shared" si="14"/>
        <v>11</v>
      </c>
      <c r="B923" s="92" t="s">
        <v>2635</v>
      </c>
      <c r="C923" s="92" t="s">
        <v>2636</v>
      </c>
      <c r="D923" s="95">
        <v>27539227.370000001</v>
      </c>
      <c r="E923" s="95">
        <v>36254681.609999999</v>
      </c>
      <c r="F923" s="95">
        <v>0</v>
      </c>
      <c r="G923" s="95">
        <v>8715454.2400000002</v>
      </c>
      <c r="H923" s="95">
        <v>-8715454.2400000002</v>
      </c>
    </row>
    <row r="924" spans="1:8" ht="19.8" customHeight="1" x14ac:dyDescent="0.3">
      <c r="A924" s="98">
        <f t="shared" si="14"/>
        <v>11</v>
      </c>
      <c r="B924" s="92" t="s">
        <v>2637</v>
      </c>
      <c r="C924" s="92" t="s">
        <v>2638</v>
      </c>
      <c r="D924" s="95">
        <v>8569530.6400000006</v>
      </c>
      <c r="E924" s="95">
        <v>10640706.4</v>
      </c>
      <c r="F924" s="95">
        <v>0</v>
      </c>
      <c r="G924" s="95">
        <v>2071175.76</v>
      </c>
      <c r="H924" s="95">
        <v>-2071175.76</v>
      </c>
    </row>
    <row r="925" spans="1:8" ht="19.8" customHeight="1" x14ac:dyDescent="0.3">
      <c r="A925" s="98">
        <f t="shared" si="14"/>
        <v>7</v>
      </c>
      <c r="B925" s="92" t="s">
        <v>2639</v>
      </c>
      <c r="C925" s="92" t="s">
        <v>2640</v>
      </c>
      <c r="D925" s="95">
        <v>35904016.829999998</v>
      </c>
      <c r="E925" s="95">
        <v>43069566.100000001</v>
      </c>
      <c r="F925" s="95">
        <v>0</v>
      </c>
      <c r="G925" s="95">
        <v>7165549.2699999996</v>
      </c>
      <c r="H925" s="95">
        <v>-7165549.2699999996</v>
      </c>
    </row>
    <row r="926" spans="1:8" ht="19.8" customHeight="1" x14ac:dyDescent="0.3">
      <c r="A926" s="98">
        <f t="shared" si="14"/>
        <v>11</v>
      </c>
      <c r="B926" s="92" t="s">
        <v>2641</v>
      </c>
      <c r="C926" s="92" t="s">
        <v>2642</v>
      </c>
      <c r="D926" s="95">
        <v>32018524.550000001</v>
      </c>
      <c r="E926" s="95">
        <v>38592210.479999997</v>
      </c>
      <c r="F926" s="95">
        <v>0</v>
      </c>
      <c r="G926" s="95">
        <v>6573685.9299999997</v>
      </c>
      <c r="H926" s="95">
        <v>-6573685.9299999997</v>
      </c>
    </row>
    <row r="927" spans="1:8" ht="19.8" customHeight="1" x14ac:dyDescent="0.3">
      <c r="A927" s="98">
        <f t="shared" si="14"/>
        <v>11</v>
      </c>
      <c r="B927" s="92" t="s">
        <v>2643</v>
      </c>
      <c r="C927" s="92" t="s">
        <v>2644</v>
      </c>
      <c r="D927" s="95">
        <v>1064603.1399999999</v>
      </c>
      <c r="E927" s="95">
        <v>1258492.8899999999</v>
      </c>
      <c r="F927" s="95">
        <v>0</v>
      </c>
      <c r="G927" s="95">
        <v>193889.75</v>
      </c>
      <c r="H927" s="95">
        <v>-193889.75</v>
      </c>
    </row>
    <row r="928" spans="1:8" ht="19.8" customHeight="1" x14ac:dyDescent="0.3">
      <c r="A928" s="98">
        <f t="shared" si="14"/>
        <v>11</v>
      </c>
      <c r="B928" s="92" t="s">
        <v>2645</v>
      </c>
      <c r="C928" s="92" t="s">
        <v>2646</v>
      </c>
      <c r="D928" s="95">
        <v>87500</v>
      </c>
      <c r="E928" s="95">
        <v>87500</v>
      </c>
      <c r="F928" s="95">
        <v>0</v>
      </c>
      <c r="G928" s="95">
        <v>0</v>
      </c>
      <c r="H928" s="95">
        <v>0</v>
      </c>
    </row>
    <row r="929" spans="1:8" ht="19.8" customHeight="1" x14ac:dyDescent="0.3">
      <c r="A929" s="98">
        <f t="shared" si="14"/>
        <v>11</v>
      </c>
      <c r="B929" s="92" t="s">
        <v>2647</v>
      </c>
      <c r="C929" s="92" t="s">
        <v>2648</v>
      </c>
      <c r="D929" s="95">
        <v>739801.73</v>
      </c>
      <c r="E929" s="95">
        <v>821045.48</v>
      </c>
      <c r="F929" s="95">
        <v>0</v>
      </c>
      <c r="G929" s="95">
        <v>81243.75</v>
      </c>
      <c r="H929" s="95">
        <v>-81243.75</v>
      </c>
    </row>
    <row r="930" spans="1:8" ht="19.8" customHeight="1" x14ac:dyDescent="0.3">
      <c r="A930" s="98">
        <f t="shared" si="14"/>
        <v>11</v>
      </c>
      <c r="B930" s="92" t="s">
        <v>2649</v>
      </c>
      <c r="C930" s="92" t="s">
        <v>2650</v>
      </c>
      <c r="D930" s="95">
        <v>1993587.41</v>
      </c>
      <c r="E930" s="95">
        <v>2310317.25</v>
      </c>
      <c r="F930" s="95">
        <v>0</v>
      </c>
      <c r="G930" s="95">
        <v>316729.84000000003</v>
      </c>
      <c r="H930" s="95">
        <v>-316729.84000000003</v>
      </c>
    </row>
    <row r="931" spans="1:8" ht="19.8" customHeight="1" x14ac:dyDescent="0.3">
      <c r="A931" s="98">
        <f t="shared" si="14"/>
        <v>7</v>
      </c>
      <c r="B931" s="92" t="s">
        <v>2651</v>
      </c>
      <c r="C931" s="92" t="s">
        <v>2652</v>
      </c>
      <c r="D931" s="95">
        <v>707693.16</v>
      </c>
      <c r="E931" s="95">
        <v>1130808.33</v>
      </c>
      <c r="F931" s="95">
        <v>0</v>
      </c>
      <c r="G931" s="95">
        <v>423115.17</v>
      </c>
      <c r="H931" s="95">
        <v>-423115.17</v>
      </c>
    </row>
    <row r="932" spans="1:8" ht="19.8" customHeight="1" x14ac:dyDescent="0.3">
      <c r="A932" s="98">
        <f t="shared" si="14"/>
        <v>11</v>
      </c>
      <c r="B932" s="92" t="s">
        <v>2653</v>
      </c>
      <c r="C932" s="92" t="s">
        <v>2654</v>
      </c>
      <c r="D932" s="95">
        <v>707693.16</v>
      </c>
      <c r="E932" s="95">
        <v>1130808.33</v>
      </c>
      <c r="F932" s="95">
        <v>0</v>
      </c>
      <c r="G932" s="95">
        <v>423115.17</v>
      </c>
      <c r="H932" s="95">
        <v>-423115.17</v>
      </c>
    </row>
    <row r="933" spans="1:8" ht="19.8" customHeight="1" x14ac:dyDescent="0.3">
      <c r="A933" s="98">
        <f t="shared" si="14"/>
        <v>7</v>
      </c>
      <c r="B933" s="92" t="s">
        <v>2655</v>
      </c>
      <c r="C933" s="92" t="s">
        <v>2656</v>
      </c>
      <c r="D933" s="95">
        <v>43177576.600000001</v>
      </c>
      <c r="E933" s="95">
        <v>43177576.600000001</v>
      </c>
      <c r="F933" s="95">
        <v>0</v>
      </c>
      <c r="G933" s="95">
        <v>0</v>
      </c>
      <c r="H933" s="95">
        <v>0</v>
      </c>
    </row>
    <row r="934" spans="1:8" ht="19.8" customHeight="1" x14ac:dyDescent="0.3">
      <c r="A934" s="98">
        <f t="shared" si="14"/>
        <v>11</v>
      </c>
      <c r="B934" s="92" t="s">
        <v>2657</v>
      </c>
      <c r="C934" s="92" t="s">
        <v>2656</v>
      </c>
      <c r="D934" s="95">
        <v>43177576.600000001</v>
      </c>
      <c r="E934" s="95">
        <v>43177576.600000001</v>
      </c>
      <c r="F934" s="95">
        <v>0</v>
      </c>
      <c r="G934" s="95">
        <v>0</v>
      </c>
      <c r="H934" s="95">
        <v>0</v>
      </c>
    </row>
    <row r="935" spans="1:8" ht="19.8" customHeight="1" x14ac:dyDescent="0.3">
      <c r="A935" s="98">
        <f t="shared" si="14"/>
        <v>7</v>
      </c>
      <c r="B935" s="92" t="s">
        <v>2658</v>
      </c>
      <c r="C935" s="92" t="s">
        <v>2659</v>
      </c>
      <c r="D935" s="95">
        <v>3057840.73</v>
      </c>
      <c r="E935" s="95">
        <v>3093274.19</v>
      </c>
      <c r="F935" s="95">
        <v>0</v>
      </c>
      <c r="G935" s="95">
        <v>35433.46</v>
      </c>
      <c r="H935" s="95">
        <v>-35433.46</v>
      </c>
    </row>
    <row r="936" spans="1:8" ht="19.8" customHeight="1" x14ac:dyDescent="0.3">
      <c r="A936" s="98">
        <f t="shared" si="14"/>
        <v>11</v>
      </c>
      <c r="B936" s="92" t="s">
        <v>2660</v>
      </c>
      <c r="C936" s="92" t="s">
        <v>2659</v>
      </c>
      <c r="D936" s="95">
        <v>3057840.73</v>
      </c>
      <c r="E936" s="95">
        <v>3093274.19</v>
      </c>
      <c r="F936" s="95">
        <v>0</v>
      </c>
      <c r="G936" s="95">
        <v>35433.46</v>
      </c>
      <c r="H936" s="95">
        <v>-35433.46</v>
      </c>
    </row>
    <row r="937" spans="1:8" ht="19.8" customHeight="1" x14ac:dyDescent="0.3">
      <c r="A937" s="98">
        <f t="shared" si="14"/>
        <v>7</v>
      </c>
      <c r="B937" s="92" t="s">
        <v>2661</v>
      </c>
      <c r="C937" s="92" t="s">
        <v>2662</v>
      </c>
      <c r="D937" s="95">
        <v>50766027.240000002</v>
      </c>
      <c r="E937" s="95">
        <v>50766027.240000002</v>
      </c>
      <c r="F937" s="95">
        <v>0</v>
      </c>
      <c r="G937" s="95">
        <v>0</v>
      </c>
      <c r="H937" s="95">
        <v>0</v>
      </c>
    </row>
    <row r="938" spans="1:8" ht="19.8" customHeight="1" x14ac:dyDescent="0.3">
      <c r="A938" s="98">
        <f t="shared" si="14"/>
        <v>11</v>
      </c>
      <c r="B938" s="92" t="s">
        <v>2663</v>
      </c>
      <c r="C938" s="92" t="s">
        <v>2662</v>
      </c>
      <c r="D938" s="95">
        <v>50766027.240000002</v>
      </c>
      <c r="E938" s="95">
        <v>50766027.240000002</v>
      </c>
      <c r="F938" s="95">
        <v>0</v>
      </c>
      <c r="G938" s="95">
        <v>0</v>
      </c>
      <c r="H938" s="95">
        <v>0</v>
      </c>
    </row>
    <row r="939" spans="1:8" ht="19.8" customHeight="1" x14ac:dyDescent="0.3">
      <c r="A939" s="98">
        <f t="shared" si="14"/>
        <v>3</v>
      </c>
      <c r="B939" s="92" t="s">
        <v>214</v>
      </c>
      <c r="C939" s="92" t="s">
        <v>338</v>
      </c>
      <c r="D939" s="95">
        <v>69678341.290000007</v>
      </c>
      <c r="E939" s="95">
        <v>97547417.430000007</v>
      </c>
      <c r="F939" s="95">
        <v>0</v>
      </c>
      <c r="G939" s="95">
        <v>27869076.140000001</v>
      </c>
      <c r="H939" s="95">
        <v>-27869076.140000001</v>
      </c>
    </row>
    <row r="940" spans="1:8" ht="19.8" customHeight="1" x14ac:dyDescent="0.3">
      <c r="A940" s="98">
        <f t="shared" si="14"/>
        <v>7</v>
      </c>
      <c r="B940" s="92" t="s">
        <v>2664</v>
      </c>
      <c r="C940" s="92" t="s">
        <v>2665</v>
      </c>
      <c r="D940" s="95">
        <v>69678341.290000007</v>
      </c>
      <c r="E940" s="95">
        <v>97547417.430000007</v>
      </c>
      <c r="F940" s="95">
        <v>0</v>
      </c>
      <c r="G940" s="95">
        <v>27869076.140000001</v>
      </c>
      <c r="H940" s="95">
        <v>-27869076.140000001</v>
      </c>
    </row>
    <row r="941" spans="1:8" ht="19.8" customHeight="1" x14ac:dyDescent="0.3">
      <c r="A941" s="98">
        <f t="shared" si="14"/>
        <v>11</v>
      </c>
      <c r="B941" s="92" t="s">
        <v>2666</v>
      </c>
      <c r="C941" s="92" t="s">
        <v>2667</v>
      </c>
      <c r="D941" s="95">
        <v>69671515.129999995</v>
      </c>
      <c r="E941" s="95">
        <v>79081249.890000001</v>
      </c>
      <c r="F941" s="95">
        <v>0</v>
      </c>
      <c r="G941" s="95">
        <v>9409734.7599999998</v>
      </c>
      <c r="H941" s="95">
        <v>-9409734.7599999998</v>
      </c>
    </row>
    <row r="942" spans="1:8" ht="19.8" customHeight="1" x14ac:dyDescent="0.3">
      <c r="A942" s="98">
        <f t="shared" si="14"/>
        <v>11</v>
      </c>
      <c r="B942" s="92" t="s">
        <v>2668</v>
      </c>
      <c r="C942" s="92" t="s">
        <v>2669</v>
      </c>
      <c r="D942" s="95">
        <v>0</v>
      </c>
      <c r="E942" s="95">
        <v>13870550.66</v>
      </c>
      <c r="F942" s="95">
        <v>0</v>
      </c>
      <c r="G942" s="95">
        <v>13870550.66</v>
      </c>
      <c r="H942" s="95">
        <v>-13870550.66</v>
      </c>
    </row>
    <row r="943" spans="1:8" ht="19.8" customHeight="1" x14ac:dyDescent="0.3">
      <c r="A943" s="98">
        <f t="shared" si="14"/>
        <v>11</v>
      </c>
      <c r="B943" s="92" t="s">
        <v>2670</v>
      </c>
      <c r="C943" s="92" t="s">
        <v>2671</v>
      </c>
      <c r="D943" s="95">
        <v>6826.16</v>
      </c>
      <c r="E943" s="95">
        <v>4595616.88</v>
      </c>
      <c r="F943" s="95">
        <v>0</v>
      </c>
      <c r="G943" s="95">
        <v>4588790.72</v>
      </c>
      <c r="H943" s="95">
        <v>-4588790.72</v>
      </c>
    </row>
    <row r="944" spans="1:8" ht="19.8" customHeight="1" x14ac:dyDescent="0.3">
      <c r="A944" s="98">
        <f t="shared" si="14"/>
        <v>3</v>
      </c>
      <c r="B944" s="92" t="s">
        <v>339</v>
      </c>
      <c r="C944" s="92" t="s">
        <v>340</v>
      </c>
      <c r="D944" s="95">
        <v>1277212</v>
      </c>
      <c r="E944" s="95">
        <v>1547079</v>
      </c>
      <c r="F944" s="95">
        <v>0</v>
      </c>
      <c r="G944" s="95">
        <v>269867</v>
      </c>
      <c r="H944" s="95">
        <v>-269867</v>
      </c>
    </row>
    <row r="945" spans="1:8" ht="19.8" customHeight="1" x14ac:dyDescent="0.3">
      <c r="A945" s="98">
        <f t="shared" si="14"/>
        <v>7</v>
      </c>
      <c r="B945" s="92" t="s">
        <v>2672</v>
      </c>
      <c r="C945" s="92" t="s">
        <v>340</v>
      </c>
      <c r="D945" s="95">
        <v>1277212</v>
      </c>
      <c r="E945" s="95">
        <v>1547079</v>
      </c>
      <c r="F945" s="95">
        <v>0</v>
      </c>
      <c r="G945" s="95">
        <v>269867</v>
      </c>
      <c r="H945" s="95">
        <v>-269867</v>
      </c>
    </row>
    <row r="946" spans="1:8" ht="19.8" customHeight="1" x14ac:dyDescent="0.3">
      <c r="A946" s="98">
        <f t="shared" si="14"/>
        <v>11</v>
      </c>
      <c r="B946" s="92" t="s">
        <v>2673</v>
      </c>
      <c r="C946" s="92" t="s">
        <v>2674</v>
      </c>
      <c r="D946" s="95">
        <v>1277212</v>
      </c>
      <c r="E946" s="95">
        <v>1547079</v>
      </c>
      <c r="F946" s="95">
        <v>0</v>
      </c>
      <c r="G946" s="95">
        <v>269867</v>
      </c>
      <c r="H946" s="95">
        <v>-269867</v>
      </c>
    </row>
    <row r="947" spans="1:8" ht="19.8" customHeight="1" x14ac:dyDescent="0.3">
      <c r="A947" s="98">
        <f t="shared" si="14"/>
        <v>3</v>
      </c>
      <c r="B947" s="92" t="s">
        <v>413</v>
      </c>
      <c r="C947" s="92" t="s">
        <v>427</v>
      </c>
      <c r="D947" s="95">
        <v>169366888.13</v>
      </c>
      <c r="E947" s="95">
        <v>169366888.13</v>
      </c>
      <c r="F947" s="95">
        <v>0</v>
      </c>
      <c r="G947" s="95">
        <v>0</v>
      </c>
      <c r="H947" s="95">
        <v>0</v>
      </c>
    </row>
    <row r="948" spans="1:8" ht="19.8" customHeight="1" x14ac:dyDescent="0.3">
      <c r="A948" s="98">
        <f t="shared" si="14"/>
        <v>7</v>
      </c>
      <c r="B948" s="92" t="s">
        <v>2675</v>
      </c>
      <c r="C948" s="92" t="s">
        <v>427</v>
      </c>
      <c r="D948" s="95">
        <v>169366888.13</v>
      </c>
      <c r="E948" s="95">
        <v>169366888.13</v>
      </c>
      <c r="F948" s="95">
        <v>0</v>
      </c>
      <c r="G948" s="95">
        <v>0</v>
      </c>
      <c r="H948" s="95">
        <v>0</v>
      </c>
    </row>
    <row r="949" spans="1:8" ht="19.8" customHeight="1" x14ac:dyDescent="0.3">
      <c r="A949" s="98">
        <f t="shared" si="14"/>
        <v>11</v>
      </c>
      <c r="B949" s="92" t="s">
        <v>2676</v>
      </c>
      <c r="C949" s="92" t="s">
        <v>2656</v>
      </c>
      <c r="D949" s="95">
        <v>169366888.13</v>
      </c>
      <c r="E949" s="95">
        <v>169366888.13</v>
      </c>
      <c r="F949" s="95">
        <v>0</v>
      </c>
      <c r="G949" s="95">
        <v>0</v>
      </c>
      <c r="H949" s="95">
        <v>0</v>
      </c>
    </row>
    <row r="950" spans="1:8" ht="19.8" customHeight="1" x14ac:dyDescent="0.3">
      <c r="A950" s="98">
        <f t="shared" si="14"/>
        <v>3</v>
      </c>
      <c r="B950" s="92" t="s">
        <v>414</v>
      </c>
      <c r="C950" s="92" t="s">
        <v>428</v>
      </c>
      <c r="D950" s="95">
        <v>126189311.53</v>
      </c>
      <c r="E950" s="95">
        <v>126189311.53</v>
      </c>
      <c r="F950" s="95">
        <v>0</v>
      </c>
      <c r="G950" s="95">
        <v>0</v>
      </c>
      <c r="H950" s="95">
        <v>0</v>
      </c>
    </row>
    <row r="951" spans="1:8" ht="19.8" customHeight="1" x14ac:dyDescent="0.3">
      <c r="A951" s="98">
        <f t="shared" si="14"/>
        <v>7</v>
      </c>
      <c r="B951" s="92" t="s">
        <v>2677</v>
      </c>
      <c r="C951" s="92" t="s">
        <v>428</v>
      </c>
      <c r="D951" s="95">
        <v>126189311.53</v>
      </c>
      <c r="E951" s="95">
        <v>126189311.53</v>
      </c>
      <c r="F951" s="95">
        <v>0</v>
      </c>
      <c r="G951" s="95">
        <v>0</v>
      </c>
      <c r="H951" s="95">
        <v>0</v>
      </c>
    </row>
    <row r="952" spans="1:8" ht="19.8" customHeight="1" x14ac:dyDescent="0.3">
      <c r="A952" s="98">
        <f t="shared" si="14"/>
        <v>11</v>
      </c>
      <c r="B952" s="92" t="s">
        <v>2678</v>
      </c>
      <c r="C952" s="92" t="s">
        <v>2679</v>
      </c>
      <c r="D952" s="95">
        <v>126189311.53</v>
      </c>
      <c r="E952" s="95">
        <v>126189311.53</v>
      </c>
      <c r="F952" s="95">
        <v>0</v>
      </c>
      <c r="G952" s="95">
        <v>0</v>
      </c>
      <c r="H952" s="95">
        <v>0</v>
      </c>
    </row>
    <row r="953" spans="1:8" ht="19.8" customHeight="1" x14ac:dyDescent="0.3">
      <c r="A953" s="98">
        <f t="shared" si="14"/>
        <v>3</v>
      </c>
      <c r="B953" s="92" t="s">
        <v>284</v>
      </c>
      <c r="C953" s="92" t="s">
        <v>341</v>
      </c>
      <c r="D953" s="95">
        <v>53014663.409999996</v>
      </c>
      <c r="E953" s="95">
        <v>61248798.909999996</v>
      </c>
      <c r="F953" s="95">
        <v>0</v>
      </c>
      <c r="G953" s="95">
        <v>8234135.5</v>
      </c>
      <c r="H953" s="95">
        <v>-8234135.5</v>
      </c>
    </row>
    <row r="954" spans="1:8" ht="19.8" customHeight="1" x14ac:dyDescent="0.3">
      <c r="A954" s="98">
        <f t="shared" si="14"/>
        <v>7</v>
      </c>
      <c r="B954" s="92" t="s">
        <v>2680</v>
      </c>
      <c r="C954" s="92" t="s">
        <v>341</v>
      </c>
      <c r="D954" s="95">
        <v>32354605.43</v>
      </c>
      <c r="E954" s="95">
        <v>32354605.43</v>
      </c>
      <c r="F954" s="95">
        <v>0</v>
      </c>
      <c r="G954" s="95">
        <v>0</v>
      </c>
      <c r="H954" s="95">
        <v>0</v>
      </c>
    </row>
    <row r="955" spans="1:8" ht="19.8" customHeight="1" x14ac:dyDescent="0.3">
      <c r="A955" s="98">
        <f t="shared" si="14"/>
        <v>11</v>
      </c>
      <c r="B955" s="92" t="s">
        <v>2681</v>
      </c>
      <c r="C955" s="92" t="s">
        <v>2682</v>
      </c>
      <c r="D955" s="95">
        <v>885148.92</v>
      </c>
      <c r="E955" s="95">
        <v>885148.92</v>
      </c>
      <c r="F955" s="95">
        <v>0</v>
      </c>
      <c r="G955" s="95">
        <v>0</v>
      </c>
      <c r="H955" s="95">
        <v>0</v>
      </c>
    </row>
    <row r="956" spans="1:8" ht="19.8" customHeight="1" x14ac:dyDescent="0.3">
      <c r="A956" s="98">
        <f t="shared" si="14"/>
        <v>11</v>
      </c>
      <c r="B956" s="92" t="s">
        <v>2683</v>
      </c>
      <c r="C956" s="92" t="s">
        <v>2684</v>
      </c>
      <c r="D956" s="95">
        <v>141391.16</v>
      </c>
      <c r="E956" s="95">
        <v>141391.16</v>
      </c>
      <c r="F956" s="95">
        <v>0</v>
      </c>
      <c r="G956" s="95">
        <v>0</v>
      </c>
      <c r="H956" s="95">
        <v>0</v>
      </c>
    </row>
    <row r="957" spans="1:8" ht="19.8" customHeight="1" x14ac:dyDescent="0.3">
      <c r="A957" s="98">
        <f t="shared" si="14"/>
        <v>11</v>
      </c>
      <c r="B957" s="92" t="s">
        <v>2685</v>
      </c>
      <c r="C957" s="92" t="s">
        <v>2686</v>
      </c>
      <c r="D957" s="95">
        <v>31327165.350000001</v>
      </c>
      <c r="E957" s="95">
        <v>31327165.350000001</v>
      </c>
      <c r="F957" s="95">
        <v>0</v>
      </c>
      <c r="G957" s="95">
        <v>0</v>
      </c>
      <c r="H957" s="95">
        <v>0</v>
      </c>
    </row>
    <row r="958" spans="1:8" ht="19.8" customHeight="1" x14ac:dyDescent="0.3">
      <c r="A958" s="98">
        <f t="shared" si="14"/>
        <v>11</v>
      </c>
      <c r="B958" s="92" t="s">
        <v>2687</v>
      </c>
      <c r="C958" s="92" t="s">
        <v>2688</v>
      </c>
      <c r="D958" s="95">
        <v>900</v>
      </c>
      <c r="E958" s="95">
        <v>900</v>
      </c>
      <c r="F958" s="95">
        <v>0</v>
      </c>
      <c r="G958" s="95">
        <v>0</v>
      </c>
      <c r="H958" s="95">
        <v>0</v>
      </c>
    </row>
    <row r="959" spans="1:8" ht="19.8" customHeight="1" x14ac:dyDescent="0.3">
      <c r="A959" s="98">
        <f t="shared" si="14"/>
        <v>7</v>
      </c>
      <c r="B959" s="92" t="s">
        <v>2689</v>
      </c>
      <c r="C959" s="92" t="s">
        <v>2690</v>
      </c>
      <c r="D959" s="95">
        <v>7279983.1299999999</v>
      </c>
      <c r="E959" s="95">
        <v>9183801.7300000004</v>
      </c>
      <c r="F959" s="95">
        <v>0</v>
      </c>
      <c r="G959" s="95">
        <v>1903818.6</v>
      </c>
      <c r="H959" s="95">
        <v>-1903818.6</v>
      </c>
    </row>
    <row r="960" spans="1:8" ht="19.8" customHeight="1" x14ac:dyDescent="0.3">
      <c r="A960" s="98">
        <f t="shared" si="14"/>
        <v>11</v>
      </c>
      <c r="B960" s="92" t="s">
        <v>2691</v>
      </c>
      <c r="C960" s="92" t="s">
        <v>2692</v>
      </c>
      <c r="D960" s="95">
        <v>5085374.26</v>
      </c>
      <c r="E960" s="95">
        <v>5858408.5199999996</v>
      </c>
      <c r="F960" s="95">
        <v>0</v>
      </c>
      <c r="G960" s="95">
        <v>773034.26</v>
      </c>
      <c r="H960" s="95">
        <v>-773034.26</v>
      </c>
    </row>
    <row r="961" spans="1:8" ht="19.8" customHeight="1" x14ac:dyDescent="0.3">
      <c r="A961" s="98">
        <f t="shared" si="14"/>
        <v>11</v>
      </c>
      <c r="B961" s="92" t="s">
        <v>2693</v>
      </c>
      <c r="C961" s="92" t="s">
        <v>2694</v>
      </c>
      <c r="D961" s="95">
        <v>257591.64</v>
      </c>
      <c r="E961" s="95">
        <v>416141.64</v>
      </c>
      <c r="F961" s="95">
        <v>0</v>
      </c>
      <c r="G961" s="95">
        <v>158550</v>
      </c>
      <c r="H961" s="95">
        <v>-158550</v>
      </c>
    </row>
    <row r="962" spans="1:8" ht="19.8" customHeight="1" x14ac:dyDescent="0.3">
      <c r="A962" s="98">
        <f t="shared" si="14"/>
        <v>11</v>
      </c>
      <c r="B962" s="92" t="s">
        <v>2695</v>
      </c>
      <c r="C962" s="92" t="s">
        <v>2696</v>
      </c>
      <c r="D962" s="95">
        <v>1273787</v>
      </c>
      <c r="E962" s="95">
        <v>1696307</v>
      </c>
      <c r="F962" s="95">
        <v>0</v>
      </c>
      <c r="G962" s="95">
        <v>422520</v>
      </c>
      <c r="H962" s="95">
        <v>-422520</v>
      </c>
    </row>
    <row r="963" spans="1:8" ht="19.8" customHeight="1" x14ac:dyDescent="0.3">
      <c r="A963" s="98">
        <f t="shared" ref="A963:A1026" si="15">+LEN(B963)</f>
        <v>11</v>
      </c>
      <c r="B963" s="92" t="s">
        <v>2697</v>
      </c>
      <c r="C963" s="92" t="s">
        <v>2698</v>
      </c>
      <c r="D963" s="95">
        <v>197980</v>
      </c>
      <c r="E963" s="95">
        <v>265060</v>
      </c>
      <c r="F963" s="95">
        <v>0</v>
      </c>
      <c r="G963" s="95">
        <v>67080</v>
      </c>
      <c r="H963" s="95">
        <v>-67080</v>
      </c>
    </row>
    <row r="964" spans="1:8" ht="19.8" customHeight="1" x14ac:dyDescent="0.3">
      <c r="A964" s="98">
        <f t="shared" si="15"/>
        <v>11</v>
      </c>
      <c r="B964" s="92" t="s">
        <v>2699</v>
      </c>
      <c r="C964" s="92" t="s">
        <v>2700</v>
      </c>
      <c r="D964" s="95">
        <v>45886.67</v>
      </c>
      <c r="E964" s="95">
        <v>91239.69</v>
      </c>
      <c r="F964" s="95">
        <v>0</v>
      </c>
      <c r="G964" s="95">
        <v>45353.02</v>
      </c>
      <c r="H964" s="95">
        <v>-45353.02</v>
      </c>
    </row>
    <row r="965" spans="1:8" ht="19.8" customHeight="1" x14ac:dyDescent="0.3">
      <c r="A965" s="98">
        <f t="shared" si="15"/>
        <v>11</v>
      </c>
      <c r="B965" s="92" t="s">
        <v>2701</v>
      </c>
      <c r="C965" s="92" t="s">
        <v>2702</v>
      </c>
      <c r="D965" s="95">
        <v>25700</v>
      </c>
      <c r="E965" s="95">
        <v>29000</v>
      </c>
      <c r="F965" s="95">
        <v>0</v>
      </c>
      <c r="G965" s="95">
        <v>3300</v>
      </c>
      <c r="H965" s="95">
        <v>-3300</v>
      </c>
    </row>
    <row r="966" spans="1:8" ht="19.8" customHeight="1" x14ac:dyDescent="0.3">
      <c r="A966" s="98">
        <f t="shared" si="15"/>
        <v>11</v>
      </c>
      <c r="B966" s="92" t="s">
        <v>2703</v>
      </c>
      <c r="C966" s="92" t="s">
        <v>2704</v>
      </c>
      <c r="D966" s="95">
        <v>0</v>
      </c>
      <c r="E966" s="95">
        <v>142318.66</v>
      </c>
      <c r="F966" s="95">
        <v>0</v>
      </c>
      <c r="G966" s="95">
        <v>142318.66</v>
      </c>
      <c r="H966" s="95">
        <v>-142318.66</v>
      </c>
    </row>
    <row r="967" spans="1:8" ht="19.8" customHeight="1" x14ac:dyDescent="0.3">
      <c r="A967" s="98">
        <f t="shared" si="15"/>
        <v>11</v>
      </c>
      <c r="B967" s="92" t="s">
        <v>2705</v>
      </c>
      <c r="C967" s="92" t="s">
        <v>2706</v>
      </c>
      <c r="D967" s="95">
        <v>30722</v>
      </c>
      <c r="E967" s="95">
        <v>30722</v>
      </c>
      <c r="F967" s="95">
        <v>0</v>
      </c>
      <c r="G967" s="95">
        <v>0</v>
      </c>
      <c r="H967" s="95">
        <v>0</v>
      </c>
    </row>
    <row r="968" spans="1:8" ht="19.8" customHeight="1" x14ac:dyDescent="0.3">
      <c r="A968" s="98">
        <f t="shared" si="15"/>
        <v>11</v>
      </c>
      <c r="B968" s="92" t="s">
        <v>2707</v>
      </c>
      <c r="C968" s="92" t="s">
        <v>2708</v>
      </c>
      <c r="D968" s="95">
        <v>362941.56</v>
      </c>
      <c r="E968" s="95">
        <v>654604.22</v>
      </c>
      <c r="F968" s="95">
        <v>0</v>
      </c>
      <c r="G968" s="95">
        <v>291662.65999999997</v>
      </c>
      <c r="H968" s="95">
        <v>-291662.65999999997</v>
      </c>
    </row>
    <row r="969" spans="1:8" ht="19.8" customHeight="1" x14ac:dyDescent="0.3">
      <c r="A969" s="98">
        <f t="shared" si="15"/>
        <v>7</v>
      </c>
      <c r="B969" s="92" t="s">
        <v>2709</v>
      </c>
      <c r="C969" s="92" t="s">
        <v>2710</v>
      </c>
      <c r="D969" s="95">
        <v>8727156.0999999996</v>
      </c>
      <c r="E969" s="95">
        <v>13659968.439999999</v>
      </c>
      <c r="F969" s="95">
        <v>0</v>
      </c>
      <c r="G969" s="95">
        <v>4932812.34</v>
      </c>
      <c r="H969" s="95">
        <v>-4932812.34</v>
      </c>
    </row>
    <row r="970" spans="1:8" ht="19.8" customHeight="1" x14ac:dyDescent="0.3">
      <c r="A970" s="98">
        <f t="shared" si="15"/>
        <v>11</v>
      </c>
      <c r="B970" s="92" t="s">
        <v>2711</v>
      </c>
      <c r="C970" s="92" t="s">
        <v>2712</v>
      </c>
      <c r="D970" s="95">
        <v>1806000</v>
      </c>
      <c r="E970" s="95">
        <v>1806000</v>
      </c>
      <c r="F970" s="95">
        <v>0</v>
      </c>
      <c r="G970" s="95">
        <v>0</v>
      </c>
      <c r="H970" s="95">
        <v>0</v>
      </c>
    </row>
    <row r="971" spans="1:8" ht="19.8" customHeight="1" x14ac:dyDescent="0.3">
      <c r="A971" s="98">
        <f t="shared" si="15"/>
        <v>11</v>
      </c>
      <c r="B971" s="92" t="s">
        <v>2713</v>
      </c>
      <c r="C971" s="92" t="s">
        <v>2714</v>
      </c>
      <c r="D971" s="95">
        <v>883388.63</v>
      </c>
      <c r="E971" s="95">
        <v>891388.63</v>
      </c>
      <c r="F971" s="95">
        <v>0</v>
      </c>
      <c r="G971" s="95">
        <v>8000</v>
      </c>
      <c r="H971" s="95">
        <v>-8000</v>
      </c>
    </row>
    <row r="972" spans="1:8" ht="19.8" customHeight="1" x14ac:dyDescent="0.3">
      <c r="A972" s="98">
        <f t="shared" si="15"/>
        <v>11</v>
      </c>
      <c r="B972" s="92" t="s">
        <v>2715</v>
      </c>
      <c r="C972" s="92" t="s">
        <v>2716</v>
      </c>
      <c r="D972" s="95">
        <v>1763106.8</v>
      </c>
      <c r="E972" s="95">
        <v>3234255.22</v>
      </c>
      <c r="F972" s="95">
        <v>0</v>
      </c>
      <c r="G972" s="95">
        <v>1471148.42</v>
      </c>
      <c r="H972" s="95">
        <v>-1471148.42</v>
      </c>
    </row>
    <row r="973" spans="1:8" ht="19.8" customHeight="1" x14ac:dyDescent="0.3">
      <c r="A973" s="98">
        <f t="shared" si="15"/>
        <v>11</v>
      </c>
      <c r="B973" s="92" t="s">
        <v>2717</v>
      </c>
      <c r="C973" s="92" t="s">
        <v>2718</v>
      </c>
      <c r="D973" s="95">
        <v>3121764.25</v>
      </c>
      <c r="E973" s="95">
        <v>5715939.8700000001</v>
      </c>
      <c r="F973" s="95">
        <v>0</v>
      </c>
      <c r="G973" s="95">
        <v>2594175.62</v>
      </c>
      <c r="H973" s="95">
        <v>-2594175.62</v>
      </c>
    </row>
    <row r="974" spans="1:8" ht="19.8" customHeight="1" x14ac:dyDescent="0.3">
      <c r="A974" s="98">
        <f t="shared" si="15"/>
        <v>11</v>
      </c>
      <c r="B974" s="92" t="s">
        <v>2719</v>
      </c>
      <c r="C974" s="92" t="s">
        <v>2720</v>
      </c>
      <c r="D974" s="95">
        <v>1152896.42</v>
      </c>
      <c r="E974" s="95">
        <v>2012384.72</v>
      </c>
      <c r="F974" s="95">
        <v>0</v>
      </c>
      <c r="G974" s="95">
        <v>859488.3</v>
      </c>
      <c r="H974" s="95">
        <v>-859488.3</v>
      </c>
    </row>
    <row r="975" spans="1:8" ht="19.8" customHeight="1" x14ac:dyDescent="0.3">
      <c r="A975" s="98">
        <f t="shared" si="15"/>
        <v>7</v>
      </c>
      <c r="B975" s="92" t="s">
        <v>2721</v>
      </c>
      <c r="C975" s="92" t="s">
        <v>2722</v>
      </c>
      <c r="D975" s="95">
        <v>3648127.87</v>
      </c>
      <c r="E975" s="95">
        <v>5000776.2699999996</v>
      </c>
      <c r="F975" s="95">
        <v>0</v>
      </c>
      <c r="G975" s="95">
        <v>1352648.4</v>
      </c>
      <c r="H975" s="95">
        <v>-1352648.4</v>
      </c>
    </row>
    <row r="976" spans="1:8" ht="19.8" customHeight="1" x14ac:dyDescent="0.3">
      <c r="A976" s="98">
        <f t="shared" si="15"/>
        <v>11</v>
      </c>
      <c r="B976" s="92" t="s">
        <v>2723</v>
      </c>
      <c r="C976" s="92" t="s">
        <v>2724</v>
      </c>
      <c r="D976" s="95">
        <v>751235.64</v>
      </c>
      <c r="E976" s="95">
        <v>1363722.73</v>
      </c>
      <c r="F976" s="95">
        <v>0</v>
      </c>
      <c r="G976" s="95">
        <v>612487.09</v>
      </c>
      <c r="H976" s="95">
        <v>-612487.09</v>
      </c>
    </row>
    <row r="977" spans="1:8" ht="19.8" customHeight="1" x14ac:dyDescent="0.3">
      <c r="A977" s="98">
        <f t="shared" si="15"/>
        <v>11</v>
      </c>
      <c r="B977" s="92" t="s">
        <v>2725</v>
      </c>
      <c r="C977" s="92" t="s">
        <v>2726</v>
      </c>
      <c r="D977" s="95">
        <v>937870.36</v>
      </c>
      <c r="E977" s="95">
        <v>1189956.24</v>
      </c>
      <c r="F977" s="95">
        <v>0</v>
      </c>
      <c r="G977" s="95">
        <v>252085.88</v>
      </c>
      <c r="H977" s="95">
        <v>-252085.88</v>
      </c>
    </row>
    <row r="978" spans="1:8" ht="19.8" customHeight="1" x14ac:dyDescent="0.3">
      <c r="A978" s="98">
        <f t="shared" si="15"/>
        <v>11</v>
      </c>
      <c r="B978" s="92" t="s">
        <v>2727</v>
      </c>
      <c r="C978" s="92" t="s">
        <v>2728</v>
      </c>
      <c r="D978" s="95">
        <v>1116690.79</v>
      </c>
      <c r="E978" s="95">
        <v>1344723.8</v>
      </c>
      <c r="F978" s="95">
        <v>0</v>
      </c>
      <c r="G978" s="95">
        <v>228033.01</v>
      </c>
      <c r="H978" s="95">
        <v>-228033.01</v>
      </c>
    </row>
    <row r="979" spans="1:8" ht="19.8" customHeight="1" x14ac:dyDescent="0.3">
      <c r="A979" s="98">
        <f t="shared" si="15"/>
        <v>11</v>
      </c>
      <c r="B979" s="92" t="s">
        <v>2729</v>
      </c>
      <c r="C979" s="92" t="s">
        <v>2730</v>
      </c>
      <c r="D979" s="95">
        <v>393926.82</v>
      </c>
      <c r="E979" s="95">
        <v>570369.74</v>
      </c>
      <c r="F979" s="95">
        <v>0</v>
      </c>
      <c r="G979" s="95">
        <v>176442.92</v>
      </c>
      <c r="H979" s="95">
        <v>-176442.92</v>
      </c>
    </row>
    <row r="980" spans="1:8" ht="19.8" customHeight="1" x14ac:dyDescent="0.3">
      <c r="A980" s="98">
        <f t="shared" si="15"/>
        <v>11</v>
      </c>
      <c r="B980" s="92" t="s">
        <v>2731</v>
      </c>
      <c r="C980" s="92" t="s">
        <v>2732</v>
      </c>
      <c r="D980" s="95">
        <v>422156.27</v>
      </c>
      <c r="E980" s="95">
        <v>501011.18</v>
      </c>
      <c r="F980" s="95">
        <v>0</v>
      </c>
      <c r="G980" s="95">
        <v>78854.91</v>
      </c>
      <c r="H980" s="95">
        <v>-78854.91</v>
      </c>
    </row>
    <row r="981" spans="1:8" ht="19.8" customHeight="1" x14ac:dyDescent="0.3">
      <c r="A981" s="98">
        <f t="shared" si="15"/>
        <v>11</v>
      </c>
      <c r="B981" s="92" t="s">
        <v>2733</v>
      </c>
      <c r="C981" s="92" t="s">
        <v>2734</v>
      </c>
      <c r="D981" s="95">
        <v>26247.99</v>
      </c>
      <c r="E981" s="95">
        <v>30992.58</v>
      </c>
      <c r="F981" s="95">
        <v>0</v>
      </c>
      <c r="G981" s="95">
        <v>4744.59</v>
      </c>
      <c r="H981" s="95">
        <v>-4744.59</v>
      </c>
    </row>
    <row r="982" spans="1:8" ht="19.8" customHeight="1" x14ac:dyDescent="0.3">
      <c r="A982" s="98">
        <f t="shared" si="15"/>
        <v>7</v>
      </c>
      <c r="B982" s="92" t="s">
        <v>2735</v>
      </c>
      <c r="C982" s="92" t="s">
        <v>2722</v>
      </c>
      <c r="D982" s="95">
        <v>1004790.88</v>
      </c>
      <c r="E982" s="95">
        <v>1049647.04</v>
      </c>
      <c r="F982" s="95">
        <v>0</v>
      </c>
      <c r="G982" s="95">
        <v>44856.160000000003</v>
      </c>
      <c r="H982" s="95">
        <v>-44856.160000000003</v>
      </c>
    </row>
    <row r="983" spans="1:8" ht="19.8" customHeight="1" x14ac:dyDescent="0.3">
      <c r="A983" s="98">
        <f t="shared" si="15"/>
        <v>11</v>
      </c>
      <c r="B983" s="92" t="s">
        <v>2736</v>
      </c>
      <c r="C983" s="92" t="s">
        <v>2737</v>
      </c>
      <c r="D983" s="95">
        <v>348214.91</v>
      </c>
      <c r="E983" s="95">
        <v>348214.91</v>
      </c>
      <c r="F983" s="95">
        <v>0</v>
      </c>
      <c r="G983" s="95">
        <v>0</v>
      </c>
      <c r="H983" s="95">
        <v>0</v>
      </c>
    </row>
    <row r="984" spans="1:8" ht="19.8" customHeight="1" x14ac:dyDescent="0.3">
      <c r="A984" s="98">
        <f t="shared" si="15"/>
        <v>11</v>
      </c>
      <c r="B984" s="92" t="s">
        <v>2738</v>
      </c>
      <c r="C984" s="92" t="s">
        <v>2739</v>
      </c>
      <c r="D984" s="95">
        <v>40310.15</v>
      </c>
      <c r="E984" s="95">
        <v>40310.15</v>
      </c>
      <c r="F984" s="95">
        <v>0</v>
      </c>
      <c r="G984" s="95">
        <v>0</v>
      </c>
      <c r="H984" s="95">
        <v>0</v>
      </c>
    </row>
    <row r="985" spans="1:8" ht="19.8" customHeight="1" x14ac:dyDescent="0.3">
      <c r="A985" s="98">
        <f t="shared" si="15"/>
        <v>11</v>
      </c>
      <c r="B985" s="92" t="s">
        <v>2740</v>
      </c>
      <c r="C985" s="92" t="s">
        <v>2741</v>
      </c>
      <c r="D985" s="95">
        <v>590449.81999999995</v>
      </c>
      <c r="E985" s="95">
        <v>590449.81999999995</v>
      </c>
      <c r="F985" s="95">
        <v>0</v>
      </c>
      <c r="G985" s="95">
        <v>0</v>
      </c>
      <c r="H985" s="95">
        <v>0</v>
      </c>
    </row>
    <row r="986" spans="1:8" ht="19.8" customHeight="1" x14ac:dyDescent="0.3">
      <c r="A986" s="98">
        <f t="shared" si="15"/>
        <v>11</v>
      </c>
      <c r="B986" s="92" t="s">
        <v>2742</v>
      </c>
      <c r="C986" s="92" t="s">
        <v>2743</v>
      </c>
      <c r="D986" s="95">
        <v>25776</v>
      </c>
      <c r="E986" s="95">
        <v>25776</v>
      </c>
      <c r="F986" s="95">
        <v>0</v>
      </c>
      <c r="G986" s="95">
        <v>0</v>
      </c>
      <c r="H986" s="95">
        <v>0</v>
      </c>
    </row>
    <row r="987" spans="1:8" ht="19.8" customHeight="1" x14ac:dyDescent="0.3">
      <c r="A987" s="98">
        <f t="shared" si="15"/>
        <v>11</v>
      </c>
      <c r="B987" s="92" t="s">
        <v>2744</v>
      </c>
      <c r="C987" s="92" t="s">
        <v>2745</v>
      </c>
      <c r="D987" s="95">
        <v>0</v>
      </c>
      <c r="E987" s="95">
        <v>44856.160000000003</v>
      </c>
      <c r="F987" s="95">
        <v>0</v>
      </c>
      <c r="G987" s="95">
        <v>44856.160000000003</v>
      </c>
      <c r="H987" s="95">
        <v>-44856.160000000003</v>
      </c>
    </row>
    <row r="988" spans="1:8" ht="19.8" customHeight="1" x14ac:dyDescent="0.3">
      <c r="A988" s="98">
        <f t="shared" si="15"/>
        <v>11</v>
      </c>
      <c r="B988" s="92" t="s">
        <v>2746</v>
      </c>
      <c r="C988" s="92" t="s">
        <v>2747</v>
      </c>
      <c r="D988" s="95">
        <v>40</v>
      </c>
      <c r="E988" s="95">
        <v>40</v>
      </c>
      <c r="F988" s="95">
        <v>0</v>
      </c>
      <c r="G988" s="95">
        <v>0</v>
      </c>
      <c r="H988" s="95">
        <v>0</v>
      </c>
    </row>
    <row r="989" spans="1:8" ht="19.8" customHeight="1" x14ac:dyDescent="0.3">
      <c r="A989" s="98">
        <f t="shared" si="15"/>
        <v>3</v>
      </c>
      <c r="B989" s="92" t="s">
        <v>285</v>
      </c>
      <c r="C989" s="92" t="s">
        <v>403</v>
      </c>
      <c r="D989" s="95">
        <v>60688143.859999999</v>
      </c>
      <c r="E989" s="95">
        <v>81088952.920000002</v>
      </c>
      <c r="F989" s="95">
        <v>0</v>
      </c>
      <c r="G989" s="95">
        <v>20400809.059999999</v>
      </c>
      <c r="H989" s="95">
        <v>-20400809.059999999</v>
      </c>
    </row>
    <row r="990" spans="1:8" ht="19.8" customHeight="1" x14ac:dyDescent="0.3">
      <c r="A990" s="98">
        <f t="shared" si="15"/>
        <v>7</v>
      </c>
      <c r="B990" s="92" t="s">
        <v>2748</v>
      </c>
      <c r="C990" s="92" t="s">
        <v>403</v>
      </c>
      <c r="D990" s="95">
        <v>15112686.970000001</v>
      </c>
      <c r="E990" s="95">
        <v>23604389.350000001</v>
      </c>
      <c r="F990" s="95">
        <v>0</v>
      </c>
      <c r="G990" s="95">
        <v>8491702.3800000008</v>
      </c>
      <c r="H990" s="95">
        <v>-8491702.3800000008</v>
      </c>
    </row>
    <row r="991" spans="1:8" ht="19.8" customHeight="1" x14ac:dyDescent="0.3">
      <c r="A991" s="98">
        <f t="shared" si="15"/>
        <v>11</v>
      </c>
      <c r="B991" s="92" t="s">
        <v>2749</v>
      </c>
      <c r="C991" s="92" t="s">
        <v>403</v>
      </c>
      <c r="D991" s="95">
        <v>14761115.380000001</v>
      </c>
      <c r="E991" s="95">
        <v>23142624.260000002</v>
      </c>
      <c r="F991" s="95">
        <v>0</v>
      </c>
      <c r="G991" s="95">
        <v>8381508.8799999999</v>
      </c>
      <c r="H991" s="95">
        <v>-8381508.8799999999</v>
      </c>
    </row>
    <row r="992" spans="1:8" ht="19.8" customHeight="1" x14ac:dyDescent="0.3">
      <c r="A992" s="98">
        <f t="shared" si="15"/>
        <v>11</v>
      </c>
      <c r="B992" s="92" t="s">
        <v>2750</v>
      </c>
      <c r="C992" s="92" t="s">
        <v>2751</v>
      </c>
      <c r="D992" s="95">
        <v>351571.59</v>
      </c>
      <c r="E992" s="95">
        <v>461765.09</v>
      </c>
      <c r="F992" s="95">
        <v>0</v>
      </c>
      <c r="G992" s="95">
        <v>110193.5</v>
      </c>
      <c r="H992" s="95">
        <v>-110193.5</v>
      </c>
    </row>
    <row r="993" spans="1:8" ht="19.8" customHeight="1" x14ac:dyDescent="0.3">
      <c r="A993" s="98">
        <f t="shared" si="15"/>
        <v>7</v>
      </c>
      <c r="B993" s="92" t="s">
        <v>2752</v>
      </c>
      <c r="C993" s="92" t="s">
        <v>2753</v>
      </c>
      <c r="D993" s="95">
        <v>1392795.64</v>
      </c>
      <c r="E993" s="95">
        <v>1392795.64</v>
      </c>
      <c r="F993" s="95">
        <v>0</v>
      </c>
      <c r="G993" s="95">
        <v>0</v>
      </c>
      <c r="H993" s="95">
        <v>0</v>
      </c>
    </row>
    <row r="994" spans="1:8" ht="19.8" customHeight="1" x14ac:dyDescent="0.3">
      <c r="A994" s="98">
        <f t="shared" si="15"/>
        <v>11</v>
      </c>
      <c r="B994" s="92" t="s">
        <v>2754</v>
      </c>
      <c r="C994" s="92" t="s">
        <v>2755</v>
      </c>
      <c r="D994" s="95">
        <v>1392795.64</v>
      </c>
      <c r="E994" s="95">
        <v>1392795.64</v>
      </c>
      <c r="F994" s="95">
        <v>0</v>
      </c>
      <c r="G994" s="95">
        <v>0</v>
      </c>
      <c r="H994" s="95">
        <v>0</v>
      </c>
    </row>
    <row r="995" spans="1:8" ht="19.8" customHeight="1" x14ac:dyDescent="0.3">
      <c r="A995" s="98">
        <f t="shared" si="15"/>
        <v>7</v>
      </c>
      <c r="B995" s="92" t="s">
        <v>2756</v>
      </c>
      <c r="C995" s="92" t="s">
        <v>2757</v>
      </c>
      <c r="D995" s="95">
        <v>44182661.25</v>
      </c>
      <c r="E995" s="95">
        <v>56091767.93</v>
      </c>
      <c r="F995" s="95">
        <v>0</v>
      </c>
      <c r="G995" s="95">
        <v>11909106.68</v>
      </c>
      <c r="H995" s="95">
        <v>-11909106.68</v>
      </c>
    </row>
    <row r="996" spans="1:8" ht="19.8" customHeight="1" x14ac:dyDescent="0.3">
      <c r="A996" s="98">
        <f t="shared" si="15"/>
        <v>11</v>
      </c>
      <c r="B996" s="92" t="s">
        <v>2758</v>
      </c>
      <c r="C996" s="92" t="s">
        <v>2759</v>
      </c>
      <c r="D996" s="95">
        <v>44182661.25</v>
      </c>
      <c r="E996" s="95">
        <v>56091767.93</v>
      </c>
      <c r="F996" s="95">
        <v>0</v>
      </c>
      <c r="G996" s="95">
        <v>11909106.68</v>
      </c>
      <c r="H996" s="95">
        <v>-11909106.68</v>
      </c>
    </row>
    <row r="997" spans="1:8" ht="19.8" customHeight="1" x14ac:dyDescent="0.3">
      <c r="A997" s="98">
        <f t="shared" si="15"/>
        <v>3</v>
      </c>
      <c r="B997" s="92" t="s">
        <v>215</v>
      </c>
      <c r="C997" s="92" t="s">
        <v>342</v>
      </c>
      <c r="D997" s="95">
        <v>64187937.840000004</v>
      </c>
      <c r="E997" s="95">
        <v>89685064.920000002</v>
      </c>
      <c r="F997" s="95">
        <v>0</v>
      </c>
      <c r="G997" s="95">
        <v>25497127.079999998</v>
      </c>
      <c r="H997" s="95">
        <v>-25497127.079999998</v>
      </c>
    </row>
    <row r="998" spans="1:8" ht="19.8" customHeight="1" x14ac:dyDescent="0.3">
      <c r="A998" s="98">
        <f t="shared" si="15"/>
        <v>7</v>
      </c>
      <c r="B998" s="92" t="s">
        <v>2760</v>
      </c>
      <c r="C998" s="92" t="s">
        <v>342</v>
      </c>
      <c r="D998" s="95">
        <v>64187937.840000004</v>
      </c>
      <c r="E998" s="95">
        <v>82409336.120000005</v>
      </c>
      <c r="F998" s="95">
        <v>0</v>
      </c>
      <c r="G998" s="95">
        <v>18221398.280000001</v>
      </c>
      <c r="H998" s="95">
        <v>-18221398.280000001</v>
      </c>
    </row>
    <row r="999" spans="1:8" ht="19.8" customHeight="1" x14ac:dyDescent="0.3">
      <c r="A999" s="98">
        <f t="shared" si="15"/>
        <v>11</v>
      </c>
      <c r="B999" s="92" t="s">
        <v>2761</v>
      </c>
      <c r="C999" s="92" t="s">
        <v>2762</v>
      </c>
      <c r="D999" s="95">
        <v>17544333.329999998</v>
      </c>
      <c r="E999" s="95">
        <v>17544333.329999998</v>
      </c>
      <c r="F999" s="95">
        <v>0</v>
      </c>
      <c r="G999" s="95">
        <v>0</v>
      </c>
      <c r="H999" s="95">
        <v>0</v>
      </c>
    </row>
    <row r="1000" spans="1:8" ht="19.8" customHeight="1" x14ac:dyDescent="0.3">
      <c r="A1000" s="98">
        <f t="shared" si="15"/>
        <v>11</v>
      </c>
      <c r="B1000" s="92" t="s">
        <v>2763</v>
      </c>
      <c r="C1000" s="92" t="s">
        <v>2764</v>
      </c>
      <c r="D1000" s="95">
        <v>0</v>
      </c>
      <c r="E1000" s="95">
        <v>91891.76</v>
      </c>
      <c r="F1000" s="95">
        <v>0</v>
      </c>
      <c r="G1000" s="95">
        <v>91891.76</v>
      </c>
      <c r="H1000" s="95">
        <v>-91891.76</v>
      </c>
    </row>
    <row r="1001" spans="1:8" ht="19.8" customHeight="1" x14ac:dyDescent="0.3">
      <c r="A1001" s="98">
        <f t="shared" si="15"/>
        <v>11</v>
      </c>
      <c r="B1001" s="92" t="s">
        <v>2765</v>
      </c>
      <c r="C1001" s="92" t="s">
        <v>2766</v>
      </c>
      <c r="D1001" s="95">
        <v>15366113.279999999</v>
      </c>
      <c r="E1001" s="95">
        <v>15366113.279999999</v>
      </c>
      <c r="F1001" s="95">
        <v>0</v>
      </c>
      <c r="G1001" s="95">
        <v>0</v>
      </c>
      <c r="H1001" s="95">
        <v>0</v>
      </c>
    </row>
    <row r="1002" spans="1:8" ht="19.8" customHeight="1" x14ac:dyDescent="0.3">
      <c r="A1002" s="98">
        <f t="shared" si="15"/>
        <v>11</v>
      </c>
      <c r="B1002" s="92" t="s">
        <v>2767</v>
      </c>
      <c r="C1002" s="92" t="s">
        <v>2768</v>
      </c>
      <c r="D1002" s="95">
        <v>4564924.09</v>
      </c>
      <c r="E1002" s="95">
        <v>4817936.18</v>
      </c>
      <c r="F1002" s="95">
        <v>0</v>
      </c>
      <c r="G1002" s="95">
        <v>253012.09</v>
      </c>
      <c r="H1002" s="95">
        <v>-253012.09</v>
      </c>
    </row>
    <row r="1003" spans="1:8" ht="19.8" customHeight="1" x14ac:dyDescent="0.3">
      <c r="A1003" s="98">
        <f t="shared" si="15"/>
        <v>11</v>
      </c>
      <c r="B1003" s="92" t="s">
        <v>2769</v>
      </c>
      <c r="C1003" s="92" t="s">
        <v>2770</v>
      </c>
      <c r="D1003" s="95">
        <v>3136216.27</v>
      </c>
      <c r="E1003" s="95">
        <v>3902733.91</v>
      </c>
      <c r="F1003" s="95">
        <v>0</v>
      </c>
      <c r="G1003" s="95">
        <v>766517.64</v>
      </c>
      <c r="H1003" s="95">
        <v>-766517.64</v>
      </c>
    </row>
    <row r="1004" spans="1:8" ht="19.8" customHeight="1" x14ac:dyDescent="0.3">
      <c r="A1004" s="98">
        <f t="shared" si="15"/>
        <v>11</v>
      </c>
      <c r="B1004" s="92" t="s">
        <v>2771</v>
      </c>
      <c r="C1004" s="92" t="s">
        <v>2772</v>
      </c>
      <c r="D1004" s="95">
        <v>4389479.5</v>
      </c>
      <c r="E1004" s="95">
        <v>4433668.08</v>
      </c>
      <c r="F1004" s="95">
        <v>0</v>
      </c>
      <c r="G1004" s="95">
        <v>44188.58</v>
      </c>
      <c r="H1004" s="95">
        <v>-44188.58</v>
      </c>
    </row>
    <row r="1005" spans="1:8" ht="19.8" customHeight="1" x14ac:dyDescent="0.3">
      <c r="A1005" s="98">
        <f t="shared" si="15"/>
        <v>11</v>
      </c>
      <c r="B1005" s="92" t="s">
        <v>2773</v>
      </c>
      <c r="C1005" s="92" t="s">
        <v>2774</v>
      </c>
      <c r="D1005" s="95">
        <v>1030508.82</v>
      </c>
      <c r="E1005" s="95">
        <v>1135355.02</v>
      </c>
      <c r="F1005" s="95">
        <v>0</v>
      </c>
      <c r="G1005" s="95">
        <v>104846.2</v>
      </c>
      <c r="H1005" s="95">
        <v>-104846.2</v>
      </c>
    </row>
    <row r="1006" spans="1:8" ht="19.8" customHeight="1" x14ac:dyDescent="0.3">
      <c r="A1006" s="98">
        <f t="shared" si="15"/>
        <v>11</v>
      </c>
      <c r="B1006" s="92" t="s">
        <v>2775</v>
      </c>
      <c r="C1006" s="92" t="s">
        <v>2776</v>
      </c>
      <c r="D1006" s="95">
        <v>5087727.8899999997</v>
      </c>
      <c r="E1006" s="95">
        <v>15980085.720000001</v>
      </c>
      <c r="F1006" s="95">
        <v>0</v>
      </c>
      <c r="G1006" s="95">
        <v>10892357.83</v>
      </c>
      <c r="H1006" s="95">
        <v>-10892357.83</v>
      </c>
    </row>
    <row r="1007" spans="1:8" ht="19.8" customHeight="1" x14ac:dyDescent="0.3">
      <c r="A1007" s="98">
        <f t="shared" si="15"/>
        <v>11</v>
      </c>
      <c r="B1007" s="92" t="s">
        <v>2777</v>
      </c>
      <c r="C1007" s="92" t="s">
        <v>2778</v>
      </c>
      <c r="D1007" s="95">
        <v>3727080</v>
      </c>
      <c r="E1007" s="95">
        <v>7534030</v>
      </c>
      <c r="F1007" s="95">
        <v>0</v>
      </c>
      <c r="G1007" s="95">
        <v>3806950</v>
      </c>
      <c r="H1007" s="95">
        <v>-3806950</v>
      </c>
    </row>
    <row r="1008" spans="1:8" ht="19.8" customHeight="1" x14ac:dyDescent="0.3">
      <c r="A1008" s="98">
        <f t="shared" si="15"/>
        <v>11</v>
      </c>
      <c r="B1008" s="92" t="s">
        <v>2779</v>
      </c>
      <c r="C1008" s="92" t="s">
        <v>2780</v>
      </c>
      <c r="D1008" s="95">
        <v>1021234.37</v>
      </c>
      <c r="E1008" s="95">
        <v>1512028.61</v>
      </c>
      <c r="F1008" s="95">
        <v>0</v>
      </c>
      <c r="G1008" s="95">
        <v>490794.23999999999</v>
      </c>
      <c r="H1008" s="95">
        <v>-490794.23999999999</v>
      </c>
    </row>
    <row r="1009" spans="1:8" ht="19.8" customHeight="1" x14ac:dyDescent="0.3">
      <c r="A1009" s="98">
        <f t="shared" si="15"/>
        <v>11</v>
      </c>
      <c r="B1009" s="92" t="s">
        <v>2781</v>
      </c>
      <c r="C1009" s="92" t="s">
        <v>2782</v>
      </c>
      <c r="D1009" s="95">
        <v>369744.4</v>
      </c>
      <c r="E1009" s="95">
        <v>404744.4</v>
      </c>
      <c r="F1009" s="95">
        <v>0</v>
      </c>
      <c r="G1009" s="95">
        <v>35000</v>
      </c>
      <c r="H1009" s="95">
        <v>-35000</v>
      </c>
    </row>
    <row r="1010" spans="1:8" ht="19.8" customHeight="1" x14ac:dyDescent="0.3">
      <c r="A1010" s="98">
        <f t="shared" si="15"/>
        <v>11</v>
      </c>
      <c r="B1010" s="92" t="s">
        <v>2783</v>
      </c>
      <c r="C1010" s="92" t="s">
        <v>2784</v>
      </c>
      <c r="D1010" s="95">
        <v>337654.3</v>
      </c>
      <c r="E1010" s="95">
        <v>437007.13</v>
      </c>
      <c r="F1010" s="95">
        <v>0</v>
      </c>
      <c r="G1010" s="95">
        <v>99352.83</v>
      </c>
      <c r="H1010" s="95">
        <v>-99352.83</v>
      </c>
    </row>
    <row r="1011" spans="1:8" ht="19.8" customHeight="1" x14ac:dyDescent="0.3">
      <c r="A1011" s="98">
        <f t="shared" si="15"/>
        <v>11</v>
      </c>
      <c r="B1011" s="92" t="s">
        <v>2785</v>
      </c>
      <c r="C1011" s="92" t="s">
        <v>2786</v>
      </c>
      <c r="D1011" s="95">
        <v>154000</v>
      </c>
      <c r="E1011" s="95">
        <v>349299.81</v>
      </c>
      <c r="F1011" s="95">
        <v>0</v>
      </c>
      <c r="G1011" s="95">
        <v>195299.81</v>
      </c>
      <c r="H1011" s="95">
        <v>-195299.81</v>
      </c>
    </row>
    <row r="1012" spans="1:8" ht="19.8" customHeight="1" x14ac:dyDescent="0.3">
      <c r="A1012" s="98">
        <f t="shared" si="15"/>
        <v>11</v>
      </c>
      <c r="B1012" s="92" t="s">
        <v>2787</v>
      </c>
      <c r="C1012" s="92" t="s">
        <v>2788</v>
      </c>
      <c r="D1012" s="95">
        <v>2052894.94</v>
      </c>
      <c r="E1012" s="95">
        <v>2052894.94</v>
      </c>
      <c r="F1012" s="95">
        <v>0</v>
      </c>
      <c r="G1012" s="95">
        <v>0</v>
      </c>
      <c r="H1012" s="95">
        <v>0</v>
      </c>
    </row>
    <row r="1013" spans="1:8" ht="19.8" customHeight="1" x14ac:dyDescent="0.3">
      <c r="A1013" s="98">
        <f t="shared" si="15"/>
        <v>11</v>
      </c>
      <c r="B1013" s="92" t="s">
        <v>2789</v>
      </c>
      <c r="C1013" s="92" t="s">
        <v>2790</v>
      </c>
      <c r="D1013" s="95">
        <v>1606757.7</v>
      </c>
      <c r="E1013" s="95">
        <v>1834887.77</v>
      </c>
      <c r="F1013" s="95">
        <v>0</v>
      </c>
      <c r="G1013" s="95">
        <v>228130.07</v>
      </c>
      <c r="H1013" s="95">
        <v>-228130.07</v>
      </c>
    </row>
    <row r="1014" spans="1:8" ht="19.8" customHeight="1" x14ac:dyDescent="0.3">
      <c r="A1014" s="98">
        <f t="shared" si="15"/>
        <v>11</v>
      </c>
      <c r="B1014" s="92" t="s">
        <v>2791</v>
      </c>
      <c r="C1014" s="92" t="s">
        <v>2792</v>
      </c>
      <c r="D1014" s="95">
        <v>2318039.7799999998</v>
      </c>
      <c r="E1014" s="95">
        <v>2571013.6800000002</v>
      </c>
      <c r="F1014" s="95">
        <v>0</v>
      </c>
      <c r="G1014" s="95">
        <v>252973.9</v>
      </c>
      <c r="H1014" s="95">
        <v>-252973.9</v>
      </c>
    </row>
    <row r="1015" spans="1:8" ht="19.8" customHeight="1" x14ac:dyDescent="0.3">
      <c r="A1015" s="98">
        <f t="shared" si="15"/>
        <v>11</v>
      </c>
      <c r="B1015" s="92" t="s">
        <v>2793</v>
      </c>
      <c r="C1015" s="92" t="s">
        <v>2794</v>
      </c>
      <c r="D1015" s="95">
        <v>1481229.17</v>
      </c>
      <c r="E1015" s="95">
        <v>2441312.5</v>
      </c>
      <c r="F1015" s="95">
        <v>0</v>
      </c>
      <c r="G1015" s="95">
        <v>960083.33</v>
      </c>
      <c r="H1015" s="95">
        <v>-960083.33</v>
      </c>
    </row>
    <row r="1016" spans="1:8" ht="19.8" customHeight="1" x14ac:dyDescent="0.3">
      <c r="A1016" s="98">
        <f t="shared" si="15"/>
        <v>7</v>
      </c>
      <c r="B1016" s="92" t="s">
        <v>2795</v>
      </c>
      <c r="C1016" s="92" t="s">
        <v>2796</v>
      </c>
      <c r="D1016" s="95">
        <v>0</v>
      </c>
      <c r="E1016" s="95">
        <v>7275728.7999999998</v>
      </c>
      <c r="F1016" s="95">
        <v>0</v>
      </c>
      <c r="G1016" s="95">
        <v>7275728.7999999998</v>
      </c>
      <c r="H1016" s="95">
        <v>-7275728.7999999998</v>
      </c>
    </row>
    <row r="1017" spans="1:8" ht="19.8" customHeight="1" x14ac:dyDescent="0.3">
      <c r="A1017" s="98">
        <f t="shared" si="15"/>
        <v>11</v>
      </c>
      <c r="B1017" s="92" t="s">
        <v>2797</v>
      </c>
      <c r="C1017" s="92" t="s">
        <v>2796</v>
      </c>
      <c r="D1017" s="95">
        <v>0</v>
      </c>
      <c r="E1017" s="95">
        <v>7275728.7999999998</v>
      </c>
      <c r="F1017" s="95">
        <v>0</v>
      </c>
      <c r="G1017" s="95">
        <v>7275728.7999999998</v>
      </c>
      <c r="H1017" s="95">
        <v>-7275728.7999999998</v>
      </c>
    </row>
    <row r="1018" spans="1:8" ht="19.8" customHeight="1" x14ac:dyDescent="0.3">
      <c r="A1018" s="98">
        <f t="shared" si="15"/>
        <v>3</v>
      </c>
      <c r="B1018" s="92" t="s">
        <v>216</v>
      </c>
      <c r="C1018" s="92" t="s">
        <v>429</v>
      </c>
      <c r="D1018" s="95">
        <v>266792939.44999999</v>
      </c>
      <c r="E1018" s="95">
        <v>266792939.44999999</v>
      </c>
      <c r="F1018" s="95">
        <v>0</v>
      </c>
      <c r="G1018" s="95">
        <v>0</v>
      </c>
      <c r="H1018" s="95">
        <v>0</v>
      </c>
    </row>
    <row r="1019" spans="1:8" ht="19.8" customHeight="1" x14ac:dyDescent="0.3">
      <c r="A1019" s="98">
        <f t="shared" si="15"/>
        <v>7</v>
      </c>
      <c r="B1019" s="92" t="s">
        <v>2798</v>
      </c>
      <c r="C1019" s="92" t="s">
        <v>2799</v>
      </c>
      <c r="D1019" s="95">
        <v>256270014.37</v>
      </c>
      <c r="E1019" s="95">
        <v>256270014.37</v>
      </c>
      <c r="F1019" s="95">
        <v>0</v>
      </c>
      <c r="G1019" s="95">
        <v>0</v>
      </c>
      <c r="H1019" s="95">
        <v>0</v>
      </c>
    </row>
    <row r="1020" spans="1:8" ht="19.8" customHeight="1" x14ac:dyDescent="0.3">
      <c r="A1020" s="98">
        <f t="shared" si="15"/>
        <v>11</v>
      </c>
      <c r="B1020" s="92" t="s">
        <v>2800</v>
      </c>
      <c r="C1020" s="92" t="s">
        <v>2801</v>
      </c>
      <c r="D1020" s="95">
        <v>12013716.23</v>
      </c>
      <c r="E1020" s="95">
        <v>12013716.23</v>
      </c>
      <c r="F1020" s="95">
        <v>0</v>
      </c>
      <c r="G1020" s="95">
        <v>0</v>
      </c>
      <c r="H1020" s="95">
        <v>0</v>
      </c>
    </row>
    <row r="1021" spans="1:8" ht="19.8" customHeight="1" x14ac:dyDescent="0.3">
      <c r="A1021" s="98">
        <f t="shared" si="15"/>
        <v>11</v>
      </c>
      <c r="B1021" s="92" t="s">
        <v>2802</v>
      </c>
      <c r="C1021" s="92" t="s">
        <v>2803</v>
      </c>
      <c r="D1021" s="95">
        <v>73574653.200000003</v>
      </c>
      <c r="E1021" s="95">
        <v>73574653.200000003</v>
      </c>
      <c r="F1021" s="95">
        <v>0</v>
      </c>
      <c r="G1021" s="95">
        <v>0</v>
      </c>
      <c r="H1021" s="95">
        <v>0</v>
      </c>
    </row>
    <row r="1022" spans="1:8" ht="19.8" customHeight="1" x14ac:dyDescent="0.3">
      <c r="A1022" s="98">
        <f t="shared" si="15"/>
        <v>11</v>
      </c>
      <c r="B1022" s="92" t="s">
        <v>2804</v>
      </c>
      <c r="C1022" s="92" t="s">
        <v>2805</v>
      </c>
      <c r="D1022" s="95">
        <v>170681644.94</v>
      </c>
      <c r="E1022" s="95">
        <v>170681644.94</v>
      </c>
      <c r="F1022" s="95">
        <v>0</v>
      </c>
      <c r="G1022" s="95">
        <v>0</v>
      </c>
      <c r="H1022" s="95">
        <v>0</v>
      </c>
    </row>
    <row r="1023" spans="1:8" ht="19.8" customHeight="1" x14ac:dyDescent="0.3">
      <c r="A1023" s="98">
        <f t="shared" si="15"/>
        <v>7</v>
      </c>
      <c r="B1023" s="92" t="s">
        <v>2806</v>
      </c>
      <c r="C1023" s="92" t="s">
        <v>2807</v>
      </c>
      <c r="D1023" s="95">
        <v>2666528.04</v>
      </c>
      <c r="E1023" s="95">
        <v>2666528.04</v>
      </c>
      <c r="F1023" s="95">
        <v>0</v>
      </c>
      <c r="G1023" s="95">
        <v>0</v>
      </c>
      <c r="H1023" s="95">
        <v>0</v>
      </c>
    </row>
    <row r="1024" spans="1:8" ht="19.8" customHeight="1" x14ac:dyDescent="0.3">
      <c r="A1024" s="98">
        <f t="shared" si="15"/>
        <v>11</v>
      </c>
      <c r="B1024" s="92" t="s">
        <v>2808</v>
      </c>
      <c r="C1024" s="92" t="s">
        <v>2807</v>
      </c>
      <c r="D1024" s="95">
        <v>2666528.04</v>
      </c>
      <c r="E1024" s="95">
        <v>2666528.04</v>
      </c>
      <c r="F1024" s="95">
        <v>0</v>
      </c>
      <c r="G1024" s="95">
        <v>0</v>
      </c>
      <c r="H1024" s="95">
        <v>0</v>
      </c>
    </row>
    <row r="1025" spans="1:8" ht="19.8" customHeight="1" x14ac:dyDescent="0.3">
      <c r="A1025" s="98">
        <f t="shared" si="15"/>
        <v>7</v>
      </c>
      <c r="B1025" s="92" t="s">
        <v>2809</v>
      </c>
      <c r="C1025" s="92" t="s">
        <v>2810</v>
      </c>
      <c r="D1025" s="95">
        <v>5100970.67</v>
      </c>
      <c r="E1025" s="95">
        <v>5100970.67</v>
      </c>
      <c r="F1025" s="95">
        <v>0</v>
      </c>
      <c r="G1025" s="95">
        <v>0</v>
      </c>
      <c r="H1025" s="95">
        <v>0</v>
      </c>
    </row>
    <row r="1026" spans="1:8" ht="19.8" customHeight="1" x14ac:dyDescent="0.3">
      <c r="A1026" s="98">
        <f t="shared" si="15"/>
        <v>11</v>
      </c>
      <c r="B1026" s="92" t="s">
        <v>2811</v>
      </c>
      <c r="C1026" s="92" t="s">
        <v>2812</v>
      </c>
      <c r="D1026" s="95">
        <v>46955.72</v>
      </c>
      <c r="E1026" s="95">
        <v>46955.72</v>
      </c>
      <c r="F1026" s="95">
        <v>0</v>
      </c>
      <c r="G1026" s="95">
        <v>0</v>
      </c>
      <c r="H1026" s="95">
        <v>0</v>
      </c>
    </row>
    <row r="1027" spans="1:8" ht="19.8" customHeight="1" x14ac:dyDescent="0.3">
      <c r="A1027" s="98">
        <f t="shared" ref="A1027:A1090" si="16">+LEN(B1027)</f>
        <v>11</v>
      </c>
      <c r="B1027" s="92" t="s">
        <v>2813</v>
      </c>
      <c r="C1027" s="92" t="s">
        <v>2814</v>
      </c>
      <c r="D1027" s="95">
        <v>28694.35</v>
      </c>
      <c r="E1027" s="95">
        <v>28694.35</v>
      </c>
      <c r="F1027" s="95">
        <v>0</v>
      </c>
      <c r="G1027" s="95">
        <v>0</v>
      </c>
      <c r="H1027" s="95">
        <v>0</v>
      </c>
    </row>
    <row r="1028" spans="1:8" ht="19.8" customHeight="1" x14ac:dyDescent="0.3">
      <c r="A1028" s="98">
        <f t="shared" si="16"/>
        <v>11</v>
      </c>
      <c r="B1028" s="92" t="s">
        <v>2815</v>
      </c>
      <c r="C1028" s="92" t="s">
        <v>2816</v>
      </c>
      <c r="D1028" s="95">
        <v>5025320.5999999996</v>
      </c>
      <c r="E1028" s="95">
        <v>5025320.5999999996</v>
      </c>
      <c r="F1028" s="95">
        <v>0</v>
      </c>
      <c r="G1028" s="95">
        <v>0</v>
      </c>
      <c r="H1028" s="95">
        <v>0</v>
      </c>
    </row>
    <row r="1029" spans="1:8" ht="19.8" customHeight="1" x14ac:dyDescent="0.3">
      <c r="A1029" s="98">
        <f t="shared" si="16"/>
        <v>7</v>
      </c>
      <c r="B1029" s="92" t="s">
        <v>2817</v>
      </c>
      <c r="C1029" s="92" t="s">
        <v>2818</v>
      </c>
      <c r="D1029" s="95">
        <v>1832251.69</v>
      </c>
      <c r="E1029" s="95">
        <v>1832251.69</v>
      </c>
      <c r="F1029" s="95">
        <v>0</v>
      </c>
      <c r="G1029" s="95">
        <v>0</v>
      </c>
      <c r="H1029" s="95">
        <v>0</v>
      </c>
    </row>
    <row r="1030" spans="1:8" ht="19.8" customHeight="1" x14ac:dyDescent="0.3">
      <c r="A1030" s="98">
        <f t="shared" si="16"/>
        <v>11</v>
      </c>
      <c r="B1030" s="92" t="s">
        <v>2819</v>
      </c>
      <c r="C1030" s="92" t="s">
        <v>2820</v>
      </c>
      <c r="D1030" s="95">
        <v>36901.93</v>
      </c>
      <c r="E1030" s="95">
        <v>36901.93</v>
      </c>
      <c r="F1030" s="95">
        <v>0</v>
      </c>
      <c r="G1030" s="95">
        <v>0</v>
      </c>
      <c r="H1030" s="95">
        <v>0</v>
      </c>
    </row>
    <row r="1031" spans="1:8" ht="19.8" customHeight="1" x14ac:dyDescent="0.3">
      <c r="A1031" s="98">
        <f t="shared" si="16"/>
        <v>11</v>
      </c>
      <c r="B1031" s="92" t="s">
        <v>2821</v>
      </c>
      <c r="C1031" s="92" t="s">
        <v>2822</v>
      </c>
      <c r="D1031" s="95">
        <v>2764.63</v>
      </c>
      <c r="E1031" s="95">
        <v>2764.63</v>
      </c>
      <c r="F1031" s="95">
        <v>0</v>
      </c>
      <c r="G1031" s="95">
        <v>0</v>
      </c>
      <c r="H1031" s="95">
        <v>0</v>
      </c>
    </row>
    <row r="1032" spans="1:8" ht="19.8" customHeight="1" x14ac:dyDescent="0.3">
      <c r="A1032" s="98">
        <f t="shared" si="16"/>
        <v>11</v>
      </c>
      <c r="B1032" s="92" t="s">
        <v>2823</v>
      </c>
      <c r="C1032" s="92" t="s">
        <v>2824</v>
      </c>
      <c r="D1032" s="95">
        <v>1792585.13</v>
      </c>
      <c r="E1032" s="95">
        <v>1792585.13</v>
      </c>
      <c r="F1032" s="95">
        <v>0</v>
      </c>
      <c r="G1032" s="95">
        <v>0</v>
      </c>
      <c r="H1032" s="95">
        <v>0</v>
      </c>
    </row>
    <row r="1033" spans="1:8" ht="19.8" customHeight="1" x14ac:dyDescent="0.3">
      <c r="A1033" s="98">
        <f t="shared" si="16"/>
        <v>7</v>
      </c>
      <c r="B1033" s="92" t="s">
        <v>2825</v>
      </c>
      <c r="C1033" s="92" t="s">
        <v>2826</v>
      </c>
      <c r="D1033" s="95">
        <v>256171.44</v>
      </c>
      <c r="E1033" s="95">
        <v>256171.44</v>
      </c>
      <c r="F1033" s="95">
        <v>0</v>
      </c>
      <c r="G1033" s="95">
        <v>0</v>
      </c>
      <c r="H1033" s="95">
        <v>0</v>
      </c>
    </row>
    <row r="1034" spans="1:8" ht="19.8" customHeight="1" x14ac:dyDescent="0.3">
      <c r="A1034" s="98">
        <f t="shared" si="16"/>
        <v>11</v>
      </c>
      <c r="B1034" s="92" t="s">
        <v>2827</v>
      </c>
      <c r="C1034" s="92" t="s">
        <v>2828</v>
      </c>
      <c r="D1034" s="95">
        <v>256171.44</v>
      </c>
      <c r="E1034" s="95">
        <v>256171.44</v>
      </c>
      <c r="F1034" s="95">
        <v>0</v>
      </c>
      <c r="G1034" s="95">
        <v>0</v>
      </c>
      <c r="H1034" s="95">
        <v>0</v>
      </c>
    </row>
    <row r="1035" spans="1:8" ht="19.8" customHeight="1" x14ac:dyDescent="0.3">
      <c r="A1035" s="98">
        <f t="shared" si="16"/>
        <v>7</v>
      </c>
      <c r="B1035" s="92" t="s">
        <v>2829</v>
      </c>
      <c r="C1035" s="92" t="s">
        <v>2830</v>
      </c>
      <c r="D1035" s="95">
        <v>284866.24</v>
      </c>
      <c r="E1035" s="95">
        <v>284866.24</v>
      </c>
      <c r="F1035" s="95">
        <v>0</v>
      </c>
      <c r="G1035" s="95">
        <v>0</v>
      </c>
      <c r="H1035" s="95">
        <v>0</v>
      </c>
    </row>
    <row r="1036" spans="1:8" ht="19.8" customHeight="1" x14ac:dyDescent="0.3">
      <c r="A1036" s="98">
        <f t="shared" si="16"/>
        <v>11</v>
      </c>
      <c r="B1036" s="92" t="s">
        <v>2831</v>
      </c>
      <c r="C1036" s="92" t="s">
        <v>2832</v>
      </c>
      <c r="D1036" s="95">
        <v>284866.24</v>
      </c>
      <c r="E1036" s="95">
        <v>284866.24</v>
      </c>
      <c r="F1036" s="95">
        <v>0</v>
      </c>
      <c r="G1036" s="95">
        <v>0</v>
      </c>
      <c r="H1036" s="95">
        <v>0</v>
      </c>
    </row>
    <row r="1037" spans="1:8" ht="19.8" customHeight="1" x14ac:dyDescent="0.3">
      <c r="A1037" s="98">
        <f t="shared" si="16"/>
        <v>7</v>
      </c>
      <c r="B1037" s="92" t="s">
        <v>2833</v>
      </c>
      <c r="C1037" s="92" t="s">
        <v>2834</v>
      </c>
      <c r="D1037" s="95">
        <v>382137</v>
      </c>
      <c r="E1037" s="95">
        <v>382137</v>
      </c>
      <c r="F1037" s="95">
        <v>0</v>
      </c>
      <c r="G1037" s="95">
        <v>0</v>
      </c>
      <c r="H1037" s="95">
        <v>0</v>
      </c>
    </row>
    <row r="1038" spans="1:8" ht="19.8" customHeight="1" x14ac:dyDescent="0.3">
      <c r="A1038" s="98">
        <f t="shared" si="16"/>
        <v>11</v>
      </c>
      <c r="B1038" s="92" t="s">
        <v>2835</v>
      </c>
      <c r="C1038" s="92" t="s">
        <v>2836</v>
      </c>
      <c r="D1038" s="95">
        <v>154266.98000000001</v>
      </c>
      <c r="E1038" s="95">
        <v>154266.98000000001</v>
      </c>
      <c r="F1038" s="95">
        <v>0</v>
      </c>
      <c r="G1038" s="95">
        <v>0</v>
      </c>
      <c r="H1038" s="95">
        <v>0</v>
      </c>
    </row>
    <row r="1039" spans="1:8" ht="19.8" customHeight="1" x14ac:dyDescent="0.3">
      <c r="A1039" s="98">
        <f t="shared" si="16"/>
        <v>11</v>
      </c>
      <c r="B1039" s="92" t="s">
        <v>2837</v>
      </c>
      <c r="C1039" s="92" t="s">
        <v>2838</v>
      </c>
      <c r="D1039" s="95">
        <v>227870.02</v>
      </c>
      <c r="E1039" s="95">
        <v>227870.02</v>
      </c>
      <c r="F1039" s="95">
        <v>0</v>
      </c>
      <c r="G1039" s="95">
        <v>0</v>
      </c>
      <c r="H1039" s="95">
        <v>0</v>
      </c>
    </row>
    <row r="1040" spans="1:8" ht="19.8" customHeight="1" x14ac:dyDescent="0.3">
      <c r="A1040" s="98">
        <f t="shared" si="16"/>
        <v>3</v>
      </c>
      <c r="B1040" s="92" t="s">
        <v>217</v>
      </c>
      <c r="C1040" s="92" t="s">
        <v>331</v>
      </c>
      <c r="D1040" s="95">
        <v>4687834</v>
      </c>
      <c r="E1040" s="95">
        <v>4687834</v>
      </c>
      <c r="F1040" s="95">
        <v>0</v>
      </c>
      <c r="G1040" s="95">
        <v>0</v>
      </c>
      <c r="H1040" s="95">
        <v>0</v>
      </c>
    </row>
    <row r="1041" spans="1:8" ht="19.8" customHeight="1" x14ac:dyDescent="0.3">
      <c r="A1041" s="98">
        <f t="shared" si="16"/>
        <v>7</v>
      </c>
      <c r="B1041" s="92" t="s">
        <v>2839</v>
      </c>
      <c r="C1041" s="92" t="s">
        <v>331</v>
      </c>
      <c r="D1041" s="95">
        <v>4687834</v>
      </c>
      <c r="E1041" s="95">
        <v>4687834</v>
      </c>
      <c r="F1041" s="95">
        <v>0</v>
      </c>
      <c r="G1041" s="95">
        <v>0</v>
      </c>
      <c r="H1041" s="95">
        <v>0</v>
      </c>
    </row>
    <row r="1042" spans="1:8" ht="19.8" customHeight="1" x14ac:dyDescent="0.3">
      <c r="A1042" s="98">
        <f t="shared" si="16"/>
        <v>11</v>
      </c>
      <c r="B1042" s="92" t="s">
        <v>2840</v>
      </c>
      <c r="C1042" s="92" t="s">
        <v>2478</v>
      </c>
      <c r="D1042" s="95">
        <v>1582855</v>
      </c>
      <c r="E1042" s="95">
        <v>1582855</v>
      </c>
      <c r="F1042" s="95">
        <v>0</v>
      </c>
      <c r="G1042" s="95">
        <v>0</v>
      </c>
      <c r="H1042" s="95">
        <v>0</v>
      </c>
    </row>
    <row r="1043" spans="1:8" ht="19.8" customHeight="1" x14ac:dyDescent="0.3">
      <c r="A1043" s="98">
        <f t="shared" si="16"/>
        <v>11</v>
      </c>
      <c r="B1043" s="92" t="s">
        <v>2841</v>
      </c>
      <c r="C1043" s="92" t="s">
        <v>2480</v>
      </c>
      <c r="D1043" s="95">
        <v>1520810</v>
      </c>
      <c r="E1043" s="95">
        <v>1520810</v>
      </c>
      <c r="F1043" s="95">
        <v>0</v>
      </c>
      <c r="G1043" s="95">
        <v>0</v>
      </c>
      <c r="H1043" s="95">
        <v>0</v>
      </c>
    </row>
    <row r="1044" spans="1:8" ht="19.8" customHeight="1" x14ac:dyDescent="0.3">
      <c r="A1044" s="98">
        <f t="shared" si="16"/>
        <v>11</v>
      </c>
      <c r="B1044" s="92" t="s">
        <v>2842</v>
      </c>
      <c r="C1044" s="92" t="s">
        <v>2488</v>
      </c>
      <c r="D1044" s="95">
        <v>426507</v>
      </c>
      <c r="E1044" s="95">
        <v>426507</v>
      </c>
      <c r="F1044" s="95">
        <v>0</v>
      </c>
      <c r="G1044" s="95">
        <v>0</v>
      </c>
      <c r="H1044" s="95">
        <v>0</v>
      </c>
    </row>
    <row r="1045" spans="1:8" ht="19.8" customHeight="1" x14ac:dyDescent="0.3">
      <c r="A1045" s="98">
        <f t="shared" si="16"/>
        <v>11</v>
      </c>
      <c r="B1045" s="92" t="s">
        <v>2843</v>
      </c>
      <c r="C1045" s="92" t="s">
        <v>2490</v>
      </c>
      <c r="D1045" s="95">
        <v>1157662</v>
      </c>
      <c r="E1045" s="95">
        <v>1157662</v>
      </c>
      <c r="F1045" s="95">
        <v>0</v>
      </c>
      <c r="G1045" s="95">
        <v>0</v>
      </c>
      <c r="H1045" s="95">
        <v>0</v>
      </c>
    </row>
    <row r="1046" spans="1:8" ht="19.8" customHeight="1" x14ac:dyDescent="0.3">
      <c r="A1046" s="98">
        <f t="shared" si="16"/>
        <v>3</v>
      </c>
      <c r="B1046" s="92" t="s">
        <v>220</v>
      </c>
      <c r="C1046" s="92" t="s">
        <v>343</v>
      </c>
      <c r="D1046" s="95">
        <v>792</v>
      </c>
      <c r="E1046" s="95">
        <v>501962.56</v>
      </c>
      <c r="F1046" s="95">
        <v>0</v>
      </c>
      <c r="G1046" s="95">
        <v>501170.56</v>
      </c>
      <c r="H1046" s="95">
        <v>-501170.56</v>
      </c>
    </row>
    <row r="1047" spans="1:8" ht="19.8" customHeight="1" x14ac:dyDescent="0.3">
      <c r="A1047" s="98">
        <f t="shared" si="16"/>
        <v>7</v>
      </c>
      <c r="B1047" s="92" t="s">
        <v>2844</v>
      </c>
      <c r="C1047" s="92" t="s">
        <v>343</v>
      </c>
      <c r="D1047" s="95">
        <v>792</v>
      </c>
      <c r="E1047" s="95">
        <v>501962.56</v>
      </c>
      <c r="F1047" s="95">
        <v>0</v>
      </c>
      <c r="G1047" s="95">
        <v>501170.56</v>
      </c>
      <c r="H1047" s="95">
        <v>-501170.56</v>
      </c>
    </row>
    <row r="1048" spans="1:8" ht="19.8" customHeight="1" x14ac:dyDescent="0.3">
      <c r="A1048" s="98">
        <f t="shared" si="16"/>
        <v>11</v>
      </c>
      <c r="B1048" s="92" t="s">
        <v>2845</v>
      </c>
      <c r="C1048" s="92" t="s">
        <v>2846</v>
      </c>
      <c r="D1048" s="95">
        <v>0</v>
      </c>
      <c r="E1048" s="95">
        <v>26000</v>
      </c>
      <c r="F1048" s="95">
        <v>0</v>
      </c>
      <c r="G1048" s="95">
        <v>26000</v>
      </c>
      <c r="H1048" s="95">
        <v>-26000</v>
      </c>
    </row>
    <row r="1049" spans="1:8" ht="19.8" customHeight="1" x14ac:dyDescent="0.3">
      <c r="A1049" s="98">
        <f t="shared" si="16"/>
        <v>11</v>
      </c>
      <c r="B1049" s="92" t="s">
        <v>2847</v>
      </c>
      <c r="C1049" s="92" t="s">
        <v>2848</v>
      </c>
      <c r="D1049" s="95">
        <v>0</v>
      </c>
      <c r="E1049" s="95">
        <v>103000</v>
      </c>
      <c r="F1049" s="95">
        <v>0</v>
      </c>
      <c r="G1049" s="95">
        <v>103000</v>
      </c>
      <c r="H1049" s="95">
        <v>-103000</v>
      </c>
    </row>
    <row r="1050" spans="1:8" ht="19.8" customHeight="1" x14ac:dyDescent="0.3">
      <c r="A1050" s="98">
        <f t="shared" si="16"/>
        <v>11</v>
      </c>
      <c r="B1050" s="92" t="s">
        <v>2849</v>
      </c>
      <c r="C1050" s="92" t="s">
        <v>2850</v>
      </c>
      <c r="D1050" s="95">
        <v>792</v>
      </c>
      <c r="E1050" s="95">
        <v>289662.56</v>
      </c>
      <c r="F1050" s="95">
        <v>0</v>
      </c>
      <c r="G1050" s="95">
        <v>288870.56</v>
      </c>
      <c r="H1050" s="95">
        <v>-288870.56</v>
      </c>
    </row>
    <row r="1051" spans="1:8" ht="19.8" customHeight="1" x14ac:dyDescent="0.3">
      <c r="A1051" s="98">
        <f t="shared" si="16"/>
        <v>11</v>
      </c>
      <c r="B1051" s="92" t="s">
        <v>2851</v>
      </c>
      <c r="C1051" s="92" t="s">
        <v>2852</v>
      </c>
      <c r="D1051" s="95">
        <v>0</v>
      </c>
      <c r="E1051" s="95">
        <v>1300</v>
      </c>
      <c r="F1051" s="95">
        <v>0</v>
      </c>
      <c r="G1051" s="95">
        <v>1300</v>
      </c>
      <c r="H1051" s="95">
        <v>-1300</v>
      </c>
    </row>
    <row r="1052" spans="1:8" ht="19.8" customHeight="1" x14ac:dyDescent="0.3">
      <c r="A1052" s="98">
        <f t="shared" si="16"/>
        <v>11</v>
      </c>
      <c r="B1052" s="92" t="s">
        <v>2853</v>
      </c>
      <c r="C1052" s="92" t="s">
        <v>2854</v>
      </c>
      <c r="D1052" s="95">
        <v>0</v>
      </c>
      <c r="E1052" s="95">
        <v>60000</v>
      </c>
      <c r="F1052" s="95">
        <v>0</v>
      </c>
      <c r="G1052" s="95">
        <v>60000</v>
      </c>
      <c r="H1052" s="95">
        <v>-60000</v>
      </c>
    </row>
    <row r="1053" spans="1:8" ht="19.8" customHeight="1" x14ac:dyDescent="0.3">
      <c r="A1053" s="98">
        <f t="shared" si="16"/>
        <v>11</v>
      </c>
      <c r="B1053" s="92" t="s">
        <v>2855</v>
      </c>
      <c r="C1053" s="92" t="s">
        <v>2856</v>
      </c>
      <c r="D1053" s="95">
        <v>0</v>
      </c>
      <c r="E1053" s="95">
        <v>22000</v>
      </c>
      <c r="F1053" s="95">
        <v>0</v>
      </c>
      <c r="G1053" s="95">
        <v>22000</v>
      </c>
      <c r="H1053" s="95">
        <v>-22000</v>
      </c>
    </row>
    <row r="1054" spans="1:8" ht="19.8" customHeight="1" x14ac:dyDescent="0.3">
      <c r="A1054" s="98">
        <f t="shared" si="16"/>
        <v>3</v>
      </c>
      <c r="B1054" s="92" t="s">
        <v>288</v>
      </c>
      <c r="C1054" s="92" t="s">
        <v>981</v>
      </c>
      <c r="D1054" s="95">
        <v>0</v>
      </c>
      <c r="E1054" s="95">
        <v>11484571.880000001</v>
      </c>
      <c r="F1054" s="95">
        <v>0</v>
      </c>
      <c r="G1054" s="95">
        <v>11484571.880000001</v>
      </c>
      <c r="H1054" s="95">
        <v>-11484571.880000001</v>
      </c>
    </row>
    <row r="1055" spans="1:8" ht="19.8" customHeight="1" x14ac:dyDescent="0.3">
      <c r="A1055" s="98">
        <f t="shared" si="16"/>
        <v>7</v>
      </c>
      <c r="B1055" s="92" t="s">
        <v>2857</v>
      </c>
      <c r="C1055" s="92" t="s">
        <v>981</v>
      </c>
      <c r="D1055" s="95">
        <v>0</v>
      </c>
      <c r="E1055" s="95">
        <v>11484571.880000001</v>
      </c>
      <c r="F1055" s="95">
        <v>0</v>
      </c>
      <c r="G1055" s="95">
        <v>11484571.880000001</v>
      </c>
      <c r="H1055" s="95">
        <v>-11484571.880000001</v>
      </c>
    </row>
    <row r="1056" spans="1:8" ht="19.8" customHeight="1" x14ac:dyDescent="0.3">
      <c r="A1056" s="98">
        <f t="shared" si="16"/>
        <v>11</v>
      </c>
      <c r="B1056" s="92" t="s">
        <v>2858</v>
      </c>
      <c r="C1056" s="92" t="s">
        <v>981</v>
      </c>
      <c r="D1056" s="95">
        <v>0</v>
      </c>
      <c r="E1056" s="95">
        <v>11111111.039999999</v>
      </c>
      <c r="F1056" s="95">
        <v>0</v>
      </c>
      <c r="G1056" s="95">
        <v>11111111.039999999</v>
      </c>
      <c r="H1056" s="95">
        <v>-11111111.039999999</v>
      </c>
    </row>
    <row r="1057" spans="1:8" ht="19.8" customHeight="1" x14ac:dyDescent="0.3">
      <c r="A1057" s="98">
        <f t="shared" si="16"/>
        <v>11</v>
      </c>
      <c r="B1057" s="92" t="s">
        <v>2859</v>
      </c>
      <c r="C1057" s="92" t="s">
        <v>2860</v>
      </c>
      <c r="D1057" s="95">
        <v>0</v>
      </c>
      <c r="E1057" s="95">
        <v>373460.84</v>
      </c>
      <c r="F1057" s="95">
        <v>0</v>
      </c>
      <c r="G1057" s="95">
        <v>373460.84</v>
      </c>
      <c r="H1057" s="95">
        <v>-373460.84</v>
      </c>
    </row>
    <row r="1058" spans="1:8" ht="19.8" customHeight="1" x14ac:dyDescent="0.3">
      <c r="A1058" s="98">
        <f t="shared" si="16"/>
        <v>3</v>
      </c>
      <c r="B1058" s="92" t="s">
        <v>222</v>
      </c>
      <c r="C1058" s="92" t="s">
        <v>344</v>
      </c>
      <c r="D1058" s="95">
        <v>49369919.039999999</v>
      </c>
      <c r="E1058" s="95">
        <v>114469919.04000001</v>
      </c>
      <c r="F1058" s="95">
        <v>0</v>
      </c>
      <c r="G1058" s="95">
        <v>65100000</v>
      </c>
      <c r="H1058" s="95">
        <v>-65100000</v>
      </c>
    </row>
    <row r="1059" spans="1:8" ht="19.8" customHeight="1" x14ac:dyDescent="0.3">
      <c r="A1059" s="98">
        <f t="shared" si="16"/>
        <v>7</v>
      </c>
      <c r="B1059" s="92" t="s">
        <v>2861</v>
      </c>
      <c r="C1059" s="92" t="s">
        <v>2862</v>
      </c>
      <c r="D1059" s="95">
        <v>49369919.039999999</v>
      </c>
      <c r="E1059" s="95">
        <v>60310314.039999999</v>
      </c>
      <c r="F1059" s="95">
        <v>0</v>
      </c>
      <c r="G1059" s="95">
        <v>10940395</v>
      </c>
      <c r="H1059" s="95">
        <v>-10940395</v>
      </c>
    </row>
    <row r="1060" spans="1:8" ht="19.8" customHeight="1" x14ac:dyDescent="0.3">
      <c r="A1060" s="98">
        <f t="shared" si="16"/>
        <v>11</v>
      </c>
      <c r="B1060" s="92" t="s">
        <v>2863</v>
      </c>
      <c r="C1060" s="92" t="s">
        <v>2864</v>
      </c>
      <c r="D1060" s="95">
        <v>0</v>
      </c>
      <c r="E1060" s="95">
        <v>10940395</v>
      </c>
      <c r="F1060" s="95">
        <v>0</v>
      </c>
      <c r="G1060" s="95">
        <v>10940395</v>
      </c>
      <c r="H1060" s="95">
        <v>-10940395</v>
      </c>
    </row>
    <row r="1061" spans="1:8" ht="19.8" customHeight="1" x14ac:dyDescent="0.3">
      <c r="A1061" s="98">
        <f t="shared" si="16"/>
        <v>11</v>
      </c>
      <c r="B1061" s="92" t="s">
        <v>2865</v>
      </c>
      <c r="C1061" s="92" t="s">
        <v>2866</v>
      </c>
      <c r="D1061" s="95">
        <v>49369919.039999999</v>
      </c>
      <c r="E1061" s="95">
        <v>49369919.039999999</v>
      </c>
      <c r="F1061" s="95">
        <v>0</v>
      </c>
      <c r="G1061" s="95">
        <v>0</v>
      </c>
      <c r="H1061" s="95">
        <v>0</v>
      </c>
    </row>
    <row r="1062" spans="1:8" ht="19.8" customHeight="1" x14ac:dyDescent="0.3">
      <c r="A1062" s="98">
        <f t="shared" si="16"/>
        <v>7</v>
      </c>
      <c r="B1062" s="92" t="s">
        <v>2867</v>
      </c>
      <c r="C1062" s="92" t="s">
        <v>2868</v>
      </c>
      <c r="D1062" s="95">
        <v>0</v>
      </c>
      <c r="E1062" s="95">
        <v>2079605</v>
      </c>
      <c r="F1062" s="95">
        <v>0</v>
      </c>
      <c r="G1062" s="95">
        <v>2079605</v>
      </c>
      <c r="H1062" s="95">
        <v>-2079605</v>
      </c>
    </row>
    <row r="1063" spans="1:8" ht="19.8" customHeight="1" x14ac:dyDescent="0.3">
      <c r="A1063" s="98">
        <f t="shared" si="16"/>
        <v>11</v>
      </c>
      <c r="B1063" s="92" t="s">
        <v>2869</v>
      </c>
      <c r="C1063" s="92" t="s">
        <v>2864</v>
      </c>
      <c r="D1063" s="95">
        <v>0</v>
      </c>
      <c r="E1063" s="95">
        <v>2079605</v>
      </c>
      <c r="F1063" s="95">
        <v>0</v>
      </c>
      <c r="G1063" s="95">
        <v>2079605</v>
      </c>
      <c r="H1063" s="95">
        <v>-2079605</v>
      </c>
    </row>
    <row r="1064" spans="1:8" ht="19.8" customHeight="1" x14ac:dyDescent="0.3">
      <c r="A1064" s="98">
        <f t="shared" si="16"/>
        <v>7</v>
      </c>
      <c r="B1064" s="92" t="s">
        <v>2870</v>
      </c>
      <c r="C1064" s="92" t="s">
        <v>2871</v>
      </c>
      <c r="D1064" s="95">
        <v>0</v>
      </c>
      <c r="E1064" s="95">
        <v>52080000</v>
      </c>
      <c r="F1064" s="95">
        <v>0</v>
      </c>
      <c r="G1064" s="95">
        <v>52080000</v>
      </c>
      <c r="H1064" s="95">
        <v>-52080000</v>
      </c>
    </row>
    <row r="1065" spans="1:8" ht="19.8" customHeight="1" x14ac:dyDescent="0.3">
      <c r="A1065" s="98">
        <f t="shared" si="16"/>
        <v>11</v>
      </c>
      <c r="B1065" s="92" t="s">
        <v>2872</v>
      </c>
      <c r="C1065" s="92" t="s">
        <v>2864</v>
      </c>
      <c r="D1065" s="95">
        <v>0</v>
      </c>
      <c r="E1065" s="95">
        <v>49281540</v>
      </c>
      <c r="F1065" s="95">
        <v>0</v>
      </c>
      <c r="G1065" s="95">
        <v>49281540</v>
      </c>
      <c r="H1065" s="95">
        <v>-49281540</v>
      </c>
    </row>
    <row r="1066" spans="1:8" ht="19.8" customHeight="1" x14ac:dyDescent="0.3">
      <c r="A1066" s="98">
        <f t="shared" si="16"/>
        <v>11</v>
      </c>
      <c r="B1066" s="92" t="s">
        <v>2873</v>
      </c>
      <c r="C1066" s="92" t="s">
        <v>2874</v>
      </c>
      <c r="D1066" s="95">
        <v>0</v>
      </c>
      <c r="E1066" s="95">
        <v>682584</v>
      </c>
      <c r="F1066" s="95">
        <v>0</v>
      </c>
      <c r="G1066" s="95">
        <v>682584</v>
      </c>
      <c r="H1066" s="95">
        <v>-682584</v>
      </c>
    </row>
    <row r="1067" spans="1:8" ht="19.8" customHeight="1" x14ac:dyDescent="0.3">
      <c r="A1067" s="98">
        <f t="shared" si="16"/>
        <v>11</v>
      </c>
      <c r="B1067" s="92" t="s">
        <v>2875</v>
      </c>
      <c r="C1067" s="92" t="s">
        <v>2876</v>
      </c>
      <c r="D1067" s="95">
        <v>0</v>
      </c>
      <c r="E1067" s="95">
        <v>702996</v>
      </c>
      <c r="F1067" s="95">
        <v>0</v>
      </c>
      <c r="G1067" s="95">
        <v>702996</v>
      </c>
      <c r="H1067" s="95">
        <v>-702996</v>
      </c>
    </row>
    <row r="1068" spans="1:8" ht="19.8" customHeight="1" x14ac:dyDescent="0.3">
      <c r="A1068" s="98">
        <f t="shared" si="16"/>
        <v>11</v>
      </c>
      <c r="B1068" s="92" t="s">
        <v>2877</v>
      </c>
      <c r="C1068" s="92" t="s">
        <v>2878</v>
      </c>
      <c r="D1068" s="95">
        <v>0</v>
      </c>
      <c r="E1068" s="95">
        <v>159474</v>
      </c>
      <c r="F1068" s="95">
        <v>0</v>
      </c>
      <c r="G1068" s="95">
        <v>159474</v>
      </c>
      <c r="H1068" s="95">
        <v>-159474</v>
      </c>
    </row>
    <row r="1069" spans="1:8" ht="19.8" customHeight="1" x14ac:dyDescent="0.3">
      <c r="A1069" s="98">
        <f t="shared" si="16"/>
        <v>11</v>
      </c>
      <c r="B1069" s="92" t="s">
        <v>2879</v>
      </c>
      <c r="C1069" s="92" t="s">
        <v>2880</v>
      </c>
      <c r="D1069" s="95">
        <v>0</v>
      </c>
      <c r="E1069" s="95">
        <v>189084</v>
      </c>
      <c r="F1069" s="95">
        <v>0</v>
      </c>
      <c r="G1069" s="95">
        <v>189084</v>
      </c>
      <c r="H1069" s="95">
        <v>-189084</v>
      </c>
    </row>
    <row r="1070" spans="1:8" ht="19.8" customHeight="1" x14ac:dyDescent="0.3">
      <c r="A1070" s="98">
        <f t="shared" si="16"/>
        <v>11</v>
      </c>
      <c r="B1070" s="92" t="s">
        <v>2881</v>
      </c>
      <c r="C1070" s="92" t="s">
        <v>2882</v>
      </c>
      <c r="D1070" s="95">
        <v>0</v>
      </c>
      <c r="E1070" s="95">
        <v>52080</v>
      </c>
      <c r="F1070" s="95">
        <v>0</v>
      </c>
      <c r="G1070" s="95">
        <v>52080</v>
      </c>
      <c r="H1070" s="95">
        <v>-52080</v>
      </c>
    </row>
    <row r="1071" spans="1:8" ht="19.8" customHeight="1" x14ac:dyDescent="0.3">
      <c r="A1071" s="98">
        <f t="shared" si="16"/>
        <v>11</v>
      </c>
      <c r="B1071" s="92" t="s">
        <v>2883</v>
      </c>
      <c r="C1071" s="92" t="s">
        <v>2884</v>
      </c>
      <c r="D1071" s="95">
        <v>0</v>
      </c>
      <c r="E1071" s="95">
        <v>88872</v>
      </c>
      <c r="F1071" s="95">
        <v>0</v>
      </c>
      <c r="G1071" s="95">
        <v>88872</v>
      </c>
      <c r="H1071" s="95">
        <v>-88872</v>
      </c>
    </row>
    <row r="1072" spans="1:8" ht="19.8" customHeight="1" x14ac:dyDescent="0.3">
      <c r="A1072" s="98">
        <f t="shared" si="16"/>
        <v>11</v>
      </c>
      <c r="B1072" s="92" t="s">
        <v>2885</v>
      </c>
      <c r="C1072" s="92" t="s">
        <v>2886</v>
      </c>
      <c r="D1072" s="95">
        <v>0</v>
      </c>
      <c r="E1072" s="95">
        <v>37002</v>
      </c>
      <c r="F1072" s="95">
        <v>0</v>
      </c>
      <c r="G1072" s="95">
        <v>37002</v>
      </c>
      <c r="H1072" s="95">
        <v>-37002</v>
      </c>
    </row>
    <row r="1073" spans="1:8" ht="19.8" customHeight="1" x14ac:dyDescent="0.3">
      <c r="A1073" s="98">
        <f t="shared" si="16"/>
        <v>11</v>
      </c>
      <c r="B1073" s="92" t="s">
        <v>2887</v>
      </c>
      <c r="C1073" s="92" t="s">
        <v>2888</v>
      </c>
      <c r="D1073" s="95">
        <v>0</v>
      </c>
      <c r="E1073" s="95">
        <v>37002</v>
      </c>
      <c r="F1073" s="95">
        <v>0</v>
      </c>
      <c r="G1073" s="95">
        <v>37002</v>
      </c>
      <c r="H1073" s="95">
        <v>-37002</v>
      </c>
    </row>
    <row r="1074" spans="1:8" ht="19.8" customHeight="1" x14ac:dyDescent="0.3">
      <c r="A1074" s="98">
        <f t="shared" si="16"/>
        <v>11</v>
      </c>
      <c r="B1074" s="92" t="s">
        <v>2889</v>
      </c>
      <c r="C1074" s="92" t="s">
        <v>2890</v>
      </c>
      <c r="D1074" s="95">
        <v>0</v>
      </c>
      <c r="E1074" s="95">
        <v>22218</v>
      </c>
      <c r="F1074" s="95">
        <v>0</v>
      </c>
      <c r="G1074" s="95">
        <v>22218</v>
      </c>
      <c r="H1074" s="95">
        <v>-22218</v>
      </c>
    </row>
    <row r="1075" spans="1:8" ht="19.8" customHeight="1" x14ac:dyDescent="0.3">
      <c r="A1075" s="98">
        <f t="shared" si="16"/>
        <v>11</v>
      </c>
      <c r="B1075" s="92" t="s">
        <v>2891</v>
      </c>
      <c r="C1075" s="92" t="s">
        <v>2892</v>
      </c>
      <c r="D1075" s="95">
        <v>0</v>
      </c>
      <c r="E1075" s="95">
        <v>7392</v>
      </c>
      <c r="F1075" s="95">
        <v>0</v>
      </c>
      <c r="G1075" s="95">
        <v>7392</v>
      </c>
      <c r="H1075" s="95">
        <v>-7392</v>
      </c>
    </row>
    <row r="1076" spans="1:8" ht="19.8" customHeight="1" x14ac:dyDescent="0.3">
      <c r="A1076" s="98">
        <f t="shared" si="16"/>
        <v>11</v>
      </c>
      <c r="B1076" s="92" t="s">
        <v>2893</v>
      </c>
      <c r="C1076" s="92" t="s">
        <v>2894</v>
      </c>
      <c r="D1076" s="95">
        <v>0</v>
      </c>
      <c r="E1076" s="95">
        <v>7392</v>
      </c>
      <c r="F1076" s="95">
        <v>0</v>
      </c>
      <c r="G1076" s="95">
        <v>7392</v>
      </c>
      <c r="H1076" s="95">
        <v>-7392</v>
      </c>
    </row>
    <row r="1077" spans="1:8" ht="19.8" customHeight="1" x14ac:dyDescent="0.3">
      <c r="A1077" s="98">
        <f t="shared" si="16"/>
        <v>11</v>
      </c>
      <c r="B1077" s="92" t="s">
        <v>2895</v>
      </c>
      <c r="C1077" s="92" t="s">
        <v>2896</v>
      </c>
      <c r="D1077" s="95">
        <v>0</v>
      </c>
      <c r="E1077" s="95">
        <v>7392</v>
      </c>
      <c r="F1077" s="95">
        <v>0</v>
      </c>
      <c r="G1077" s="95">
        <v>7392</v>
      </c>
      <c r="H1077" s="95">
        <v>-7392</v>
      </c>
    </row>
    <row r="1078" spans="1:8" ht="19.8" customHeight="1" x14ac:dyDescent="0.3">
      <c r="A1078" s="98">
        <f t="shared" si="16"/>
        <v>11</v>
      </c>
      <c r="B1078" s="92" t="s">
        <v>2897</v>
      </c>
      <c r="C1078" s="92" t="s">
        <v>2898</v>
      </c>
      <c r="D1078" s="95">
        <v>0</v>
      </c>
      <c r="E1078" s="95">
        <v>88872</v>
      </c>
      <c r="F1078" s="95">
        <v>0</v>
      </c>
      <c r="G1078" s="95">
        <v>88872</v>
      </c>
      <c r="H1078" s="95">
        <v>-88872</v>
      </c>
    </row>
    <row r="1079" spans="1:8" ht="19.8" customHeight="1" x14ac:dyDescent="0.3">
      <c r="A1079" s="98">
        <f t="shared" si="16"/>
        <v>11</v>
      </c>
      <c r="B1079" s="92" t="s">
        <v>2899</v>
      </c>
      <c r="C1079" s="92" t="s">
        <v>2900</v>
      </c>
      <c r="D1079" s="95">
        <v>0</v>
      </c>
      <c r="E1079" s="95">
        <v>716100</v>
      </c>
      <c r="F1079" s="95">
        <v>0</v>
      </c>
      <c r="G1079" s="95">
        <v>716100</v>
      </c>
      <c r="H1079" s="95">
        <v>-716100</v>
      </c>
    </row>
    <row r="1080" spans="1:8" ht="19.8" customHeight="1" x14ac:dyDescent="0.3">
      <c r="A1080" s="98">
        <f t="shared" si="16"/>
        <v>3</v>
      </c>
      <c r="B1080" s="92" t="s">
        <v>290</v>
      </c>
      <c r="C1080" s="92" t="s">
        <v>990</v>
      </c>
      <c r="D1080" s="95">
        <v>0</v>
      </c>
      <c r="E1080" s="95">
        <v>71683742.650000006</v>
      </c>
      <c r="F1080" s="95">
        <v>0</v>
      </c>
      <c r="G1080" s="95">
        <v>71683742.650000006</v>
      </c>
      <c r="H1080" s="95">
        <v>-71683742.650000006</v>
      </c>
    </row>
    <row r="1081" spans="1:8" ht="19.8" customHeight="1" x14ac:dyDescent="0.3">
      <c r="A1081" s="98">
        <f t="shared" si="16"/>
        <v>7</v>
      </c>
      <c r="B1081" s="92" t="s">
        <v>2901</v>
      </c>
      <c r="C1081" s="92" t="s">
        <v>990</v>
      </c>
      <c r="D1081" s="95">
        <v>0</v>
      </c>
      <c r="E1081" s="95">
        <v>71683742.650000006</v>
      </c>
      <c r="F1081" s="95">
        <v>0</v>
      </c>
      <c r="G1081" s="95">
        <v>71683742.650000006</v>
      </c>
      <c r="H1081" s="95">
        <v>-71683742.650000006</v>
      </c>
    </row>
    <row r="1082" spans="1:8" ht="19.8" customHeight="1" x14ac:dyDescent="0.3">
      <c r="A1082" s="98">
        <f t="shared" si="16"/>
        <v>11</v>
      </c>
      <c r="B1082" s="92" t="s">
        <v>2902</v>
      </c>
      <c r="C1082" s="92" t="s">
        <v>2903</v>
      </c>
      <c r="D1082" s="95">
        <v>0</v>
      </c>
      <c r="E1082" s="95">
        <v>71683742.650000006</v>
      </c>
      <c r="F1082" s="95">
        <v>0</v>
      </c>
      <c r="G1082" s="95">
        <v>71683742.650000006</v>
      </c>
      <c r="H1082" s="95">
        <v>-71683742.650000006</v>
      </c>
    </row>
    <row r="1083" spans="1:8" ht="19.8" customHeight="1" x14ac:dyDescent="0.3">
      <c r="A1083" s="98">
        <f t="shared" si="16"/>
        <v>3</v>
      </c>
      <c r="B1083" s="92" t="s">
        <v>223</v>
      </c>
      <c r="C1083" s="92" t="s">
        <v>345</v>
      </c>
      <c r="D1083" s="95">
        <v>0</v>
      </c>
      <c r="E1083" s="95">
        <v>58417931.590000004</v>
      </c>
      <c r="F1083" s="95">
        <v>0</v>
      </c>
      <c r="G1083" s="95">
        <v>58417931.590000004</v>
      </c>
      <c r="H1083" s="95">
        <v>-58417931.590000004</v>
      </c>
    </row>
    <row r="1084" spans="1:8" ht="19.8" customHeight="1" x14ac:dyDescent="0.3">
      <c r="A1084" s="98">
        <f t="shared" si="16"/>
        <v>7</v>
      </c>
      <c r="B1084" s="92" t="s">
        <v>2904</v>
      </c>
      <c r="C1084" s="92" t="s">
        <v>345</v>
      </c>
      <c r="D1084" s="95">
        <v>0</v>
      </c>
      <c r="E1084" s="95">
        <v>58417931.590000004</v>
      </c>
      <c r="F1084" s="95">
        <v>0</v>
      </c>
      <c r="G1084" s="95">
        <v>58417931.590000004</v>
      </c>
      <c r="H1084" s="95">
        <v>-58417931.590000004</v>
      </c>
    </row>
    <row r="1085" spans="1:8" ht="19.8" customHeight="1" x14ac:dyDescent="0.3">
      <c r="A1085" s="98">
        <f t="shared" si="16"/>
        <v>11</v>
      </c>
      <c r="B1085" s="92" t="s">
        <v>2905</v>
      </c>
      <c r="C1085" s="92" t="s">
        <v>2906</v>
      </c>
      <c r="D1085" s="95">
        <v>0</v>
      </c>
      <c r="E1085" s="95">
        <v>8981306.9000000004</v>
      </c>
      <c r="F1085" s="95">
        <v>0</v>
      </c>
      <c r="G1085" s="95">
        <v>8981306.9000000004</v>
      </c>
      <c r="H1085" s="95">
        <v>-8981306.9000000004</v>
      </c>
    </row>
    <row r="1086" spans="1:8" ht="19.8" customHeight="1" x14ac:dyDescent="0.3">
      <c r="A1086" s="98">
        <f t="shared" si="16"/>
        <v>11</v>
      </c>
      <c r="B1086" s="92" t="s">
        <v>2907</v>
      </c>
      <c r="C1086" s="92" t="s">
        <v>2908</v>
      </c>
      <c r="D1086" s="95">
        <v>0</v>
      </c>
      <c r="E1086" s="95">
        <v>16302549.9</v>
      </c>
      <c r="F1086" s="95">
        <v>0</v>
      </c>
      <c r="G1086" s="95">
        <v>16302549.9</v>
      </c>
      <c r="H1086" s="95">
        <v>-16302549.9</v>
      </c>
    </row>
    <row r="1087" spans="1:8" ht="19.8" customHeight="1" x14ac:dyDescent="0.3">
      <c r="A1087" s="98">
        <f t="shared" si="16"/>
        <v>11</v>
      </c>
      <c r="B1087" s="92" t="s">
        <v>2909</v>
      </c>
      <c r="C1087" s="92" t="s">
        <v>2910</v>
      </c>
      <c r="D1087" s="95">
        <v>0</v>
      </c>
      <c r="E1087" s="95">
        <v>33134074.789999999</v>
      </c>
      <c r="F1087" s="95">
        <v>0</v>
      </c>
      <c r="G1087" s="95">
        <v>33134074.789999999</v>
      </c>
      <c r="H1087" s="95">
        <v>-33134074.789999999</v>
      </c>
    </row>
    <row r="1088" spans="1:8" ht="19.8" customHeight="1" x14ac:dyDescent="0.3">
      <c r="A1088" s="98">
        <f t="shared" si="16"/>
        <v>3</v>
      </c>
      <c r="B1088" s="92" t="s">
        <v>292</v>
      </c>
      <c r="C1088" s="92" t="s">
        <v>346</v>
      </c>
      <c r="D1088" s="95">
        <v>0</v>
      </c>
      <c r="E1088" s="95">
        <v>5880162.1399999997</v>
      </c>
      <c r="F1088" s="95">
        <v>0</v>
      </c>
      <c r="G1088" s="95">
        <v>5880162.1399999997</v>
      </c>
      <c r="H1088" s="95">
        <v>-5880162.1399999997</v>
      </c>
    </row>
    <row r="1089" spans="1:8" ht="19.8" customHeight="1" x14ac:dyDescent="0.3">
      <c r="A1089" s="98">
        <f t="shared" si="16"/>
        <v>7</v>
      </c>
      <c r="B1089" s="92" t="s">
        <v>2911</v>
      </c>
      <c r="C1089" s="92" t="s">
        <v>346</v>
      </c>
      <c r="D1089" s="95">
        <v>0</v>
      </c>
      <c r="E1089" s="95">
        <v>5880162.1399999997</v>
      </c>
      <c r="F1089" s="95">
        <v>0</v>
      </c>
      <c r="G1089" s="95">
        <v>5880162.1399999997</v>
      </c>
      <c r="H1089" s="95">
        <v>-5880162.1399999997</v>
      </c>
    </row>
    <row r="1090" spans="1:8" ht="19.8" customHeight="1" x14ac:dyDescent="0.3">
      <c r="A1090" s="98">
        <f t="shared" si="16"/>
        <v>11</v>
      </c>
      <c r="B1090" s="92" t="s">
        <v>2912</v>
      </c>
      <c r="C1090" s="92" t="s">
        <v>2913</v>
      </c>
      <c r="D1090" s="95">
        <v>0</v>
      </c>
      <c r="E1090" s="95">
        <v>562500</v>
      </c>
      <c r="F1090" s="95">
        <v>0</v>
      </c>
      <c r="G1090" s="95">
        <v>562500</v>
      </c>
      <c r="H1090" s="95">
        <v>-562500</v>
      </c>
    </row>
    <row r="1091" spans="1:8" ht="19.8" customHeight="1" x14ac:dyDescent="0.3">
      <c r="A1091" s="98">
        <f t="shared" ref="A1091:A1154" si="17">+LEN(B1091)</f>
        <v>11</v>
      </c>
      <c r="B1091" s="92" t="s">
        <v>2914</v>
      </c>
      <c r="C1091" s="92" t="s">
        <v>2915</v>
      </c>
      <c r="D1091" s="95">
        <v>0</v>
      </c>
      <c r="E1091" s="95">
        <v>5317662.1399999997</v>
      </c>
      <c r="F1091" s="95">
        <v>0</v>
      </c>
      <c r="G1091" s="95">
        <v>5317662.1399999997</v>
      </c>
      <c r="H1091" s="95">
        <v>-5317662.1399999997</v>
      </c>
    </row>
    <row r="1092" spans="1:8" ht="19.8" customHeight="1" x14ac:dyDescent="0.3">
      <c r="A1092" s="98">
        <f t="shared" si="17"/>
        <v>3</v>
      </c>
      <c r="B1092" s="92" t="s">
        <v>224</v>
      </c>
      <c r="C1092" s="92" t="s">
        <v>347</v>
      </c>
      <c r="D1092" s="95">
        <v>6900000</v>
      </c>
      <c r="E1092" s="95">
        <v>1023196613.9299999</v>
      </c>
      <c r="F1092" s="95">
        <v>0</v>
      </c>
      <c r="G1092" s="95">
        <v>1016296613.9299999</v>
      </c>
      <c r="H1092" s="95">
        <v>-1016296613.9299999</v>
      </c>
    </row>
    <row r="1093" spans="1:8" ht="19.8" customHeight="1" x14ac:dyDescent="0.3">
      <c r="A1093" s="98">
        <f t="shared" si="17"/>
        <v>7</v>
      </c>
      <c r="B1093" s="92" t="s">
        <v>2916</v>
      </c>
      <c r="C1093" s="92" t="s">
        <v>347</v>
      </c>
      <c r="D1093" s="95">
        <v>6900000</v>
      </c>
      <c r="E1093" s="95">
        <v>1023196613.9299999</v>
      </c>
      <c r="F1093" s="95">
        <v>0</v>
      </c>
      <c r="G1093" s="95">
        <v>1016296613.9299999</v>
      </c>
      <c r="H1093" s="95">
        <v>-1016296613.9299999</v>
      </c>
    </row>
    <row r="1094" spans="1:8" ht="19.8" customHeight="1" x14ac:dyDescent="0.3">
      <c r="A1094" s="98">
        <f t="shared" si="17"/>
        <v>11</v>
      </c>
      <c r="B1094" s="92" t="s">
        <v>2917</v>
      </c>
      <c r="C1094" s="92" t="s">
        <v>347</v>
      </c>
      <c r="D1094" s="95">
        <v>6900000</v>
      </c>
      <c r="E1094" s="95">
        <v>506872726.10000002</v>
      </c>
      <c r="F1094" s="95">
        <v>0</v>
      </c>
      <c r="G1094" s="95">
        <v>499972726.10000002</v>
      </c>
      <c r="H1094" s="95">
        <v>-499972726.10000002</v>
      </c>
    </row>
    <row r="1095" spans="1:8" ht="19.8" customHeight="1" x14ac:dyDescent="0.3">
      <c r="A1095" s="98">
        <f t="shared" si="17"/>
        <v>11</v>
      </c>
      <c r="B1095" s="92" t="s">
        <v>2918</v>
      </c>
      <c r="C1095" s="92" t="s">
        <v>2919</v>
      </c>
      <c r="D1095" s="95">
        <v>0</v>
      </c>
      <c r="E1095" s="95">
        <v>516323887.82999998</v>
      </c>
      <c r="F1095" s="95">
        <v>0</v>
      </c>
      <c r="G1095" s="95">
        <v>516323887.82999998</v>
      </c>
      <c r="H1095" s="95">
        <v>-516323887.82999998</v>
      </c>
    </row>
    <row r="1096" spans="1:8" ht="19.8" customHeight="1" x14ac:dyDescent="0.3">
      <c r="A1096" s="98">
        <f t="shared" si="17"/>
        <v>3</v>
      </c>
      <c r="B1096" s="92" t="s">
        <v>166</v>
      </c>
      <c r="C1096" s="92" t="s">
        <v>348</v>
      </c>
      <c r="D1096" s="95">
        <v>962766.97</v>
      </c>
      <c r="E1096" s="95">
        <v>2194454961.8200002</v>
      </c>
      <c r="F1096" s="95">
        <v>0</v>
      </c>
      <c r="G1096" s="95">
        <v>2193492194.8499999</v>
      </c>
      <c r="H1096" s="95">
        <v>-2193492194.8499999</v>
      </c>
    </row>
    <row r="1097" spans="1:8" ht="19.8" customHeight="1" x14ac:dyDescent="0.3">
      <c r="A1097" s="98">
        <f t="shared" si="17"/>
        <v>7</v>
      </c>
      <c r="B1097" s="92" t="s">
        <v>2920</v>
      </c>
      <c r="C1097" s="92" t="s">
        <v>2921</v>
      </c>
      <c r="D1097" s="95">
        <v>0</v>
      </c>
      <c r="E1097" s="95">
        <v>2254657.85</v>
      </c>
      <c r="F1097" s="95">
        <v>0</v>
      </c>
      <c r="G1097" s="95">
        <v>2254657.85</v>
      </c>
      <c r="H1097" s="95">
        <v>-2254657.85</v>
      </c>
    </row>
    <row r="1098" spans="1:8" ht="19.8" customHeight="1" x14ac:dyDescent="0.3">
      <c r="A1098" s="98">
        <f t="shared" si="17"/>
        <v>11</v>
      </c>
      <c r="B1098" s="92" t="s">
        <v>441</v>
      </c>
      <c r="C1098" s="92" t="s">
        <v>442</v>
      </c>
      <c r="D1098" s="95">
        <v>0</v>
      </c>
      <c r="E1098" s="95">
        <v>1943987.2</v>
      </c>
      <c r="F1098" s="95">
        <v>0</v>
      </c>
      <c r="G1098" s="95">
        <v>1943987.2</v>
      </c>
      <c r="H1098" s="95">
        <v>-1943987.2</v>
      </c>
    </row>
    <row r="1099" spans="1:8" ht="19.8" customHeight="1" x14ac:dyDescent="0.3">
      <c r="A1099" s="98">
        <f t="shared" si="17"/>
        <v>11</v>
      </c>
      <c r="B1099" s="92" t="s">
        <v>968</v>
      </c>
      <c r="C1099" s="92" t="s">
        <v>445</v>
      </c>
      <c r="D1099" s="95">
        <v>0</v>
      </c>
      <c r="E1099" s="95">
        <v>504.31</v>
      </c>
      <c r="F1099" s="95">
        <v>0</v>
      </c>
      <c r="G1099" s="95">
        <v>504.31</v>
      </c>
      <c r="H1099" s="95">
        <v>-504.31</v>
      </c>
    </row>
    <row r="1100" spans="1:8" ht="19.8" customHeight="1" x14ac:dyDescent="0.3">
      <c r="A1100" s="98">
        <f t="shared" si="17"/>
        <v>11</v>
      </c>
      <c r="B1100" s="92" t="s">
        <v>969</v>
      </c>
      <c r="C1100" s="92" t="s">
        <v>447</v>
      </c>
      <c r="D1100" s="95">
        <v>0</v>
      </c>
      <c r="E1100" s="95">
        <v>306981.62</v>
      </c>
      <c r="F1100" s="95">
        <v>0</v>
      </c>
      <c r="G1100" s="95">
        <v>306981.62</v>
      </c>
      <c r="H1100" s="95">
        <v>-306981.62</v>
      </c>
    </row>
    <row r="1101" spans="1:8" ht="19.8" customHeight="1" x14ac:dyDescent="0.3">
      <c r="A1101" s="98">
        <f t="shared" si="17"/>
        <v>11</v>
      </c>
      <c r="B1101" s="92" t="s">
        <v>970</v>
      </c>
      <c r="C1101" s="92" t="s">
        <v>971</v>
      </c>
      <c r="D1101" s="95">
        <v>0</v>
      </c>
      <c r="E1101" s="95">
        <v>3184.72</v>
      </c>
      <c r="F1101" s="95">
        <v>0</v>
      </c>
      <c r="G1101" s="95">
        <v>3184.72</v>
      </c>
      <c r="H1101" s="95">
        <v>-3184.72</v>
      </c>
    </row>
    <row r="1102" spans="1:8" ht="19.8" customHeight="1" x14ac:dyDescent="0.3">
      <c r="A1102" s="98">
        <f t="shared" si="17"/>
        <v>7</v>
      </c>
      <c r="B1102" s="92" t="s">
        <v>2922</v>
      </c>
      <c r="C1102" s="92" t="s">
        <v>2923</v>
      </c>
      <c r="D1102" s="95">
        <v>0</v>
      </c>
      <c r="E1102" s="95">
        <v>1303936470.95</v>
      </c>
      <c r="F1102" s="95">
        <v>0</v>
      </c>
      <c r="G1102" s="95">
        <v>1303936470.95</v>
      </c>
      <c r="H1102" s="95">
        <v>-1303936470.95</v>
      </c>
    </row>
    <row r="1103" spans="1:8" ht="19.8" customHeight="1" x14ac:dyDescent="0.3">
      <c r="A1103" s="98">
        <f t="shared" si="17"/>
        <v>11</v>
      </c>
      <c r="B1103" s="92" t="s">
        <v>443</v>
      </c>
      <c r="C1103" s="92" t="s">
        <v>442</v>
      </c>
      <c r="D1103" s="95">
        <v>0</v>
      </c>
      <c r="E1103" s="95">
        <v>1168742734.8499999</v>
      </c>
      <c r="F1103" s="95">
        <v>0</v>
      </c>
      <c r="G1103" s="95">
        <v>1168742734.8499999</v>
      </c>
      <c r="H1103" s="95">
        <v>-1168742734.8499999</v>
      </c>
    </row>
    <row r="1104" spans="1:8" ht="19.8" customHeight="1" x14ac:dyDescent="0.3">
      <c r="A1104" s="98">
        <f t="shared" si="17"/>
        <v>11</v>
      </c>
      <c r="B1104" s="92" t="s">
        <v>444</v>
      </c>
      <c r="C1104" s="92" t="s">
        <v>445</v>
      </c>
      <c r="D1104" s="95">
        <v>0</v>
      </c>
      <c r="E1104" s="95">
        <v>7508206.7000000002</v>
      </c>
      <c r="F1104" s="95">
        <v>0</v>
      </c>
      <c r="G1104" s="95">
        <v>7508206.7000000002</v>
      </c>
      <c r="H1104" s="95">
        <v>-7508206.7000000002</v>
      </c>
    </row>
    <row r="1105" spans="1:8" ht="19.8" customHeight="1" x14ac:dyDescent="0.3">
      <c r="A1105" s="98">
        <f t="shared" si="17"/>
        <v>11</v>
      </c>
      <c r="B1105" s="92" t="s">
        <v>446</v>
      </c>
      <c r="C1105" s="92" t="s">
        <v>447</v>
      </c>
      <c r="D1105" s="95">
        <v>0</v>
      </c>
      <c r="E1105" s="95">
        <v>127685529.40000001</v>
      </c>
      <c r="F1105" s="95">
        <v>0</v>
      </c>
      <c r="G1105" s="95">
        <v>127685529.40000001</v>
      </c>
      <c r="H1105" s="95">
        <v>-127685529.40000001</v>
      </c>
    </row>
    <row r="1106" spans="1:8" ht="19.8" customHeight="1" x14ac:dyDescent="0.3">
      <c r="A1106" s="98">
        <f t="shared" si="17"/>
        <v>7</v>
      </c>
      <c r="B1106" s="92" t="s">
        <v>448</v>
      </c>
      <c r="C1106" s="92" t="s">
        <v>2924</v>
      </c>
      <c r="D1106" s="95">
        <v>962766.97</v>
      </c>
      <c r="E1106" s="95">
        <v>556669600</v>
      </c>
      <c r="F1106" s="95">
        <v>0</v>
      </c>
      <c r="G1106" s="95">
        <v>555706833.02999997</v>
      </c>
      <c r="H1106" s="95">
        <v>-555706833.02999997</v>
      </c>
    </row>
    <row r="1107" spans="1:8" ht="19.8" customHeight="1" x14ac:dyDescent="0.3">
      <c r="A1107" s="98">
        <f t="shared" si="17"/>
        <v>11</v>
      </c>
      <c r="B1107" s="92" t="s">
        <v>2925</v>
      </c>
      <c r="C1107" s="92" t="s">
        <v>2926</v>
      </c>
      <c r="D1107" s="95">
        <v>29621.63</v>
      </c>
      <c r="E1107" s="95">
        <v>23484741.210000001</v>
      </c>
      <c r="F1107" s="95">
        <v>0</v>
      </c>
      <c r="G1107" s="95">
        <v>23455119.579999998</v>
      </c>
      <c r="H1107" s="95">
        <v>-23455119.579999998</v>
      </c>
    </row>
    <row r="1108" spans="1:8" ht="19.8" customHeight="1" x14ac:dyDescent="0.3">
      <c r="A1108" s="98">
        <f t="shared" si="17"/>
        <v>11</v>
      </c>
      <c r="B1108" s="92" t="s">
        <v>2927</v>
      </c>
      <c r="C1108" s="92" t="s">
        <v>2928</v>
      </c>
      <c r="D1108" s="95">
        <v>0</v>
      </c>
      <c r="E1108" s="95">
        <v>10313.799999999999</v>
      </c>
      <c r="F1108" s="95">
        <v>0</v>
      </c>
      <c r="G1108" s="95">
        <v>10313.799999999999</v>
      </c>
      <c r="H1108" s="95">
        <v>-10313.799999999999</v>
      </c>
    </row>
    <row r="1109" spans="1:8" ht="19.8" customHeight="1" x14ac:dyDescent="0.3">
      <c r="A1109" s="98">
        <f t="shared" si="17"/>
        <v>11</v>
      </c>
      <c r="B1109" s="92" t="s">
        <v>2929</v>
      </c>
      <c r="C1109" s="92" t="s">
        <v>2930</v>
      </c>
      <c r="D1109" s="95">
        <v>0</v>
      </c>
      <c r="E1109" s="95">
        <v>6271.15</v>
      </c>
      <c r="F1109" s="95">
        <v>0</v>
      </c>
      <c r="G1109" s="95">
        <v>6271.15</v>
      </c>
      <c r="H1109" s="95">
        <v>-6271.15</v>
      </c>
    </row>
    <row r="1110" spans="1:8" ht="19.8" customHeight="1" x14ac:dyDescent="0.3">
      <c r="A1110" s="98">
        <f t="shared" si="17"/>
        <v>11</v>
      </c>
      <c r="B1110" s="92" t="s">
        <v>2931</v>
      </c>
      <c r="C1110" s="92" t="s">
        <v>2932</v>
      </c>
      <c r="D1110" s="95">
        <v>12461.95</v>
      </c>
      <c r="E1110" s="95">
        <v>7068469.96</v>
      </c>
      <c r="F1110" s="95">
        <v>0</v>
      </c>
      <c r="G1110" s="95">
        <v>7056008.0099999998</v>
      </c>
      <c r="H1110" s="95">
        <v>-7056008.0099999998</v>
      </c>
    </row>
    <row r="1111" spans="1:8" ht="19.8" customHeight="1" x14ac:dyDescent="0.3">
      <c r="A1111" s="98">
        <f t="shared" si="17"/>
        <v>11</v>
      </c>
      <c r="B1111" s="92" t="s">
        <v>2933</v>
      </c>
      <c r="C1111" s="92" t="s">
        <v>2934</v>
      </c>
      <c r="D1111" s="95">
        <v>0</v>
      </c>
      <c r="E1111" s="95">
        <v>14201.39</v>
      </c>
      <c r="F1111" s="95">
        <v>0</v>
      </c>
      <c r="G1111" s="95">
        <v>14201.39</v>
      </c>
      <c r="H1111" s="95">
        <v>-14201.39</v>
      </c>
    </row>
    <row r="1112" spans="1:8" ht="19.8" customHeight="1" x14ac:dyDescent="0.3">
      <c r="A1112" s="98">
        <f t="shared" si="17"/>
        <v>11</v>
      </c>
      <c r="B1112" s="92" t="s">
        <v>2935</v>
      </c>
      <c r="C1112" s="92" t="s">
        <v>2936</v>
      </c>
      <c r="D1112" s="95">
        <v>52137.77</v>
      </c>
      <c r="E1112" s="95">
        <v>10985705.560000001</v>
      </c>
      <c r="F1112" s="95">
        <v>0</v>
      </c>
      <c r="G1112" s="95">
        <v>10933567.789999999</v>
      </c>
      <c r="H1112" s="95">
        <v>-10933567.789999999</v>
      </c>
    </row>
    <row r="1113" spans="1:8" ht="19.8" customHeight="1" x14ac:dyDescent="0.3">
      <c r="A1113" s="98">
        <f t="shared" si="17"/>
        <v>11</v>
      </c>
      <c r="B1113" s="92" t="s">
        <v>2937</v>
      </c>
      <c r="C1113" s="92" t="s">
        <v>2938</v>
      </c>
      <c r="D1113" s="95">
        <v>0</v>
      </c>
      <c r="E1113" s="95">
        <v>17529.54</v>
      </c>
      <c r="F1113" s="95">
        <v>0</v>
      </c>
      <c r="G1113" s="95">
        <v>17529.54</v>
      </c>
      <c r="H1113" s="95">
        <v>-17529.54</v>
      </c>
    </row>
    <row r="1114" spans="1:8" ht="19.8" customHeight="1" x14ac:dyDescent="0.3">
      <c r="A1114" s="98">
        <f t="shared" si="17"/>
        <v>11</v>
      </c>
      <c r="B1114" s="92" t="s">
        <v>2939</v>
      </c>
      <c r="C1114" s="92" t="s">
        <v>2940</v>
      </c>
      <c r="D1114" s="95">
        <v>34368.29</v>
      </c>
      <c r="E1114" s="95">
        <v>12827120.800000001</v>
      </c>
      <c r="F1114" s="95">
        <v>0</v>
      </c>
      <c r="G1114" s="95">
        <v>12792752.51</v>
      </c>
      <c r="H1114" s="95">
        <v>-12792752.51</v>
      </c>
    </row>
    <row r="1115" spans="1:8" ht="19.8" customHeight="1" x14ac:dyDescent="0.3">
      <c r="A1115" s="98">
        <f t="shared" si="17"/>
        <v>11</v>
      </c>
      <c r="B1115" s="92" t="s">
        <v>2941</v>
      </c>
      <c r="C1115" s="92" t="s">
        <v>2942</v>
      </c>
      <c r="D1115" s="95">
        <v>0</v>
      </c>
      <c r="E1115" s="95">
        <v>5706.4</v>
      </c>
      <c r="F1115" s="95">
        <v>0</v>
      </c>
      <c r="G1115" s="95">
        <v>5706.4</v>
      </c>
      <c r="H1115" s="95">
        <v>-5706.4</v>
      </c>
    </row>
    <row r="1116" spans="1:8" ht="19.8" customHeight="1" x14ac:dyDescent="0.3">
      <c r="A1116" s="98">
        <f t="shared" si="17"/>
        <v>11</v>
      </c>
      <c r="B1116" s="92" t="s">
        <v>2943</v>
      </c>
      <c r="C1116" s="92" t="s">
        <v>2944</v>
      </c>
      <c r="D1116" s="95">
        <v>28064.01</v>
      </c>
      <c r="E1116" s="95">
        <v>27578879.440000001</v>
      </c>
      <c r="F1116" s="95">
        <v>0</v>
      </c>
      <c r="G1116" s="95">
        <v>27550815.43</v>
      </c>
      <c r="H1116" s="95">
        <v>-27550815.43</v>
      </c>
    </row>
    <row r="1117" spans="1:8" ht="19.8" customHeight="1" x14ac:dyDescent="0.3">
      <c r="A1117" s="98">
        <f t="shared" si="17"/>
        <v>11</v>
      </c>
      <c r="B1117" s="92" t="s">
        <v>2945</v>
      </c>
      <c r="C1117" s="92" t="s">
        <v>2946</v>
      </c>
      <c r="D1117" s="95">
        <v>0</v>
      </c>
      <c r="E1117" s="95">
        <v>910.35</v>
      </c>
      <c r="F1117" s="95">
        <v>0</v>
      </c>
      <c r="G1117" s="95">
        <v>910.35</v>
      </c>
      <c r="H1117" s="95">
        <v>-910.35</v>
      </c>
    </row>
    <row r="1118" spans="1:8" ht="19.8" customHeight="1" x14ac:dyDescent="0.3">
      <c r="A1118" s="98">
        <f t="shared" si="17"/>
        <v>11</v>
      </c>
      <c r="B1118" s="92" t="s">
        <v>2947</v>
      </c>
      <c r="C1118" s="92" t="s">
        <v>2948</v>
      </c>
      <c r="D1118" s="95">
        <v>17685.349999999999</v>
      </c>
      <c r="E1118" s="95">
        <v>19930292.75</v>
      </c>
      <c r="F1118" s="95">
        <v>0</v>
      </c>
      <c r="G1118" s="95">
        <v>19912607.399999999</v>
      </c>
      <c r="H1118" s="95">
        <v>-19912607.399999999</v>
      </c>
    </row>
    <row r="1119" spans="1:8" ht="19.8" customHeight="1" x14ac:dyDescent="0.3">
      <c r="A1119" s="98">
        <f t="shared" si="17"/>
        <v>11</v>
      </c>
      <c r="B1119" s="92" t="s">
        <v>2949</v>
      </c>
      <c r="C1119" s="92" t="s">
        <v>2950</v>
      </c>
      <c r="D1119" s="95">
        <v>0</v>
      </c>
      <c r="E1119" s="95">
        <v>1188.32</v>
      </c>
      <c r="F1119" s="95">
        <v>0</v>
      </c>
      <c r="G1119" s="95">
        <v>1188.32</v>
      </c>
      <c r="H1119" s="95">
        <v>-1188.32</v>
      </c>
    </row>
    <row r="1120" spans="1:8" ht="19.8" customHeight="1" x14ac:dyDescent="0.3">
      <c r="A1120" s="98">
        <f t="shared" si="17"/>
        <v>11</v>
      </c>
      <c r="B1120" s="92" t="s">
        <v>2951</v>
      </c>
      <c r="C1120" s="92" t="s">
        <v>2952</v>
      </c>
      <c r="D1120" s="95">
        <v>12921.98</v>
      </c>
      <c r="E1120" s="95">
        <v>9807821.25</v>
      </c>
      <c r="F1120" s="95">
        <v>0</v>
      </c>
      <c r="G1120" s="95">
        <v>9794899.2699999996</v>
      </c>
      <c r="H1120" s="95">
        <v>-9794899.2699999996</v>
      </c>
    </row>
    <row r="1121" spans="1:8" ht="19.8" customHeight="1" x14ac:dyDescent="0.3">
      <c r="A1121" s="98">
        <f t="shared" si="17"/>
        <v>11</v>
      </c>
      <c r="B1121" s="92" t="s">
        <v>2953</v>
      </c>
      <c r="C1121" s="92" t="s">
        <v>2954</v>
      </c>
      <c r="D1121" s="95">
        <v>0</v>
      </c>
      <c r="E1121" s="95">
        <v>8037.26</v>
      </c>
      <c r="F1121" s="95">
        <v>0</v>
      </c>
      <c r="G1121" s="95">
        <v>8037.26</v>
      </c>
      <c r="H1121" s="95">
        <v>-8037.26</v>
      </c>
    </row>
    <row r="1122" spans="1:8" ht="19.8" customHeight="1" x14ac:dyDescent="0.3">
      <c r="A1122" s="98">
        <f t="shared" si="17"/>
        <v>11</v>
      </c>
      <c r="B1122" s="92" t="s">
        <v>2955</v>
      </c>
      <c r="C1122" s="92" t="s">
        <v>2956</v>
      </c>
      <c r="D1122" s="95">
        <v>19870.490000000002</v>
      </c>
      <c r="E1122" s="95">
        <v>10680671</v>
      </c>
      <c r="F1122" s="95">
        <v>0</v>
      </c>
      <c r="G1122" s="95">
        <v>10660800.51</v>
      </c>
      <c r="H1122" s="95">
        <v>-10660800.51</v>
      </c>
    </row>
    <row r="1123" spans="1:8" ht="19.8" customHeight="1" x14ac:dyDescent="0.3">
      <c r="A1123" s="98">
        <f t="shared" si="17"/>
        <v>11</v>
      </c>
      <c r="B1123" s="92" t="s">
        <v>2957</v>
      </c>
      <c r="C1123" s="92" t="s">
        <v>2958</v>
      </c>
      <c r="D1123" s="95">
        <v>26968.84</v>
      </c>
      <c r="E1123" s="95">
        <v>12416921.17</v>
      </c>
      <c r="F1123" s="95">
        <v>0</v>
      </c>
      <c r="G1123" s="95">
        <v>12389952.33</v>
      </c>
      <c r="H1123" s="95">
        <v>-12389952.33</v>
      </c>
    </row>
    <row r="1124" spans="1:8" ht="19.8" customHeight="1" x14ac:dyDescent="0.3">
      <c r="A1124" s="98">
        <f t="shared" si="17"/>
        <v>11</v>
      </c>
      <c r="B1124" s="92" t="s">
        <v>2959</v>
      </c>
      <c r="C1124" s="92" t="s">
        <v>2960</v>
      </c>
      <c r="D1124" s="95">
        <v>38159.019999999997</v>
      </c>
      <c r="E1124" s="95">
        <v>21912072.390000001</v>
      </c>
      <c r="F1124" s="95">
        <v>0</v>
      </c>
      <c r="G1124" s="95">
        <v>21873913.370000001</v>
      </c>
      <c r="H1124" s="95">
        <v>-21873913.370000001</v>
      </c>
    </row>
    <row r="1125" spans="1:8" ht="19.8" customHeight="1" x14ac:dyDescent="0.3">
      <c r="A1125" s="98">
        <f t="shared" si="17"/>
        <v>11</v>
      </c>
      <c r="B1125" s="92" t="s">
        <v>2961</v>
      </c>
      <c r="C1125" s="92" t="s">
        <v>2962</v>
      </c>
      <c r="D1125" s="95">
        <v>0</v>
      </c>
      <c r="E1125" s="95">
        <v>9222090.2899999991</v>
      </c>
      <c r="F1125" s="95">
        <v>0</v>
      </c>
      <c r="G1125" s="95">
        <v>9222090.2899999991</v>
      </c>
      <c r="H1125" s="95">
        <v>-9222090.2899999991</v>
      </c>
    </row>
    <row r="1126" spans="1:8" ht="19.8" customHeight="1" x14ac:dyDescent="0.3">
      <c r="A1126" s="98">
        <f t="shared" si="17"/>
        <v>11</v>
      </c>
      <c r="B1126" s="92" t="s">
        <v>2963</v>
      </c>
      <c r="C1126" s="92" t="s">
        <v>2964</v>
      </c>
      <c r="D1126" s="95">
        <v>0</v>
      </c>
      <c r="E1126" s="95">
        <v>4053.63</v>
      </c>
      <c r="F1126" s="95">
        <v>0</v>
      </c>
      <c r="G1126" s="95">
        <v>4053.63</v>
      </c>
      <c r="H1126" s="95">
        <v>-4053.63</v>
      </c>
    </row>
    <row r="1127" spans="1:8" ht="19.8" customHeight="1" x14ac:dyDescent="0.3">
      <c r="A1127" s="98">
        <f t="shared" si="17"/>
        <v>11</v>
      </c>
      <c r="B1127" s="92" t="s">
        <v>2965</v>
      </c>
      <c r="C1127" s="92" t="s">
        <v>2966</v>
      </c>
      <c r="D1127" s="95">
        <v>0</v>
      </c>
      <c r="E1127" s="95">
        <v>15163.33</v>
      </c>
      <c r="F1127" s="95">
        <v>0</v>
      </c>
      <c r="G1127" s="95">
        <v>15163.33</v>
      </c>
      <c r="H1127" s="95">
        <v>-15163.33</v>
      </c>
    </row>
    <row r="1128" spans="1:8" ht="19.8" customHeight="1" x14ac:dyDescent="0.3">
      <c r="A1128" s="98">
        <f t="shared" si="17"/>
        <v>11</v>
      </c>
      <c r="B1128" s="92" t="s">
        <v>2967</v>
      </c>
      <c r="C1128" s="92" t="s">
        <v>2968</v>
      </c>
      <c r="D1128" s="95">
        <v>28908.799999999999</v>
      </c>
      <c r="E1128" s="95">
        <v>13187196.5</v>
      </c>
      <c r="F1128" s="95">
        <v>0</v>
      </c>
      <c r="G1128" s="95">
        <v>13158287.699999999</v>
      </c>
      <c r="H1128" s="95">
        <v>-13158287.699999999</v>
      </c>
    </row>
    <row r="1129" spans="1:8" ht="19.8" customHeight="1" x14ac:dyDescent="0.3">
      <c r="A1129" s="98">
        <f t="shared" si="17"/>
        <v>11</v>
      </c>
      <c r="B1129" s="92" t="s">
        <v>2969</v>
      </c>
      <c r="C1129" s="92" t="s">
        <v>2970</v>
      </c>
      <c r="D1129" s="95">
        <v>24218</v>
      </c>
      <c r="E1129" s="95">
        <v>8618555.9700000007</v>
      </c>
      <c r="F1129" s="95">
        <v>0</v>
      </c>
      <c r="G1129" s="95">
        <v>8594337.9700000007</v>
      </c>
      <c r="H1129" s="95">
        <v>-8594337.9700000007</v>
      </c>
    </row>
    <row r="1130" spans="1:8" ht="19.8" customHeight="1" x14ac:dyDescent="0.3">
      <c r="A1130" s="98">
        <f t="shared" si="17"/>
        <v>11</v>
      </c>
      <c r="B1130" s="92" t="s">
        <v>2971</v>
      </c>
      <c r="C1130" s="92" t="s">
        <v>2972</v>
      </c>
      <c r="D1130" s="95">
        <v>14120.54</v>
      </c>
      <c r="E1130" s="95">
        <v>10612308.6</v>
      </c>
      <c r="F1130" s="95">
        <v>0</v>
      </c>
      <c r="G1130" s="95">
        <v>10598188.060000001</v>
      </c>
      <c r="H1130" s="95">
        <v>-10598188.060000001</v>
      </c>
    </row>
    <row r="1131" spans="1:8" ht="19.8" customHeight="1" x14ac:dyDescent="0.3">
      <c r="A1131" s="98">
        <f t="shared" si="17"/>
        <v>11</v>
      </c>
      <c r="B1131" s="92" t="s">
        <v>2973</v>
      </c>
      <c r="C1131" s="92" t="s">
        <v>2974</v>
      </c>
      <c r="D1131" s="95">
        <v>23397.39</v>
      </c>
      <c r="E1131" s="95">
        <v>7451535.9299999997</v>
      </c>
      <c r="F1131" s="95">
        <v>0</v>
      </c>
      <c r="G1131" s="95">
        <v>7428138.54</v>
      </c>
      <c r="H1131" s="95">
        <v>-7428138.54</v>
      </c>
    </row>
    <row r="1132" spans="1:8" ht="19.8" customHeight="1" x14ac:dyDescent="0.3">
      <c r="A1132" s="98">
        <f t="shared" si="17"/>
        <v>11</v>
      </c>
      <c r="B1132" s="92" t="s">
        <v>2975</v>
      </c>
      <c r="C1132" s="92" t="s">
        <v>2976</v>
      </c>
      <c r="D1132" s="95">
        <v>0</v>
      </c>
      <c r="E1132" s="95">
        <v>28108287.129999999</v>
      </c>
      <c r="F1132" s="95">
        <v>0</v>
      </c>
      <c r="G1132" s="95">
        <v>28108287.129999999</v>
      </c>
      <c r="H1132" s="95">
        <v>-28108287.129999999</v>
      </c>
    </row>
    <row r="1133" spans="1:8" ht="19.8" customHeight="1" x14ac:dyDescent="0.3">
      <c r="A1133" s="98">
        <f t="shared" si="17"/>
        <v>11</v>
      </c>
      <c r="B1133" s="92" t="s">
        <v>2977</v>
      </c>
      <c r="C1133" s="92" t="s">
        <v>2978</v>
      </c>
      <c r="D1133" s="95">
        <v>26436.93</v>
      </c>
      <c r="E1133" s="95">
        <v>6747215.2699999996</v>
      </c>
      <c r="F1133" s="95">
        <v>0</v>
      </c>
      <c r="G1133" s="95">
        <v>6720778.3399999999</v>
      </c>
      <c r="H1133" s="95">
        <v>-6720778.3399999999</v>
      </c>
    </row>
    <row r="1134" spans="1:8" ht="19.8" customHeight="1" x14ac:dyDescent="0.3">
      <c r="A1134" s="98">
        <f t="shared" si="17"/>
        <v>11</v>
      </c>
      <c r="B1134" s="92" t="s">
        <v>2979</v>
      </c>
      <c r="C1134" s="92" t="s">
        <v>2980</v>
      </c>
      <c r="D1134" s="95">
        <v>0</v>
      </c>
      <c r="E1134" s="95">
        <v>9900964.5700000003</v>
      </c>
      <c r="F1134" s="95">
        <v>0</v>
      </c>
      <c r="G1134" s="95">
        <v>9900964.5700000003</v>
      </c>
      <c r="H1134" s="95">
        <v>-9900964.5700000003</v>
      </c>
    </row>
    <row r="1135" spans="1:8" ht="19.8" customHeight="1" x14ac:dyDescent="0.3">
      <c r="A1135" s="98">
        <f t="shared" si="17"/>
        <v>11</v>
      </c>
      <c r="B1135" s="92" t="s">
        <v>2981</v>
      </c>
      <c r="C1135" s="92" t="s">
        <v>2982</v>
      </c>
      <c r="D1135" s="95">
        <v>46832.69</v>
      </c>
      <c r="E1135" s="95">
        <v>12336536.59</v>
      </c>
      <c r="F1135" s="95">
        <v>0</v>
      </c>
      <c r="G1135" s="95">
        <v>12289703.9</v>
      </c>
      <c r="H1135" s="95">
        <v>-12289703.9</v>
      </c>
    </row>
    <row r="1136" spans="1:8" ht="19.8" customHeight="1" x14ac:dyDescent="0.3">
      <c r="A1136" s="98">
        <f t="shared" si="17"/>
        <v>11</v>
      </c>
      <c r="B1136" s="92" t="s">
        <v>2983</v>
      </c>
      <c r="C1136" s="92" t="s">
        <v>2984</v>
      </c>
      <c r="D1136" s="95">
        <v>41226.129999999997</v>
      </c>
      <c r="E1136" s="95">
        <v>15508883.58</v>
      </c>
      <c r="F1136" s="95">
        <v>0</v>
      </c>
      <c r="G1136" s="95">
        <v>15467657.449999999</v>
      </c>
      <c r="H1136" s="95">
        <v>-15467657.449999999</v>
      </c>
    </row>
    <row r="1137" spans="1:8" ht="19.8" customHeight="1" x14ac:dyDescent="0.3">
      <c r="A1137" s="98">
        <f t="shared" si="17"/>
        <v>11</v>
      </c>
      <c r="B1137" s="92" t="s">
        <v>2985</v>
      </c>
      <c r="C1137" s="92" t="s">
        <v>2986</v>
      </c>
      <c r="D1137" s="95">
        <v>27118.38</v>
      </c>
      <c r="E1137" s="95">
        <v>12936907.050000001</v>
      </c>
      <c r="F1137" s="95">
        <v>0</v>
      </c>
      <c r="G1137" s="95">
        <v>12909788.67</v>
      </c>
      <c r="H1137" s="95">
        <v>-12909788.67</v>
      </c>
    </row>
    <row r="1138" spans="1:8" ht="19.8" customHeight="1" x14ac:dyDescent="0.3">
      <c r="A1138" s="98">
        <f t="shared" si="17"/>
        <v>11</v>
      </c>
      <c r="B1138" s="92" t="s">
        <v>2987</v>
      </c>
      <c r="C1138" s="92" t="s">
        <v>2988</v>
      </c>
      <c r="D1138" s="95">
        <v>0</v>
      </c>
      <c r="E1138" s="95">
        <v>1928.19</v>
      </c>
      <c r="F1138" s="95">
        <v>0</v>
      </c>
      <c r="G1138" s="95">
        <v>1928.19</v>
      </c>
      <c r="H1138" s="95">
        <v>-1928.19</v>
      </c>
    </row>
    <row r="1139" spans="1:8" ht="19.8" customHeight="1" x14ac:dyDescent="0.3">
      <c r="A1139" s="98">
        <f t="shared" si="17"/>
        <v>11</v>
      </c>
      <c r="B1139" s="92" t="s">
        <v>2989</v>
      </c>
      <c r="C1139" s="92" t="s">
        <v>2990</v>
      </c>
      <c r="D1139" s="95">
        <v>33611.53</v>
      </c>
      <c r="E1139" s="95">
        <v>13434385.08</v>
      </c>
      <c r="F1139" s="95">
        <v>0</v>
      </c>
      <c r="G1139" s="95">
        <v>13400773.550000001</v>
      </c>
      <c r="H1139" s="95">
        <v>-13400773.550000001</v>
      </c>
    </row>
    <row r="1140" spans="1:8" ht="19.8" customHeight="1" x14ac:dyDescent="0.3">
      <c r="A1140" s="98">
        <f t="shared" si="17"/>
        <v>11</v>
      </c>
      <c r="B1140" s="92" t="s">
        <v>2991</v>
      </c>
      <c r="C1140" s="92" t="s">
        <v>2992</v>
      </c>
      <c r="D1140" s="95">
        <v>24975.439999999999</v>
      </c>
      <c r="E1140" s="95">
        <v>25585009.07</v>
      </c>
      <c r="F1140" s="95">
        <v>0</v>
      </c>
      <c r="G1140" s="95">
        <v>25560033.629999999</v>
      </c>
      <c r="H1140" s="95">
        <v>-25560033.629999999</v>
      </c>
    </row>
    <row r="1141" spans="1:8" ht="19.8" customHeight="1" x14ac:dyDescent="0.3">
      <c r="A1141" s="98">
        <f t="shared" si="17"/>
        <v>11</v>
      </c>
      <c r="B1141" s="92" t="s">
        <v>2993</v>
      </c>
      <c r="C1141" s="92" t="s">
        <v>2994</v>
      </c>
      <c r="D1141" s="95">
        <v>22883.599999999999</v>
      </c>
      <c r="E1141" s="95">
        <v>9315743.4499999993</v>
      </c>
      <c r="F1141" s="95">
        <v>0</v>
      </c>
      <c r="G1141" s="95">
        <v>9292859.8499999996</v>
      </c>
      <c r="H1141" s="95">
        <v>-9292859.8499999996</v>
      </c>
    </row>
    <row r="1142" spans="1:8" ht="19.8" customHeight="1" x14ac:dyDescent="0.3">
      <c r="A1142" s="98">
        <f t="shared" si="17"/>
        <v>11</v>
      </c>
      <c r="B1142" s="92" t="s">
        <v>2995</v>
      </c>
      <c r="C1142" s="92" t="s">
        <v>2996</v>
      </c>
      <c r="D1142" s="95">
        <v>19963.84</v>
      </c>
      <c r="E1142" s="95">
        <v>4760903.83</v>
      </c>
      <c r="F1142" s="95">
        <v>0</v>
      </c>
      <c r="G1142" s="95">
        <v>4740939.99</v>
      </c>
      <c r="H1142" s="95">
        <v>-4740939.99</v>
      </c>
    </row>
    <row r="1143" spans="1:8" ht="19.8" customHeight="1" x14ac:dyDescent="0.3">
      <c r="A1143" s="98">
        <f t="shared" si="17"/>
        <v>11</v>
      </c>
      <c r="B1143" s="92" t="s">
        <v>2997</v>
      </c>
      <c r="C1143" s="92" t="s">
        <v>2998</v>
      </c>
      <c r="D1143" s="95">
        <v>3581.82</v>
      </c>
      <c r="E1143" s="95">
        <v>24734033.25</v>
      </c>
      <c r="F1143" s="95">
        <v>0</v>
      </c>
      <c r="G1143" s="95">
        <v>24730451.43</v>
      </c>
      <c r="H1143" s="95">
        <v>-24730451.43</v>
      </c>
    </row>
    <row r="1144" spans="1:8" ht="19.8" customHeight="1" x14ac:dyDescent="0.3">
      <c r="A1144" s="98">
        <f t="shared" si="17"/>
        <v>11</v>
      </c>
      <c r="B1144" s="92" t="s">
        <v>2999</v>
      </c>
      <c r="C1144" s="92" t="s">
        <v>3000</v>
      </c>
      <c r="D1144" s="95">
        <v>15573.64</v>
      </c>
      <c r="E1144" s="95">
        <v>31387536.780000001</v>
      </c>
      <c r="F1144" s="95">
        <v>0</v>
      </c>
      <c r="G1144" s="95">
        <v>31371963.140000001</v>
      </c>
      <c r="H1144" s="95">
        <v>-31371963.140000001</v>
      </c>
    </row>
    <row r="1145" spans="1:8" ht="19.8" customHeight="1" x14ac:dyDescent="0.3">
      <c r="A1145" s="98">
        <f t="shared" si="17"/>
        <v>11</v>
      </c>
      <c r="B1145" s="92" t="s">
        <v>3001</v>
      </c>
      <c r="C1145" s="92" t="s">
        <v>3002</v>
      </c>
      <c r="D1145" s="95">
        <v>43510.79</v>
      </c>
      <c r="E1145" s="95">
        <v>13767230.619999999</v>
      </c>
      <c r="F1145" s="95">
        <v>0</v>
      </c>
      <c r="G1145" s="95">
        <v>13723719.83</v>
      </c>
      <c r="H1145" s="95">
        <v>-13723719.83</v>
      </c>
    </row>
    <row r="1146" spans="1:8" ht="19.8" customHeight="1" x14ac:dyDescent="0.3">
      <c r="A1146" s="98">
        <f t="shared" si="17"/>
        <v>11</v>
      </c>
      <c r="B1146" s="92" t="s">
        <v>3003</v>
      </c>
      <c r="C1146" s="92" t="s">
        <v>3004</v>
      </c>
      <c r="D1146" s="95">
        <v>52481.42</v>
      </c>
      <c r="E1146" s="95">
        <v>14901337.02</v>
      </c>
      <c r="F1146" s="95">
        <v>0</v>
      </c>
      <c r="G1146" s="95">
        <v>14848855.6</v>
      </c>
      <c r="H1146" s="95">
        <v>-14848855.6</v>
      </c>
    </row>
    <row r="1147" spans="1:8" ht="19.8" customHeight="1" x14ac:dyDescent="0.3">
      <c r="A1147" s="98">
        <f t="shared" si="17"/>
        <v>11</v>
      </c>
      <c r="B1147" s="92" t="s">
        <v>3005</v>
      </c>
      <c r="C1147" s="92" t="s">
        <v>3006</v>
      </c>
      <c r="D1147" s="95">
        <v>45955.03</v>
      </c>
      <c r="E1147" s="95">
        <v>12613443.560000001</v>
      </c>
      <c r="F1147" s="95">
        <v>0</v>
      </c>
      <c r="G1147" s="95">
        <v>12567488.529999999</v>
      </c>
      <c r="H1147" s="95">
        <v>-12567488.529999999</v>
      </c>
    </row>
    <row r="1148" spans="1:8" ht="19.8" customHeight="1" x14ac:dyDescent="0.3">
      <c r="A1148" s="98">
        <f t="shared" si="17"/>
        <v>11</v>
      </c>
      <c r="B1148" s="92" t="s">
        <v>3007</v>
      </c>
      <c r="C1148" s="92" t="s">
        <v>3008</v>
      </c>
      <c r="D1148" s="95">
        <v>8112.18</v>
      </c>
      <c r="E1148" s="95">
        <v>6914912.0899999999</v>
      </c>
      <c r="F1148" s="95">
        <v>0</v>
      </c>
      <c r="G1148" s="95">
        <v>6906799.9100000001</v>
      </c>
      <c r="H1148" s="95">
        <v>-6906799.9100000001</v>
      </c>
    </row>
    <row r="1149" spans="1:8" ht="19.8" customHeight="1" x14ac:dyDescent="0.3">
      <c r="A1149" s="98">
        <f t="shared" si="17"/>
        <v>11</v>
      </c>
      <c r="B1149" s="92" t="s">
        <v>3009</v>
      </c>
      <c r="C1149" s="92" t="s">
        <v>3010</v>
      </c>
      <c r="D1149" s="95">
        <v>10538.02</v>
      </c>
      <c r="E1149" s="95">
        <v>9468468.4000000004</v>
      </c>
      <c r="F1149" s="95">
        <v>0</v>
      </c>
      <c r="G1149" s="95">
        <v>9457930.3800000008</v>
      </c>
      <c r="H1149" s="95">
        <v>-9457930.3800000008</v>
      </c>
    </row>
    <row r="1150" spans="1:8" ht="19.8" customHeight="1" x14ac:dyDescent="0.3">
      <c r="A1150" s="98">
        <f t="shared" si="17"/>
        <v>11</v>
      </c>
      <c r="B1150" s="92" t="s">
        <v>3011</v>
      </c>
      <c r="C1150" s="92" t="s">
        <v>3012</v>
      </c>
      <c r="D1150" s="95">
        <v>35601.75</v>
      </c>
      <c r="E1150" s="95">
        <v>12776197.25</v>
      </c>
      <c r="F1150" s="95">
        <v>0</v>
      </c>
      <c r="G1150" s="95">
        <v>12740595.5</v>
      </c>
      <c r="H1150" s="95">
        <v>-12740595.5</v>
      </c>
    </row>
    <row r="1151" spans="1:8" ht="19.8" customHeight="1" x14ac:dyDescent="0.3">
      <c r="A1151" s="98">
        <f t="shared" si="17"/>
        <v>11</v>
      </c>
      <c r="B1151" s="92" t="s">
        <v>3013</v>
      </c>
      <c r="C1151" s="92" t="s">
        <v>3014</v>
      </c>
      <c r="D1151" s="95">
        <v>17645.98</v>
      </c>
      <c r="E1151" s="95">
        <v>8884997.0199999996</v>
      </c>
      <c r="F1151" s="95">
        <v>0</v>
      </c>
      <c r="G1151" s="95">
        <v>8867351.0399999991</v>
      </c>
      <c r="H1151" s="95">
        <v>-8867351.0399999991</v>
      </c>
    </row>
    <row r="1152" spans="1:8" ht="19.8" customHeight="1" x14ac:dyDescent="0.3">
      <c r="A1152" s="98">
        <f t="shared" si="17"/>
        <v>11</v>
      </c>
      <c r="B1152" s="92" t="s">
        <v>3015</v>
      </c>
      <c r="C1152" s="92" t="s">
        <v>3016</v>
      </c>
      <c r="D1152" s="95">
        <v>4618.18</v>
      </c>
      <c r="E1152" s="95">
        <v>15506419.869999999</v>
      </c>
      <c r="F1152" s="95">
        <v>0</v>
      </c>
      <c r="G1152" s="95">
        <v>15501801.689999999</v>
      </c>
      <c r="H1152" s="95">
        <v>-15501801.689999999</v>
      </c>
    </row>
    <row r="1153" spans="1:8" ht="19.8" customHeight="1" x14ac:dyDescent="0.3">
      <c r="A1153" s="98">
        <f t="shared" si="17"/>
        <v>11</v>
      </c>
      <c r="B1153" s="92" t="s">
        <v>3017</v>
      </c>
      <c r="C1153" s="92" t="s">
        <v>3018</v>
      </c>
      <c r="D1153" s="95">
        <v>804.54</v>
      </c>
      <c r="E1153" s="95">
        <v>13999661.66</v>
      </c>
      <c r="F1153" s="95">
        <v>0</v>
      </c>
      <c r="G1153" s="95">
        <v>13998857.119999999</v>
      </c>
      <c r="H1153" s="95">
        <v>-13998857.119999999</v>
      </c>
    </row>
    <row r="1154" spans="1:8" ht="19.8" customHeight="1" x14ac:dyDescent="0.3">
      <c r="A1154" s="98">
        <f t="shared" si="17"/>
        <v>11</v>
      </c>
      <c r="B1154" s="92" t="s">
        <v>3019</v>
      </c>
      <c r="C1154" s="92" t="s">
        <v>3020</v>
      </c>
      <c r="D1154" s="95">
        <v>33809.85</v>
      </c>
      <c r="E1154" s="95">
        <v>5632865.1799999997</v>
      </c>
      <c r="F1154" s="95">
        <v>0</v>
      </c>
      <c r="G1154" s="95">
        <v>5599055.3300000001</v>
      </c>
      <c r="H1154" s="95">
        <v>-5599055.3300000001</v>
      </c>
    </row>
    <row r="1155" spans="1:8" ht="19.8" customHeight="1" x14ac:dyDescent="0.3">
      <c r="A1155" s="98">
        <f t="shared" ref="A1155:A1218" si="18">+LEN(B1155)</f>
        <v>11</v>
      </c>
      <c r="B1155" s="92" t="s">
        <v>3021</v>
      </c>
      <c r="C1155" s="92" t="s">
        <v>3022</v>
      </c>
      <c r="D1155" s="95">
        <v>0</v>
      </c>
      <c r="E1155" s="95">
        <v>8312.36</v>
      </c>
      <c r="F1155" s="95">
        <v>0</v>
      </c>
      <c r="G1155" s="95">
        <v>8312.36</v>
      </c>
      <c r="H1155" s="95">
        <v>-8312.36</v>
      </c>
    </row>
    <row r="1156" spans="1:8" ht="19.8" customHeight="1" x14ac:dyDescent="0.3">
      <c r="A1156" s="98">
        <f t="shared" si="18"/>
        <v>11</v>
      </c>
      <c r="B1156" s="92" t="s">
        <v>3023</v>
      </c>
      <c r="C1156" s="92" t="s">
        <v>3024</v>
      </c>
      <c r="D1156" s="95">
        <v>0</v>
      </c>
      <c r="E1156" s="95">
        <v>328.72</v>
      </c>
      <c r="F1156" s="95">
        <v>0</v>
      </c>
      <c r="G1156" s="95">
        <v>328.72</v>
      </c>
      <c r="H1156" s="95">
        <v>-328.72</v>
      </c>
    </row>
    <row r="1157" spans="1:8" ht="19.8" customHeight="1" x14ac:dyDescent="0.3">
      <c r="A1157" s="98">
        <f t="shared" si="18"/>
        <v>11</v>
      </c>
      <c r="B1157" s="92" t="s">
        <v>3025</v>
      </c>
      <c r="C1157" s="92" t="s">
        <v>3026</v>
      </c>
      <c r="D1157" s="95">
        <v>0</v>
      </c>
      <c r="E1157" s="95">
        <v>2241.4</v>
      </c>
      <c r="F1157" s="95">
        <v>0</v>
      </c>
      <c r="G1157" s="95">
        <v>2241.4</v>
      </c>
      <c r="H1157" s="95">
        <v>-2241.4</v>
      </c>
    </row>
    <row r="1158" spans="1:8" ht="19.8" customHeight="1" x14ac:dyDescent="0.3">
      <c r="A1158" s="98">
        <f t="shared" si="18"/>
        <v>11</v>
      </c>
      <c r="B1158" s="92" t="s">
        <v>3027</v>
      </c>
      <c r="C1158" s="92" t="s">
        <v>3028</v>
      </c>
      <c r="D1158" s="95">
        <v>0</v>
      </c>
      <c r="E1158" s="95">
        <v>4249.42</v>
      </c>
      <c r="F1158" s="95">
        <v>0</v>
      </c>
      <c r="G1158" s="95">
        <v>4249.42</v>
      </c>
      <c r="H1158" s="95">
        <v>-4249.42</v>
      </c>
    </row>
    <row r="1159" spans="1:8" ht="19.8" customHeight="1" x14ac:dyDescent="0.3">
      <c r="A1159" s="98">
        <f t="shared" si="18"/>
        <v>11</v>
      </c>
      <c r="B1159" s="92" t="s">
        <v>3029</v>
      </c>
      <c r="C1159" s="92" t="s">
        <v>3030</v>
      </c>
      <c r="D1159" s="95">
        <v>0</v>
      </c>
      <c r="E1159" s="95">
        <v>10781.82</v>
      </c>
      <c r="F1159" s="95">
        <v>0</v>
      </c>
      <c r="G1159" s="95">
        <v>10781.82</v>
      </c>
      <c r="H1159" s="95">
        <v>-10781.82</v>
      </c>
    </row>
    <row r="1160" spans="1:8" ht="19.8" customHeight="1" x14ac:dyDescent="0.3">
      <c r="A1160" s="98">
        <f t="shared" si="18"/>
        <v>11</v>
      </c>
      <c r="B1160" s="92" t="s">
        <v>3031</v>
      </c>
      <c r="C1160" s="92" t="s">
        <v>3032</v>
      </c>
      <c r="D1160" s="95">
        <v>0</v>
      </c>
      <c r="E1160" s="95">
        <v>7940.03</v>
      </c>
      <c r="F1160" s="95">
        <v>0</v>
      </c>
      <c r="G1160" s="95">
        <v>7940.03</v>
      </c>
      <c r="H1160" s="95">
        <v>-7940.03</v>
      </c>
    </row>
    <row r="1161" spans="1:8" ht="19.8" customHeight="1" x14ac:dyDescent="0.3">
      <c r="A1161" s="98">
        <f t="shared" si="18"/>
        <v>11</v>
      </c>
      <c r="B1161" s="92" t="s">
        <v>3033</v>
      </c>
      <c r="C1161" s="92" t="s">
        <v>3034</v>
      </c>
      <c r="D1161" s="95">
        <v>0</v>
      </c>
      <c r="E1161" s="95">
        <v>6371.26</v>
      </c>
      <c r="F1161" s="95">
        <v>0</v>
      </c>
      <c r="G1161" s="95">
        <v>6371.26</v>
      </c>
      <c r="H1161" s="95">
        <v>-6371.26</v>
      </c>
    </row>
    <row r="1162" spans="1:8" ht="19.8" customHeight="1" x14ac:dyDescent="0.3">
      <c r="A1162" s="98">
        <f t="shared" si="18"/>
        <v>11</v>
      </c>
      <c r="B1162" s="92" t="s">
        <v>3035</v>
      </c>
      <c r="C1162" s="92" t="s">
        <v>3036</v>
      </c>
      <c r="D1162" s="95">
        <v>0</v>
      </c>
      <c r="E1162" s="95">
        <v>3417.61</v>
      </c>
      <c r="F1162" s="95">
        <v>0</v>
      </c>
      <c r="G1162" s="95">
        <v>3417.61</v>
      </c>
      <c r="H1162" s="95">
        <v>-3417.61</v>
      </c>
    </row>
    <row r="1163" spans="1:8" ht="19.8" customHeight="1" x14ac:dyDescent="0.3">
      <c r="A1163" s="98">
        <f t="shared" si="18"/>
        <v>11</v>
      </c>
      <c r="B1163" s="92" t="s">
        <v>3037</v>
      </c>
      <c r="C1163" s="92" t="s">
        <v>3038</v>
      </c>
      <c r="D1163" s="95">
        <v>0</v>
      </c>
      <c r="E1163" s="95">
        <v>5172.6499999999996</v>
      </c>
      <c r="F1163" s="95">
        <v>0</v>
      </c>
      <c r="G1163" s="95">
        <v>5172.6499999999996</v>
      </c>
      <c r="H1163" s="95">
        <v>-5172.6499999999996</v>
      </c>
    </row>
    <row r="1164" spans="1:8" ht="19.8" customHeight="1" x14ac:dyDescent="0.3">
      <c r="A1164" s="98">
        <f t="shared" si="18"/>
        <v>11</v>
      </c>
      <c r="B1164" s="92" t="s">
        <v>3039</v>
      </c>
      <c r="C1164" s="92" t="s">
        <v>3040</v>
      </c>
      <c r="D1164" s="95">
        <v>0</v>
      </c>
      <c r="E1164" s="95">
        <v>1410.29</v>
      </c>
      <c r="F1164" s="95">
        <v>0</v>
      </c>
      <c r="G1164" s="95">
        <v>1410.29</v>
      </c>
      <c r="H1164" s="95">
        <v>-1410.29</v>
      </c>
    </row>
    <row r="1165" spans="1:8" ht="19.8" customHeight="1" x14ac:dyDescent="0.3">
      <c r="A1165" s="98">
        <f t="shared" si="18"/>
        <v>11</v>
      </c>
      <c r="B1165" s="92" t="s">
        <v>3041</v>
      </c>
      <c r="C1165" s="92" t="s">
        <v>3042</v>
      </c>
      <c r="D1165" s="95">
        <v>0</v>
      </c>
      <c r="E1165" s="95">
        <v>15397.09</v>
      </c>
      <c r="F1165" s="95">
        <v>0</v>
      </c>
      <c r="G1165" s="95">
        <v>15397.09</v>
      </c>
      <c r="H1165" s="95">
        <v>-15397.09</v>
      </c>
    </row>
    <row r="1166" spans="1:8" ht="19.8" customHeight="1" x14ac:dyDescent="0.3">
      <c r="A1166" s="98">
        <f t="shared" si="18"/>
        <v>11</v>
      </c>
      <c r="B1166" s="92" t="s">
        <v>3043</v>
      </c>
      <c r="C1166" s="92" t="s">
        <v>3044</v>
      </c>
      <c r="D1166" s="95">
        <v>0</v>
      </c>
      <c r="E1166" s="95">
        <v>9662.3799999999992</v>
      </c>
      <c r="F1166" s="95">
        <v>0</v>
      </c>
      <c r="G1166" s="95">
        <v>9662.3799999999992</v>
      </c>
      <c r="H1166" s="95">
        <v>-9662.3799999999992</v>
      </c>
    </row>
    <row r="1167" spans="1:8" ht="19.8" customHeight="1" x14ac:dyDescent="0.3">
      <c r="A1167" s="98">
        <f t="shared" si="18"/>
        <v>11</v>
      </c>
      <c r="B1167" s="92" t="s">
        <v>3045</v>
      </c>
      <c r="C1167" s="92" t="s">
        <v>3046</v>
      </c>
      <c r="D1167" s="95">
        <v>0</v>
      </c>
      <c r="E1167" s="95">
        <v>3328.99</v>
      </c>
      <c r="F1167" s="95">
        <v>0</v>
      </c>
      <c r="G1167" s="95">
        <v>3328.99</v>
      </c>
      <c r="H1167" s="95">
        <v>-3328.99</v>
      </c>
    </row>
    <row r="1168" spans="1:8" ht="19.8" customHeight="1" x14ac:dyDescent="0.3">
      <c r="A1168" s="98">
        <f t="shared" si="18"/>
        <v>11</v>
      </c>
      <c r="B1168" s="92" t="s">
        <v>3047</v>
      </c>
      <c r="C1168" s="92" t="s">
        <v>3048</v>
      </c>
      <c r="D1168" s="95">
        <v>0</v>
      </c>
      <c r="E1168" s="95">
        <v>18830.91</v>
      </c>
      <c r="F1168" s="95">
        <v>0</v>
      </c>
      <c r="G1168" s="95">
        <v>18830.91</v>
      </c>
      <c r="H1168" s="95">
        <v>-18830.91</v>
      </c>
    </row>
    <row r="1169" spans="1:8" ht="19.8" customHeight="1" x14ac:dyDescent="0.3">
      <c r="A1169" s="98">
        <f t="shared" si="18"/>
        <v>11</v>
      </c>
      <c r="B1169" s="92" t="s">
        <v>3049</v>
      </c>
      <c r="C1169" s="92" t="s">
        <v>3050</v>
      </c>
      <c r="D1169" s="95">
        <v>0</v>
      </c>
      <c r="E1169" s="95">
        <v>5254.62</v>
      </c>
      <c r="F1169" s="95">
        <v>0</v>
      </c>
      <c r="G1169" s="95">
        <v>5254.62</v>
      </c>
      <c r="H1169" s="95">
        <v>-5254.62</v>
      </c>
    </row>
    <row r="1170" spans="1:8" ht="19.8" customHeight="1" x14ac:dyDescent="0.3">
      <c r="A1170" s="98">
        <f t="shared" si="18"/>
        <v>11</v>
      </c>
      <c r="B1170" s="92" t="s">
        <v>3051</v>
      </c>
      <c r="C1170" s="92" t="s">
        <v>3052</v>
      </c>
      <c r="D1170" s="95">
        <v>0</v>
      </c>
      <c r="E1170" s="95">
        <v>2246.5</v>
      </c>
      <c r="F1170" s="95">
        <v>0</v>
      </c>
      <c r="G1170" s="95">
        <v>2246.5</v>
      </c>
      <c r="H1170" s="95">
        <v>-2246.5</v>
      </c>
    </row>
    <row r="1171" spans="1:8" ht="19.8" customHeight="1" x14ac:dyDescent="0.3">
      <c r="A1171" s="98">
        <f t="shared" si="18"/>
        <v>11</v>
      </c>
      <c r="B1171" s="92" t="s">
        <v>3053</v>
      </c>
      <c r="C1171" s="92" t="s">
        <v>3054</v>
      </c>
      <c r="D1171" s="95">
        <v>0</v>
      </c>
      <c r="E1171" s="95">
        <v>1885.1</v>
      </c>
      <c r="F1171" s="95">
        <v>0</v>
      </c>
      <c r="G1171" s="95">
        <v>1885.1</v>
      </c>
      <c r="H1171" s="95">
        <v>-1885.1</v>
      </c>
    </row>
    <row r="1172" spans="1:8" ht="19.8" customHeight="1" x14ac:dyDescent="0.3">
      <c r="A1172" s="98">
        <f t="shared" si="18"/>
        <v>11</v>
      </c>
      <c r="B1172" s="92" t="s">
        <v>3055</v>
      </c>
      <c r="C1172" s="92" t="s">
        <v>3056</v>
      </c>
      <c r="D1172" s="95">
        <v>0</v>
      </c>
      <c r="E1172" s="95">
        <v>2367.4</v>
      </c>
      <c r="F1172" s="95">
        <v>0</v>
      </c>
      <c r="G1172" s="95">
        <v>2367.4</v>
      </c>
      <c r="H1172" s="95">
        <v>-2367.4</v>
      </c>
    </row>
    <row r="1173" spans="1:8" ht="19.8" customHeight="1" x14ac:dyDescent="0.3">
      <c r="A1173" s="98">
        <f t="shared" si="18"/>
        <v>11</v>
      </c>
      <c r="B1173" s="92" t="s">
        <v>3057</v>
      </c>
      <c r="C1173" s="92" t="s">
        <v>3058</v>
      </c>
      <c r="D1173" s="95">
        <v>0</v>
      </c>
      <c r="E1173" s="95">
        <v>6411.63</v>
      </c>
      <c r="F1173" s="95">
        <v>0</v>
      </c>
      <c r="G1173" s="95">
        <v>6411.63</v>
      </c>
      <c r="H1173" s="95">
        <v>-6411.63</v>
      </c>
    </row>
    <row r="1174" spans="1:8" ht="19.8" customHeight="1" x14ac:dyDescent="0.3">
      <c r="A1174" s="98">
        <f t="shared" si="18"/>
        <v>11</v>
      </c>
      <c r="B1174" s="92" t="s">
        <v>3059</v>
      </c>
      <c r="C1174" s="92" t="s">
        <v>3060</v>
      </c>
      <c r="D1174" s="95">
        <v>3879.09</v>
      </c>
      <c r="E1174" s="95">
        <v>9745375.3699999992</v>
      </c>
      <c r="F1174" s="95">
        <v>0</v>
      </c>
      <c r="G1174" s="95">
        <v>9741496.2799999993</v>
      </c>
      <c r="H1174" s="95">
        <v>-9741496.2799999993</v>
      </c>
    </row>
    <row r="1175" spans="1:8" ht="19.8" customHeight="1" x14ac:dyDescent="0.3">
      <c r="A1175" s="98">
        <f t="shared" si="18"/>
        <v>11</v>
      </c>
      <c r="B1175" s="92" t="s">
        <v>3061</v>
      </c>
      <c r="C1175" s="92" t="s">
        <v>3062</v>
      </c>
      <c r="D1175" s="95">
        <v>0</v>
      </c>
      <c r="E1175" s="95">
        <v>128153.19</v>
      </c>
      <c r="F1175" s="95">
        <v>0</v>
      </c>
      <c r="G1175" s="95">
        <v>128153.19</v>
      </c>
      <c r="H1175" s="95">
        <v>-128153.19</v>
      </c>
    </row>
    <row r="1176" spans="1:8" ht="19.8" customHeight="1" x14ac:dyDescent="0.3">
      <c r="A1176" s="98">
        <f t="shared" si="18"/>
        <v>11</v>
      </c>
      <c r="B1176" s="92" t="s">
        <v>3063</v>
      </c>
      <c r="C1176" s="92" t="s">
        <v>3064</v>
      </c>
      <c r="D1176" s="95">
        <v>21990.77</v>
      </c>
      <c r="E1176" s="95">
        <v>14808549.07</v>
      </c>
      <c r="F1176" s="95">
        <v>0</v>
      </c>
      <c r="G1176" s="95">
        <v>14786558.300000001</v>
      </c>
      <c r="H1176" s="95">
        <v>-14786558.300000001</v>
      </c>
    </row>
    <row r="1177" spans="1:8" ht="19.8" customHeight="1" x14ac:dyDescent="0.3">
      <c r="A1177" s="98">
        <f t="shared" si="18"/>
        <v>11</v>
      </c>
      <c r="B1177" s="92" t="s">
        <v>3065</v>
      </c>
      <c r="C1177" s="92" t="s">
        <v>3066</v>
      </c>
      <c r="D1177" s="95">
        <v>32163.61</v>
      </c>
      <c r="E1177" s="95">
        <v>7623595.0199999996</v>
      </c>
      <c r="F1177" s="95">
        <v>0</v>
      </c>
      <c r="G1177" s="95">
        <v>7591431.4100000001</v>
      </c>
      <c r="H1177" s="95">
        <v>-7591431.4100000001</v>
      </c>
    </row>
    <row r="1178" spans="1:8" ht="19.8" customHeight="1" x14ac:dyDescent="0.3">
      <c r="A1178" s="98">
        <f t="shared" si="18"/>
        <v>11</v>
      </c>
      <c r="B1178" s="92" t="s">
        <v>3067</v>
      </c>
      <c r="C1178" s="92" t="s">
        <v>3068</v>
      </c>
      <c r="D1178" s="95">
        <v>0</v>
      </c>
      <c r="E1178" s="95">
        <v>16696.12</v>
      </c>
      <c r="F1178" s="95">
        <v>0</v>
      </c>
      <c r="G1178" s="95">
        <v>16696.12</v>
      </c>
      <c r="H1178" s="95">
        <v>-16696.12</v>
      </c>
    </row>
    <row r="1179" spans="1:8" ht="19.8" customHeight="1" x14ac:dyDescent="0.3">
      <c r="A1179" s="98">
        <f t="shared" si="18"/>
        <v>11</v>
      </c>
      <c r="B1179" s="92" t="s">
        <v>3069</v>
      </c>
      <c r="C1179" s="92" t="s">
        <v>3070</v>
      </c>
      <c r="D1179" s="95">
        <v>25720.43</v>
      </c>
      <c r="E1179" s="95">
        <v>6244394.1299999999</v>
      </c>
      <c r="F1179" s="95">
        <v>0</v>
      </c>
      <c r="G1179" s="95">
        <v>6218673.7000000002</v>
      </c>
      <c r="H1179" s="95">
        <v>-6218673.7000000002</v>
      </c>
    </row>
    <row r="1180" spans="1:8" ht="19.8" customHeight="1" x14ac:dyDescent="0.3">
      <c r="A1180" s="98">
        <f t="shared" si="18"/>
        <v>11</v>
      </c>
      <c r="B1180" s="92" t="s">
        <v>3071</v>
      </c>
      <c r="C1180" s="92" t="s">
        <v>3072</v>
      </c>
      <c r="D1180" s="95">
        <v>0</v>
      </c>
      <c r="E1180" s="95">
        <v>4137.5600000000004</v>
      </c>
      <c r="F1180" s="95">
        <v>0</v>
      </c>
      <c r="G1180" s="95">
        <v>4137.5600000000004</v>
      </c>
      <c r="H1180" s="95">
        <v>-4137.5600000000004</v>
      </c>
    </row>
    <row r="1181" spans="1:8" ht="19.8" customHeight="1" x14ac:dyDescent="0.3">
      <c r="A1181" s="98">
        <f t="shared" si="18"/>
        <v>11</v>
      </c>
      <c r="B1181" s="92" t="s">
        <v>3073</v>
      </c>
      <c r="C1181" s="92" t="s">
        <v>3074</v>
      </c>
      <c r="D1181" s="95">
        <v>0</v>
      </c>
      <c r="E1181" s="95">
        <v>14466.85</v>
      </c>
      <c r="F1181" s="95">
        <v>0</v>
      </c>
      <c r="G1181" s="95">
        <v>14466.85</v>
      </c>
      <c r="H1181" s="95">
        <v>-14466.85</v>
      </c>
    </row>
    <row r="1182" spans="1:8" ht="19.8" customHeight="1" x14ac:dyDescent="0.3">
      <c r="A1182" s="98">
        <f t="shared" si="18"/>
        <v>11</v>
      </c>
      <c r="B1182" s="92" t="s">
        <v>3075</v>
      </c>
      <c r="C1182" s="92" t="s">
        <v>3076</v>
      </c>
      <c r="D1182" s="95">
        <v>827.27</v>
      </c>
      <c r="E1182" s="95">
        <v>1871116.12</v>
      </c>
      <c r="F1182" s="95">
        <v>0</v>
      </c>
      <c r="G1182" s="95">
        <v>1870288.85</v>
      </c>
      <c r="H1182" s="95">
        <v>-1870288.85</v>
      </c>
    </row>
    <row r="1183" spans="1:8" ht="19.8" customHeight="1" x14ac:dyDescent="0.3">
      <c r="A1183" s="98">
        <f t="shared" si="18"/>
        <v>11</v>
      </c>
      <c r="B1183" s="92" t="s">
        <v>3077</v>
      </c>
      <c r="C1183" s="92" t="s">
        <v>3078</v>
      </c>
      <c r="D1183" s="95">
        <v>0</v>
      </c>
      <c r="E1183" s="95">
        <v>910</v>
      </c>
      <c r="F1183" s="95">
        <v>0</v>
      </c>
      <c r="G1183" s="95">
        <v>910</v>
      </c>
      <c r="H1183" s="95">
        <v>-910</v>
      </c>
    </row>
    <row r="1184" spans="1:8" ht="19.8" customHeight="1" x14ac:dyDescent="0.3">
      <c r="A1184" s="98">
        <f t="shared" si="18"/>
        <v>11</v>
      </c>
      <c r="B1184" s="92" t="s">
        <v>3079</v>
      </c>
      <c r="C1184" s="92" t="s">
        <v>3080</v>
      </c>
      <c r="D1184" s="95">
        <v>0</v>
      </c>
      <c r="E1184" s="95">
        <v>1004971.89</v>
      </c>
      <c r="F1184" s="95">
        <v>0</v>
      </c>
      <c r="G1184" s="95">
        <v>1004971.89</v>
      </c>
      <c r="H1184" s="95">
        <v>-1004971.89</v>
      </c>
    </row>
    <row r="1185" spans="1:8" ht="19.8" customHeight="1" x14ac:dyDescent="0.3">
      <c r="A1185" s="98">
        <f t="shared" si="18"/>
        <v>7</v>
      </c>
      <c r="B1185" s="92" t="s">
        <v>3081</v>
      </c>
      <c r="C1185" s="92" t="s">
        <v>3082</v>
      </c>
      <c r="D1185" s="95">
        <v>0</v>
      </c>
      <c r="E1185" s="95">
        <v>231044987.94999999</v>
      </c>
      <c r="F1185" s="95">
        <v>0</v>
      </c>
      <c r="G1185" s="95">
        <v>231044987.94999999</v>
      </c>
      <c r="H1185" s="95">
        <v>-231044987.94999999</v>
      </c>
    </row>
    <row r="1186" spans="1:8" ht="19.8" customHeight="1" x14ac:dyDescent="0.3">
      <c r="A1186" s="98">
        <f t="shared" si="18"/>
        <v>11</v>
      </c>
      <c r="B1186" s="92" t="s">
        <v>3083</v>
      </c>
      <c r="C1186" s="92" t="s">
        <v>3084</v>
      </c>
      <c r="D1186" s="95">
        <v>0</v>
      </c>
      <c r="E1186" s="95">
        <v>6000000</v>
      </c>
      <c r="F1186" s="95">
        <v>0</v>
      </c>
      <c r="G1186" s="95">
        <v>6000000</v>
      </c>
      <c r="H1186" s="95">
        <v>-6000000</v>
      </c>
    </row>
    <row r="1187" spans="1:8" ht="19.8" customHeight="1" x14ac:dyDescent="0.3">
      <c r="A1187" s="98">
        <f t="shared" si="18"/>
        <v>11</v>
      </c>
      <c r="B1187" s="92" t="s">
        <v>3085</v>
      </c>
      <c r="C1187" s="92" t="s">
        <v>3086</v>
      </c>
      <c r="D1187" s="95">
        <v>0</v>
      </c>
      <c r="E1187" s="95">
        <v>48632387.630000003</v>
      </c>
      <c r="F1187" s="95">
        <v>0</v>
      </c>
      <c r="G1187" s="95">
        <v>48632387.630000003</v>
      </c>
      <c r="H1187" s="95">
        <v>-48632387.630000003</v>
      </c>
    </row>
    <row r="1188" spans="1:8" ht="19.8" customHeight="1" x14ac:dyDescent="0.3">
      <c r="A1188" s="98">
        <f t="shared" si="18"/>
        <v>11</v>
      </c>
      <c r="B1188" s="92" t="s">
        <v>3087</v>
      </c>
      <c r="C1188" s="92" t="s">
        <v>3088</v>
      </c>
      <c r="D1188" s="95">
        <v>0</v>
      </c>
      <c r="E1188" s="95">
        <v>156318390.06</v>
      </c>
      <c r="F1188" s="95">
        <v>0</v>
      </c>
      <c r="G1188" s="95">
        <v>156318390.06</v>
      </c>
      <c r="H1188" s="95">
        <v>-156318390.06</v>
      </c>
    </row>
    <row r="1189" spans="1:8" ht="19.8" customHeight="1" x14ac:dyDescent="0.3">
      <c r="A1189" s="98">
        <f t="shared" si="18"/>
        <v>11</v>
      </c>
      <c r="B1189" s="92" t="s">
        <v>3089</v>
      </c>
      <c r="C1189" s="92" t="s">
        <v>3090</v>
      </c>
      <c r="D1189" s="95">
        <v>0</v>
      </c>
      <c r="E1189" s="95">
        <v>17368710.260000002</v>
      </c>
      <c r="F1189" s="95">
        <v>0</v>
      </c>
      <c r="G1189" s="95">
        <v>17368710.260000002</v>
      </c>
      <c r="H1189" s="95">
        <v>-17368710.260000002</v>
      </c>
    </row>
    <row r="1190" spans="1:8" ht="19.8" customHeight="1" x14ac:dyDescent="0.3">
      <c r="A1190" s="98">
        <f t="shared" si="18"/>
        <v>11</v>
      </c>
      <c r="B1190" s="92" t="s">
        <v>3091</v>
      </c>
      <c r="C1190" s="92" t="s">
        <v>3092</v>
      </c>
      <c r="D1190" s="95">
        <v>0</v>
      </c>
      <c r="E1190" s="95">
        <v>182000</v>
      </c>
      <c r="F1190" s="95">
        <v>0</v>
      </c>
      <c r="G1190" s="95">
        <v>182000</v>
      </c>
      <c r="H1190" s="95">
        <v>-182000</v>
      </c>
    </row>
    <row r="1191" spans="1:8" ht="19.8" customHeight="1" x14ac:dyDescent="0.3">
      <c r="A1191" s="98">
        <f t="shared" si="18"/>
        <v>11</v>
      </c>
      <c r="B1191" s="92" t="s">
        <v>3093</v>
      </c>
      <c r="C1191" s="92" t="s">
        <v>3094</v>
      </c>
      <c r="D1191" s="95">
        <v>0</v>
      </c>
      <c r="E1191" s="95">
        <v>2543500</v>
      </c>
      <c r="F1191" s="95">
        <v>0</v>
      </c>
      <c r="G1191" s="95">
        <v>2543500</v>
      </c>
      <c r="H1191" s="95">
        <v>-2543500</v>
      </c>
    </row>
    <row r="1192" spans="1:8" ht="19.8" customHeight="1" x14ac:dyDescent="0.3">
      <c r="A1192" s="98">
        <f t="shared" si="18"/>
        <v>7</v>
      </c>
      <c r="B1192" s="92" t="s">
        <v>3095</v>
      </c>
      <c r="C1192" s="92" t="s">
        <v>3096</v>
      </c>
      <c r="D1192" s="95">
        <v>0</v>
      </c>
      <c r="E1192" s="95">
        <v>100549245.06999999</v>
      </c>
      <c r="F1192" s="95">
        <v>0</v>
      </c>
      <c r="G1192" s="95">
        <v>100549245.06999999</v>
      </c>
      <c r="H1192" s="95">
        <v>-100549245.06999999</v>
      </c>
    </row>
    <row r="1193" spans="1:8" ht="19.8" customHeight="1" x14ac:dyDescent="0.3">
      <c r="A1193" s="98">
        <f t="shared" si="18"/>
        <v>11</v>
      </c>
      <c r="B1193" s="92" t="s">
        <v>3097</v>
      </c>
      <c r="C1193" s="92" t="s">
        <v>3098</v>
      </c>
      <c r="D1193" s="95">
        <v>0</v>
      </c>
      <c r="E1193" s="95">
        <v>59409204.289999999</v>
      </c>
      <c r="F1193" s="95">
        <v>0</v>
      </c>
      <c r="G1193" s="95">
        <v>59409204.289999999</v>
      </c>
      <c r="H1193" s="95">
        <v>-59409204.289999999</v>
      </c>
    </row>
    <row r="1194" spans="1:8" ht="19.8" customHeight="1" x14ac:dyDescent="0.3">
      <c r="A1194" s="98">
        <f t="shared" si="18"/>
        <v>11</v>
      </c>
      <c r="B1194" s="92" t="s">
        <v>3099</v>
      </c>
      <c r="C1194" s="92" t="s">
        <v>3100</v>
      </c>
      <c r="D1194" s="95">
        <v>0</v>
      </c>
      <c r="E1194" s="95">
        <v>2149724.09</v>
      </c>
      <c r="F1194" s="95">
        <v>0</v>
      </c>
      <c r="G1194" s="95">
        <v>2149724.09</v>
      </c>
      <c r="H1194" s="95">
        <v>-2149724.09</v>
      </c>
    </row>
    <row r="1195" spans="1:8" ht="19.8" customHeight="1" x14ac:dyDescent="0.3">
      <c r="A1195" s="98">
        <f t="shared" si="18"/>
        <v>11</v>
      </c>
      <c r="B1195" s="92" t="s">
        <v>3101</v>
      </c>
      <c r="C1195" s="92" t="s">
        <v>3102</v>
      </c>
      <c r="D1195" s="95">
        <v>0</v>
      </c>
      <c r="E1195" s="95">
        <v>1160481</v>
      </c>
      <c r="F1195" s="95">
        <v>0</v>
      </c>
      <c r="G1195" s="95">
        <v>1160481</v>
      </c>
      <c r="H1195" s="95">
        <v>-1160481</v>
      </c>
    </row>
    <row r="1196" spans="1:8" ht="19.8" customHeight="1" x14ac:dyDescent="0.3">
      <c r="A1196" s="98">
        <f t="shared" si="18"/>
        <v>11</v>
      </c>
      <c r="B1196" s="92" t="s">
        <v>3103</v>
      </c>
      <c r="C1196" s="92" t="s">
        <v>3104</v>
      </c>
      <c r="D1196" s="95">
        <v>0</v>
      </c>
      <c r="E1196" s="95">
        <v>15903780.24</v>
      </c>
      <c r="F1196" s="95">
        <v>0</v>
      </c>
      <c r="G1196" s="95">
        <v>15903780.24</v>
      </c>
      <c r="H1196" s="95">
        <v>-15903780.24</v>
      </c>
    </row>
    <row r="1197" spans="1:8" ht="19.8" customHeight="1" x14ac:dyDescent="0.3">
      <c r="A1197" s="98">
        <f t="shared" si="18"/>
        <v>11</v>
      </c>
      <c r="B1197" s="92" t="s">
        <v>3105</v>
      </c>
      <c r="C1197" s="92" t="s">
        <v>3106</v>
      </c>
      <c r="D1197" s="95">
        <v>0</v>
      </c>
      <c r="E1197" s="95">
        <v>4737259.91</v>
      </c>
      <c r="F1197" s="95">
        <v>0</v>
      </c>
      <c r="G1197" s="95">
        <v>4737259.91</v>
      </c>
      <c r="H1197" s="95">
        <v>-4737259.91</v>
      </c>
    </row>
    <row r="1198" spans="1:8" ht="19.8" customHeight="1" x14ac:dyDescent="0.3">
      <c r="A1198" s="98">
        <f t="shared" si="18"/>
        <v>11</v>
      </c>
      <c r="B1198" s="92" t="s">
        <v>3107</v>
      </c>
      <c r="C1198" s="92" t="s">
        <v>3108</v>
      </c>
      <c r="D1198" s="95">
        <v>0</v>
      </c>
      <c r="E1198" s="95">
        <v>400000</v>
      </c>
      <c r="F1198" s="95">
        <v>0</v>
      </c>
      <c r="G1198" s="95">
        <v>400000</v>
      </c>
      <c r="H1198" s="95">
        <v>-400000</v>
      </c>
    </row>
    <row r="1199" spans="1:8" ht="19.8" customHeight="1" x14ac:dyDescent="0.3">
      <c r="A1199" s="98">
        <f t="shared" si="18"/>
        <v>11</v>
      </c>
      <c r="B1199" s="92" t="s">
        <v>3109</v>
      </c>
      <c r="C1199" s="92" t="s">
        <v>3110</v>
      </c>
      <c r="D1199" s="95">
        <v>0</v>
      </c>
      <c r="E1199" s="95">
        <v>4988064.8</v>
      </c>
      <c r="F1199" s="95">
        <v>0</v>
      </c>
      <c r="G1199" s="95">
        <v>4988064.8</v>
      </c>
      <c r="H1199" s="95">
        <v>-4988064.8</v>
      </c>
    </row>
    <row r="1200" spans="1:8" ht="19.8" customHeight="1" x14ac:dyDescent="0.3">
      <c r="A1200" s="98">
        <f t="shared" si="18"/>
        <v>11</v>
      </c>
      <c r="B1200" s="92" t="s">
        <v>3111</v>
      </c>
      <c r="C1200" s="92" t="s">
        <v>3112</v>
      </c>
      <c r="D1200" s="95">
        <v>0</v>
      </c>
      <c r="E1200" s="95">
        <v>11322155.74</v>
      </c>
      <c r="F1200" s="95">
        <v>0</v>
      </c>
      <c r="G1200" s="95">
        <v>11322155.74</v>
      </c>
      <c r="H1200" s="95">
        <v>-11322155.74</v>
      </c>
    </row>
    <row r="1201" spans="1:8" ht="19.8" customHeight="1" x14ac:dyDescent="0.3">
      <c r="A1201" s="98">
        <f t="shared" si="18"/>
        <v>11</v>
      </c>
      <c r="B1201" s="92" t="s">
        <v>3113</v>
      </c>
      <c r="C1201" s="92" t="s">
        <v>3114</v>
      </c>
      <c r="D1201" s="95">
        <v>0</v>
      </c>
      <c r="E1201" s="95">
        <v>478575</v>
      </c>
      <c r="F1201" s="95">
        <v>0</v>
      </c>
      <c r="G1201" s="95">
        <v>478575</v>
      </c>
      <c r="H1201" s="95">
        <v>-478575</v>
      </c>
    </row>
    <row r="1202" spans="1:8" ht="19.8" customHeight="1" x14ac:dyDescent="0.3">
      <c r="A1202" s="98">
        <f t="shared" si="18"/>
        <v>3</v>
      </c>
      <c r="B1202" s="92" t="s">
        <v>168</v>
      </c>
      <c r="C1202" s="92" t="s">
        <v>404</v>
      </c>
      <c r="D1202" s="95">
        <v>80</v>
      </c>
      <c r="E1202" s="95">
        <v>35843045.240000002</v>
      </c>
      <c r="F1202" s="95">
        <v>0</v>
      </c>
      <c r="G1202" s="95">
        <v>35842965.240000002</v>
      </c>
      <c r="H1202" s="95">
        <v>-35842965.240000002</v>
      </c>
    </row>
    <row r="1203" spans="1:8" ht="19.8" customHeight="1" x14ac:dyDescent="0.3">
      <c r="A1203" s="98">
        <f t="shared" si="18"/>
        <v>7</v>
      </c>
      <c r="B1203" s="92" t="s">
        <v>3115</v>
      </c>
      <c r="C1203" s="92" t="s">
        <v>404</v>
      </c>
      <c r="D1203" s="95">
        <v>80</v>
      </c>
      <c r="E1203" s="95">
        <v>16855135.120000001</v>
      </c>
      <c r="F1203" s="95">
        <v>0</v>
      </c>
      <c r="G1203" s="95">
        <v>16855055.120000001</v>
      </c>
      <c r="H1203" s="95">
        <v>-16855055.120000001</v>
      </c>
    </row>
    <row r="1204" spans="1:8" ht="19.8" customHeight="1" x14ac:dyDescent="0.3">
      <c r="A1204" s="98">
        <f t="shared" si="18"/>
        <v>11</v>
      </c>
      <c r="B1204" s="92" t="s">
        <v>449</v>
      </c>
      <c r="C1204" s="92" t="s">
        <v>450</v>
      </c>
      <c r="D1204" s="95">
        <v>80</v>
      </c>
      <c r="E1204" s="95">
        <v>16855135.120000001</v>
      </c>
      <c r="F1204" s="95">
        <v>0</v>
      </c>
      <c r="G1204" s="95">
        <v>16855055.120000001</v>
      </c>
      <c r="H1204" s="95">
        <v>-16855055.120000001</v>
      </c>
    </row>
    <row r="1205" spans="1:8" ht="19.8" customHeight="1" x14ac:dyDescent="0.3">
      <c r="A1205" s="98">
        <f t="shared" si="18"/>
        <v>7</v>
      </c>
      <c r="B1205" s="92" t="s">
        <v>3116</v>
      </c>
      <c r="C1205" s="92" t="s">
        <v>3117</v>
      </c>
      <c r="D1205" s="95">
        <v>0</v>
      </c>
      <c r="E1205" s="95">
        <v>3170932.08</v>
      </c>
      <c r="F1205" s="95">
        <v>0</v>
      </c>
      <c r="G1205" s="95">
        <v>3170932.08</v>
      </c>
      <c r="H1205" s="95">
        <v>-3170932.08</v>
      </c>
    </row>
    <row r="1206" spans="1:8" ht="19.8" customHeight="1" x14ac:dyDescent="0.3">
      <c r="A1206" s="98">
        <f t="shared" si="18"/>
        <v>11</v>
      </c>
      <c r="B1206" s="92" t="s">
        <v>451</v>
      </c>
      <c r="C1206" s="92" t="s">
        <v>452</v>
      </c>
      <c r="D1206" s="95">
        <v>0</v>
      </c>
      <c r="E1206" s="95">
        <v>2178838.86</v>
      </c>
      <c r="F1206" s="95">
        <v>0</v>
      </c>
      <c r="G1206" s="95">
        <v>2178838.86</v>
      </c>
      <c r="H1206" s="95">
        <v>-2178838.86</v>
      </c>
    </row>
    <row r="1207" spans="1:8" ht="19.8" customHeight="1" x14ac:dyDescent="0.3">
      <c r="A1207" s="98">
        <f t="shared" si="18"/>
        <v>11</v>
      </c>
      <c r="B1207" s="92" t="s">
        <v>453</v>
      </c>
      <c r="C1207" s="92" t="s">
        <v>454</v>
      </c>
      <c r="D1207" s="95">
        <v>0</v>
      </c>
      <c r="E1207" s="95">
        <v>242093.22</v>
      </c>
      <c r="F1207" s="95">
        <v>0</v>
      </c>
      <c r="G1207" s="95">
        <v>242093.22</v>
      </c>
      <c r="H1207" s="95">
        <v>-242093.22</v>
      </c>
    </row>
    <row r="1208" spans="1:8" ht="19.8" customHeight="1" x14ac:dyDescent="0.3">
      <c r="A1208" s="98">
        <f t="shared" si="18"/>
        <v>11</v>
      </c>
      <c r="B1208" s="92" t="s">
        <v>3118</v>
      </c>
      <c r="C1208" s="92" t="s">
        <v>3119</v>
      </c>
      <c r="D1208" s="95">
        <v>0</v>
      </c>
      <c r="E1208" s="95">
        <v>750000</v>
      </c>
      <c r="F1208" s="95">
        <v>0</v>
      </c>
      <c r="G1208" s="95">
        <v>750000</v>
      </c>
      <c r="H1208" s="95">
        <v>-750000</v>
      </c>
    </row>
    <row r="1209" spans="1:8" ht="19.8" customHeight="1" x14ac:dyDescent="0.3">
      <c r="A1209" s="98">
        <f t="shared" si="18"/>
        <v>7</v>
      </c>
      <c r="B1209" s="92" t="s">
        <v>3120</v>
      </c>
      <c r="C1209" s="92" t="s">
        <v>404</v>
      </c>
      <c r="D1209" s="95">
        <v>0</v>
      </c>
      <c r="E1209" s="95">
        <v>15816978.039999999</v>
      </c>
      <c r="F1209" s="95">
        <v>0</v>
      </c>
      <c r="G1209" s="95">
        <v>15816978.039999999</v>
      </c>
      <c r="H1209" s="95">
        <v>-15816978.039999999</v>
      </c>
    </row>
    <row r="1210" spans="1:8" ht="19.8" customHeight="1" x14ac:dyDescent="0.3">
      <c r="A1210" s="98">
        <f t="shared" si="18"/>
        <v>11</v>
      </c>
      <c r="B1210" s="92" t="s">
        <v>455</v>
      </c>
      <c r="C1210" s="92" t="s">
        <v>456</v>
      </c>
      <c r="D1210" s="95">
        <v>0</v>
      </c>
      <c r="E1210" s="95">
        <v>6619195.4100000001</v>
      </c>
      <c r="F1210" s="95">
        <v>0</v>
      </c>
      <c r="G1210" s="95">
        <v>6619195.4100000001</v>
      </c>
      <c r="H1210" s="95">
        <v>-6619195.4100000001</v>
      </c>
    </row>
    <row r="1211" spans="1:8" ht="19.8" customHeight="1" x14ac:dyDescent="0.3">
      <c r="A1211" s="98">
        <f t="shared" si="18"/>
        <v>11</v>
      </c>
      <c r="B1211" s="92" t="s">
        <v>457</v>
      </c>
      <c r="C1211" s="92" t="s">
        <v>458</v>
      </c>
      <c r="D1211" s="95">
        <v>0</v>
      </c>
      <c r="E1211" s="95">
        <v>1385605.16</v>
      </c>
      <c r="F1211" s="95">
        <v>0</v>
      </c>
      <c r="G1211" s="95">
        <v>1385605.16</v>
      </c>
      <c r="H1211" s="95">
        <v>-1385605.16</v>
      </c>
    </row>
    <row r="1212" spans="1:8" ht="19.8" customHeight="1" x14ac:dyDescent="0.3">
      <c r="A1212" s="98">
        <f t="shared" si="18"/>
        <v>11</v>
      </c>
      <c r="B1212" s="92" t="s">
        <v>459</v>
      </c>
      <c r="C1212" s="92" t="s">
        <v>460</v>
      </c>
      <c r="D1212" s="95">
        <v>0</v>
      </c>
      <c r="E1212" s="95">
        <v>4891825.8499999996</v>
      </c>
      <c r="F1212" s="95">
        <v>0</v>
      </c>
      <c r="G1212" s="95">
        <v>4891825.8499999996</v>
      </c>
      <c r="H1212" s="95">
        <v>-4891825.8499999996</v>
      </c>
    </row>
    <row r="1213" spans="1:8" ht="19.8" customHeight="1" x14ac:dyDescent="0.3">
      <c r="A1213" s="98">
        <f t="shared" si="18"/>
        <v>11</v>
      </c>
      <c r="B1213" s="92" t="s">
        <v>983</v>
      </c>
      <c r="C1213" s="92" t="s">
        <v>984</v>
      </c>
      <c r="D1213" s="95">
        <v>0</v>
      </c>
      <c r="E1213" s="95">
        <v>2920351.62</v>
      </c>
      <c r="F1213" s="95">
        <v>0</v>
      </c>
      <c r="G1213" s="95">
        <v>2920351.62</v>
      </c>
      <c r="H1213" s="95">
        <v>-2920351.62</v>
      </c>
    </row>
    <row r="1214" spans="1:8" ht="19.8" customHeight="1" x14ac:dyDescent="0.3">
      <c r="A1214" s="98">
        <f t="shared" si="18"/>
        <v>3</v>
      </c>
      <c r="B1214" s="92" t="s">
        <v>167</v>
      </c>
      <c r="C1214" s="92" t="s">
        <v>349</v>
      </c>
      <c r="D1214" s="95">
        <v>80882680.739999995</v>
      </c>
      <c r="E1214" s="95">
        <v>627495065.88999999</v>
      </c>
      <c r="F1214" s="95">
        <v>0</v>
      </c>
      <c r="G1214" s="95">
        <v>546612385.14999998</v>
      </c>
      <c r="H1214" s="95">
        <v>-546612385.14999998</v>
      </c>
    </row>
    <row r="1215" spans="1:8" ht="19.8" customHeight="1" x14ac:dyDescent="0.3">
      <c r="A1215" s="98">
        <f t="shared" si="18"/>
        <v>7</v>
      </c>
      <c r="B1215" s="92" t="s">
        <v>3121</v>
      </c>
      <c r="C1215" s="92" t="s">
        <v>349</v>
      </c>
      <c r="D1215" s="95">
        <v>7461089.4000000004</v>
      </c>
      <c r="E1215" s="95">
        <v>22040601.760000002</v>
      </c>
      <c r="F1215" s="95">
        <v>0</v>
      </c>
      <c r="G1215" s="95">
        <v>14579512.359999999</v>
      </c>
      <c r="H1215" s="95">
        <v>-14579512.359999999</v>
      </c>
    </row>
    <row r="1216" spans="1:8" ht="19.8" customHeight="1" x14ac:dyDescent="0.3">
      <c r="A1216" s="98">
        <f t="shared" si="18"/>
        <v>11</v>
      </c>
      <c r="B1216" s="92" t="s">
        <v>3122</v>
      </c>
      <c r="C1216" s="92" t="s">
        <v>3123</v>
      </c>
      <c r="D1216" s="95">
        <v>0</v>
      </c>
      <c r="E1216" s="95">
        <v>1406392</v>
      </c>
      <c r="F1216" s="95">
        <v>0</v>
      </c>
      <c r="G1216" s="95">
        <v>1406392</v>
      </c>
      <c r="H1216" s="95">
        <v>-1406392</v>
      </c>
    </row>
    <row r="1217" spans="1:8" ht="19.8" customHeight="1" x14ac:dyDescent="0.3">
      <c r="A1217" s="98">
        <f t="shared" si="18"/>
        <v>11</v>
      </c>
      <c r="B1217" s="92" t="s">
        <v>3124</v>
      </c>
      <c r="C1217" s="92" t="s">
        <v>3125</v>
      </c>
      <c r="D1217" s="95">
        <v>0</v>
      </c>
      <c r="E1217" s="95">
        <v>1075760</v>
      </c>
      <c r="F1217" s="95">
        <v>0</v>
      </c>
      <c r="G1217" s="95">
        <v>1075760</v>
      </c>
      <c r="H1217" s="95">
        <v>-1075760</v>
      </c>
    </row>
    <row r="1218" spans="1:8" ht="19.8" customHeight="1" x14ac:dyDescent="0.3">
      <c r="A1218" s="98">
        <f t="shared" si="18"/>
        <v>11</v>
      </c>
      <c r="B1218" s="92" t="s">
        <v>3126</v>
      </c>
      <c r="C1218" s="92" t="s">
        <v>3127</v>
      </c>
      <c r="D1218" s="95">
        <v>0</v>
      </c>
      <c r="E1218" s="95">
        <v>88419.5</v>
      </c>
      <c r="F1218" s="95">
        <v>0</v>
      </c>
      <c r="G1218" s="95">
        <v>88419.5</v>
      </c>
      <c r="H1218" s="95">
        <v>-88419.5</v>
      </c>
    </row>
    <row r="1219" spans="1:8" ht="19.8" customHeight="1" x14ac:dyDescent="0.3">
      <c r="A1219" s="98">
        <f t="shared" ref="A1219:A1282" si="19">+LEN(B1219)</f>
        <v>11</v>
      </c>
      <c r="B1219" s="92" t="s">
        <v>3128</v>
      </c>
      <c r="C1219" s="92" t="s">
        <v>3129</v>
      </c>
      <c r="D1219" s="95">
        <v>0</v>
      </c>
      <c r="E1219" s="95">
        <v>216600</v>
      </c>
      <c r="F1219" s="95">
        <v>0</v>
      </c>
      <c r="G1219" s="95">
        <v>216600</v>
      </c>
      <c r="H1219" s="95">
        <v>-216600</v>
      </c>
    </row>
    <row r="1220" spans="1:8" ht="19.8" customHeight="1" x14ac:dyDescent="0.3">
      <c r="A1220" s="98">
        <f t="shared" si="19"/>
        <v>11</v>
      </c>
      <c r="B1220" s="92" t="s">
        <v>3130</v>
      </c>
      <c r="C1220" s="92" t="s">
        <v>3131</v>
      </c>
      <c r="D1220" s="95">
        <v>0</v>
      </c>
      <c r="E1220" s="95">
        <v>360000</v>
      </c>
      <c r="F1220" s="95">
        <v>0</v>
      </c>
      <c r="G1220" s="95">
        <v>360000</v>
      </c>
      <c r="H1220" s="95">
        <v>-360000</v>
      </c>
    </row>
    <row r="1221" spans="1:8" ht="19.8" customHeight="1" x14ac:dyDescent="0.3">
      <c r="A1221" s="98">
        <f t="shared" si="19"/>
        <v>11</v>
      </c>
      <c r="B1221" s="92" t="s">
        <v>3132</v>
      </c>
      <c r="C1221" s="92" t="s">
        <v>3133</v>
      </c>
      <c r="D1221" s="95">
        <v>68586.960000000006</v>
      </c>
      <c r="E1221" s="95">
        <v>2809874.23</v>
      </c>
      <c r="F1221" s="95">
        <v>0</v>
      </c>
      <c r="G1221" s="95">
        <v>2741287.27</v>
      </c>
      <c r="H1221" s="95">
        <v>-2741287.27</v>
      </c>
    </row>
    <row r="1222" spans="1:8" ht="19.8" customHeight="1" x14ac:dyDescent="0.3">
      <c r="A1222" s="98">
        <f t="shared" si="19"/>
        <v>11</v>
      </c>
      <c r="B1222" s="92" t="s">
        <v>3134</v>
      </c>
      <c r="C1222" s="92" t="s">
        <v>3135</v>
      </c>
      <c r="D1222" s="95">
        <v>0</v>
      </c>
      <c r="E1222" s="95">
        <v>1133667.06</v>
      </c>
      <c r="F1222" s="95">
        <v>0</v>
      </c>
      <c r="G1222" s="95">
        <v>1133667.06</v>
      </c>
      <c r="H1222" s="95">
        <v>-1133667.06</v>
      </c>
    </row>
    <row r="1223" spans="1:8" ht="19.8" customHeight="1" x14ac:dyDescent="0.3">
      <c r="A1223" s="98">
        <f t="shared" si="19"/>
        <v>11</v>
      </c>
      <c r="B1223" s="92" t="s">
        <v>3136</v>
      </c>
      <c r="C1223" s="92" t="s">
        <v>3137</v>
      </c>
      <c r="D1223" s="95">
        <v>42.44</v>
      </c>
      <c r="E1223" s="95">
        <v>162068.97</v>
      </c>
      <c r="F1223" s="95">
        <v>0</v>
      </c>
      <c r="G1223" s="95">
        <v>162026.53</v>
      </c>
      <c r="H1223" s="95">
        <v>-162026.53</v>
      </c>
    </row>
    <row r="1224" spans="1:8" ht="19.8" customHeight="1" x14ac:dyDescent="0.3">
      <c r="A1224" s="98">
        <f t="shared" si="19"/>
        <v>11</v>
      </c>
      <c r="B1224" s="92" t="s">
        <v>3138</v>
      </c>
      <c r="C1224" s="92" t="s">
        <v>3139</v>
      </c>
      <c r="D1224" s="95">
        <v>7392460</v>
      </c>
      <c r="E1224" s="95">
        <v>14787820</v>
      </c>
      <c r="F1224" s="95">
        <v>0</v>
      </c>
      <c r="G1224" s="95">
        <v>7395360</v>
      </c>
      <c r="H1224" s="95">
        <v>-7395360</v>
      </c>
    </row>
    <row r="1225" spans="1:8" ht="19.8" customHeight="1" x14ac:dyDescent="0.3">
      <c r="A1225" s="98">
        <f t="shared" si="19"/>
        <v>7</v>
      </c>
      <c r="B1225" s="92" t="s">
        <v>3140</v>
      </c>
      <c r="C1225" s="92" t="s">
        <v>3141</v>
      </c>
      <c r="D1225" s="95">
        <v>40027.629999999997</v>
      </c>
      <c r="E1225" s="95">
        <v>14413824.970000001</v>
      </c>
      <c r="F1225" s="95">
        <v>0</v>
      </c>
      <c r="G1225" s="95">
        <v>14373797.34</v>
      </c>
      <c r="H1225" s="95">
        <v>-14373797.34</v>
      </c>
    </row>
    <row r="1226" spans="1:8" ht="19.8" customHeight="1" x14ac:dyDescent="0.3">
      <c r="A1226" s="98">
        <f t="shared" si="19"/>
        <v>11</v>
      </c>
      <c r="B1226" s="92" t="s">
        <v>3142</v>
      </c>
      <c r="C1226" s="92" t="s">
        <v>3143</v>
      </c>
      <c r="D1226" s="95">
        <v>0</v>
      </c>
      <c r="E1226" s="95">
        <v>785567.33</v>
      </c>
      <c r="F1226" s="95">
        <v>0</v>
      </c>
      <c r="G1226" s="95">
        <v>785567.33</v>
      </c>
      <c r="H1226" s="95">
        <v>-785567.33</v>
      </c>
    </row>
    <row r="1227" spans="1:8" ht="19.8" customHeight="1" x14ac:dyDescent="0.3">
      <c r="A1227" s="98">
        <f t="shared" si="19"/>
        <v>11</v>
      </c>
      <c r="B1227" s="92" t="s">
        <v>3144</v>
      </c>
      <c r="C1227" s="92" t="s">
        <v>3145</v>
      </c>
      <c r="D1227" s="95">
        <v>0</v>
      </c>
      <c r="E1227" s="95">
        <v>3316449.72</v>
      </c>
      <c r="F1227" s="95">
        <v>0</v>
      </c>
      <c r="G1227" s="95">
        <v>3316449.72</v>
      </c>
      <c r="H1227" s="95">
        <v>-3316449.72</v>
      </c>
    </row>
    <row r="1228" spans="1:8" ht="19.8" customHeight="1" x14ac:dyDescent="0.3">
      <c r="A1228" s="98">
        <f t="shared" si="19"/>
        <v>11</v>
      </c>
      <c r="B1228" s="92" t="s">
        <v>3146</v>
      </c>
      <c r="C1228" s="92" t="s">
        <v>3147</v>
      </c>
      <c r="D1228" s="95">
        <v>40027.629999999997</v>
      </c>
      <c r="E1228" s="95">
        <v>1427474.78</v>
      </c>
      <c r="F1228" s="95">
        <v>0</v>
      </c>
      <c r="G1228" s="95">
        <v>1387447.15</v>
      </c>
      <c r="H1228" s="95">
        <v>-1387447.15</v>
      </c>
    </row>
    <row r="1229" spans="1:8" ht="19.8" customHeight="1" x14ac:dyDescent="0.3">
      <c r="A1229" s="98">
        <f t="shared" si="19"/>
        <v>11</v>
      </c>
      <c r="B1229" s="92" t="s">
        <v>3148</v>
      </c>
      <c r="C1229" s="92" t="s">
        <v>3149</v>
      </c>
      <c r="D1229" s="95">
        <v>0</v>
      </c>
      <c r="E1229" s="95">
        <v>1818926.13</v>
      </c>
      <c r="F1229" s="95">
        <v>0</v>
      </c>
      <c r="G1229" s="95">
        <v>1818926.13</v>
      </c>
      <c r="H1229" s="95">
        <v>-1818926.13</v>
      </c>
    </row>
    <row r="1230" spans="1:8" ht="19.8" customHeight="1" x14ac:dyDescent="0.3">
      <c r="A1230" s="98">
        <f t="shared" si="19"/>
        <v>11</v>
      </c>
      <c r="B1230" s="92" t="s">
        <v>3150</v>
      </c>
      <c r="C1230" s="92" t="s">
        <v>3151</v>
      </c>
      <c r="D1230" s="95">
        <v>0</v>
      </c>
      <c r="E1230" s="95">
        <v>4564903.17</v>
      </c>
      <c r="F1230" s="95">
        <v>0</v>
      </c>
      <c r="G1230" s="95">
        <v>4564903.17</v>
      </c>
      <c r="H1230" s="95">
        <v>-4564903.17</v>
      </c>
    </row>
    <row r="1231" spans="1:8" ht="19.8" customHeight="1" x14ac:dyDescent="0.3">
      <c r="A1231" s="98">
        <f t="shared" si="19"/>
        <v>11</v>
      </c>
      <c r="B1231" s="92" t="s">
        <v>3152</v>
      </c>
      <c r="C1231" s="92" t="s">
        <v>3153</v>
      </c>
      <c r="D1231" s="95">
        <v>0</v>
      </c>
      <c r="E1231" s="95">
        <v>825066.24</v>
      </c>
      <c r="F1231" s="95">
        <v>0</v>
      </c>
      <c r="G1231" s="95">
        <v>825066.24</v>
      </c>
      <c r="H1231" s="95">
        <v>-825066.24</v>
      </c>
    </row>
    <row r="1232" spans="1:8" ht="19.8" customHeight="1" x14ac:dyDescent="0.3">
      <c r="A1232" s="98">
        <f t="shared" si="19"/>
        <v>11</v>
      </c>
      <c r="B1232" s="92" t="s">
        <v>3154</v>
      </c>
      <c r="C1232" s="92" t="s">
        <v>3155</v>
      </c>
      <c r="D1232" s="95">
        <v>0</v>
      </c>
      <c r="E1232" s="95">
        <v>1675437.6</v>
      </c>
      <c r="F1232" s="95">
        <v>0</v>
      </c>
      <c r="G1232" s="95">
        <v>1675437.6</v>
      </c>
      <c r="H1232" s="95">
        <v>-1675437.6</v>
      </c>
    </row>
    <row r="1233" spans="1:8" ht="19.8" customHeight="1" x14ac:dyDescent="0.3">
      <c r="A1233" s="98">
        <f t="shared" si="19"/>
        <v>7</v>
      </c>
      <c r="B1233" s="92" t="s">
        <v>461</v>
      </c>
      <c r="C1233" s="92" t="s">
        <v>3156</v>
      </c>
      <c r="D1233" s="95">
        <v>17219284.350000001</v>
      </c>
      <c r="E1233" s="95">
        <v>365691774.86000001</v>
      </c>
      <c r="F1233" s="95">
        <v>0</v>
      </c>
      <c r="G1233" s="95">
        <v>348472490.50999999</v>
      </c>
      <c r="H1233" s="95">
        <v>-348472490.50999999</v>
      </c>
    </row>
    <row r="1234" spans="1:8" ht="19.8" customHeight="1" x14ac:dyDescent="0.3">
      <c r="A1234" s="98">
        <f t="shared" si="19"/>
        <v>11</v>
      </c>
      <c r="B1234" s="92" t="s">
        <v>3157</v>
      </c>
      <c r="C1234" s="92" t="s">
        <v>3158</v>
      </c>
      <c r="D1234" s="95">
        <v>0</v>
      </c>
      <c r="E1234" s="95">
        <v>6492436.4299999997</v>
      </c>
      <c r="F1234" s="95">
        <v>0</v>
      </c>
      <c r="G1234" s="95">
        <v>6492436.4299999997</v>
      </c>
      <c r="H1234" s="95">
        <v>-6492436.4299999997</v>
      </c>
    </row>
    <row r="1235" spans="1:8" ht="19.8" customHeight="1" x14ac:dyDescent="0.3">
      <c r="A1235" s="98">
        <f t="shared" si="19"/>
        <v>11</v>
      </c>
      <c r="B1235" s="92" t="s">
        <v>3159</v>
      </c>
      <c r="C1235" s="92" t="s">
        <v>3160</v>
      </c>
      <c r="D1235" s="95">
        <v>50959.81</v>
      </c>
      <c r="E1235" s="95">
        <v>87302187.209999993</v>
      </c>
      <c r="F1235" s="95">
        <v>0</v>
      </c>
      <c r="G1235" s="95">
        <v>87251227.400000006</v>
      </c>
      <c r="H1235" s="95">
        <v>-87251227.400000006</v>
      </c>
    </row>
    <row r="1236" spans="1:8" ht="19.8" customHeight="1" x14ac:dyDescent="0.3">
      <c r="A1236" s="98">
        <f t="shared" si="19"/>
        <v>11</v>
      </c>
      <c r="B1236" s="92" t="s">
        <v>3161</v>
      </c>
      <c r="C1236" s="92" t="s">
        <v>3162</v>
      </c>
      <c r="D1236" s="95">
        <v>0</v>
      </c>
      <c r="E1236" s="95">
        <v>65829.600000000006</v>
      </c>
      <c r="F1236" s="95">
        <v>0</v>
      </c>
      <c r="G1236" s="95">
        <v>65829.600000000006</v>
      </c>
      <c r="H1236" s="95">
        <v>-65829.600000000006</v>
      </c>
    </row>
    <row r="1237" spans="1:8" ht="19.8" customHeight="1" x14ac:dyDescent="0.3">
      <c r="A1237" s="98">
        <f t="shared" si="19"/>
        <v>11</v>
      </c>
      <c r="B1237" s="92" t="s">
        <v>3163</v>
      </c>
      <c r="C1237" s="92" t="s">
        <v>3164</v>
      </c>
      <c r="D1237" s="95">
        <v>70260.210000000006</v>
      </c>
      <c r="E1237" s="95">
        <v>84974099.430000007</v>
      </c>
      <c r="F1237" s="95">
        <v>0</v>
      </c>
      <c r="G1237" s="95">
        <v>84903839.219999999</v>
      </c>
      <c r="H1237" s="95">
        <v>-84903839.219999999</v>
      </c>
    </row>
    <row r="1238" spans="1:8" ht="19.8" customHeight="1" x14ac:dyDescent="0.3">
      <c r="A1238" s="98">
        <f t="shared" si="19"/>
        <v>11</v>
      </c>
      <c r="B1238" s="92" t="s">
        <v>3165</v>
      </c>
      <c r="C1238" s="92" t="s">
        <v>3166</v>
      </c>
      <c r="D1238" s="95">
        <v>0</v>
      </c>
      <c r="E1238" s="95">
        <v>96907.27</v>
      </c>
      <c r="F1238" s="95">
        <v>0</v>
      </c>
      <c r="G1238" s="95">
        <v>96907.27</v>
      </c>
      <c r="H1238" s="95">
        <v>-96907.27</v>
      </c>
    </row>
    <row r="1239" spans="1:8" ht="19.8" customHeight="1" x14ac:dyDescent="0.3">
      <c r="A1239" s="98">
        <f t="shared" si="19"/>
        <v>11</v>
      </c>
      <c r="B1239" s="92" t="s">
        <v>3167</v>
      </c>
      <c r="C1239" s="92" t="s">
        <v>3168</v>
      </c>
      <c r="D1239" s="95">
        <v>0</v>
      </c>
      <c r="E1239" s="95">
        <v>3261693.48</v>
      </c>
      <c r="F1239" s="95">
        <v>0</v>
      </c>
      <c r="G1239" s="95">
        <v>3261693.48</v>
      </c>
      <c r="H1239" s="95">
        <v>-3261693.48</v>
      </c>
    </row>
    <row r="1240" spans="1:8" ht="19.8" customHeight="1" x14ac:dyDescent="0.3">
      <c r="A1240" s="98">
        <f t="shared" si="19"/>
        <v>11</v>
      </c>
      <c r="B1240" s="92" t="s">
        <v>3169</v>
      </c>
      <c r="C1240" s="92" t="s">
        <v>3170</v>
      </c>
      <c r="D1240" s="95">
        <v>0</v>
      </c>
      <c r="E1240" s="95">
        <v>17257101.289999999</v>
      </c>
      <c r="F1240" s="95">
        <v>0</v>
      </c>
      <c r="G1240" s="95">
        <v>17257101.289999999</v>
      </c>
      <c r="H1240" s="95">
        <v>-17257101.289999999</v>
      </c>
    </row>
    <row r="1241" spans="1:8" ht="19.8" customHeight="1" x14ac:dyDescent="0.3">
      <c r="A1241" s="98">
        <f t="shared" si="19"/>
        <v>11</v>
      </c>
      <c r="B1241" s="92" t="s">
        <v>3171</v>
      </c>
      <c r="C1241" s="92" t="s">
        <v>3172</v>
      </c>
      <c r="D1241" s="95">
        <v>0</v>
      </c>
      <c r="E1241" s="95">
        <v>267408.68</v>
      </c>
      <c r="F1241" s="95">
        <v>0</v>
      </c>
      <c r="G1241" s="95">
        <v>267408.68</v>
      </c>
      <c r="H1241" s="95">
        <v>-267408.68</v>
      </c>
    </row>
    <row r="1242" spans="1:8" ht="19.8" customHeight="1" x14ac:dyDescent="0.3">
      <c r="A1242" s="98">
        <f t="shared" si="19"/>
        <v>11</v>
      </c>
      <c r="B1242" s="92" t="s">
        <v>3173</v>
      </c>
      <c r="C1242" s="92" t="s">
        <v>3174</v>
      </c>
      <c r="D1242" s="95">
        <v>6500</v>
      </c>
      <c r="E1242" s="95">
        <v>1793694.49</v>
      </c>
      <c r="F1242" s="95">
        <v>0</v>
      </c>
      <c r="G1242" s="95">
        <v>1787194.49</v>
      </c>
      <c r="H1242" s="95">
        <v>-1787194.49</v>
      </c>
    </row>
    <row r="1243" spans="1:8" ht="19.8" customHeight="1" x14ac:dyDescent="0.3">
      <c r="A1243" s="98">
        <f t="shared" si="19"/>
        <v>11</v>
      </c>
      <c r="B1243" s="92" t="s">
        <v>3175</v>
      </c>
      <c r="C1243" s="92" t="s">
        <v>3176</v>
      </c>
      <c r="D1243" s="95">
        <v>28823.75</v>
      </c>
      <c r="E1243" s="95">
        <v>21855601.850000001</v>
      </c>
      <c r="F1243" s="95">
        <v>0</v>
      </c>
      <c r="G1243" s="95">
        <v>21826778.100000001</v>
      </c>
      <c r="H1243" s="95">
        <v>-21826778.100000001</v>
      </c>
    </row>
    <row r="1244" spans="1:8" ht="19.8" customHeight="1" x14ac:dyDescent="0.3">
      <c r="A1244" s="98">
        <f t="shared" si="19"/>
        <v>11</v>
      </c>
      <c r="B1244" s="92" t="s">
        <v>3177</v>
      </c>
      <c r="C1244" s="92" t="s">
        <v>3178</v>
      </c>
      <c r="D1244" s="95">
        <v>0</v>
      </c>
      <c r="E1244" s="95">
        <v>754908.44</v>
      </c>
      <c r="F1244" s="95">
        <v>0</v>
      </c>
      <c r="G1244" s="95">
        <v>754908.44</v>
      </c>
      <c r="H1244" s="95">
        <v>-754908.44</v>
      </c>
    </row>
    <row r="1245" spans="1:8" ht="19.8" customHeight="1" x14ac:dyDescent="0.3">
      <c r="A1245" s="98">
        <f t="shared" si="19"/>
        <v>11</v>
      </c>
      <c r="B1245" s="92" t="s">
        <v>3179</v>
      </c>
      <c r="C1245" s="92" t="s">
        <v>3180</v>
      </c>
      <c r="D1245" s="95">
        <v>0</v>
      </c>
      <c r="E1245" s="95">
        <v>58159.41</v>
      </c>
      <c r="F1245" s="95">
        <v>0</v>
      </c>
      <c r="G1245" s="95">
        <v>58159.41</v>
      </c>
      <c r="H1245" s="95">
        <v>-58159.41</v>
      </c>
    </row>
    <row r="1246" spans="1:8" ht="19.8" customHeight="1" x14ac:dyDescent="0.3">
      <c r="A1246" s="98">
        <f t="shared" si="19"/>
        <v>11</v>
      </c>
      <c r="B1246" s="92" t="s">
        <v>3181</v>
      </c>
      <c r="C1246" s="92" t="s">
        <v>3182</v>
      </c>
      <c r="D1246" s="95">
        <v>6285</v>
      </c>
      <c r="E1246" s="95">
        <v>472483.64</v>
      </c>
      <c r="F1246" s="95">
        <v>0</v>
      </c>
      <c r="G1246" s="95">
        <v>466198.64</v>
      </c>
      <c r="H1246" s="95">
        <v>-466198.64</v>
      </c>
    </row>
    <row r="1247" spans="1:8" ht="19.8" customHeight="1" x14ac:dyDescent="0.3">
      <c r="A1247" s="98">
        <f t="shared" si="19"/>
        <v>11</v>
      </c>
      <c r="B1247" s="92" t="s">
        <v>3183</v>
      </c>
      <c r="C1247" s="92" t="s">
        <v>3184</v>
      </c>
      <c r="D1247" s="95">
        <v>0</v>
      </c>
      <c r="E1247" s="95">
        <v>20000</v>
      </c>
      <c r="F1247" s="95">
        <v>0</v>
      </c>
      <c r="G1247" s="95">
        <v>20000</v>
      </c>
      <c r="H1247" s="95">
        <v>-20000</v>
      </c>
    </row>
    <row r="1248" spans="1:8" ht="19.8" customHeight="1" x14ac:dyDescent="0.3">
      <c r="A1248" s="98">
        <f t="shared" si="19"/>
        <v>11</v>
      </c>
      <c r="B1248" s="92" t="s">
        <v>3185</v>
      </c>
      <c r="C1248" s="92" t="s">
        <v>3186</v>
      </c>
      <c r="D1248" s="95">
        <v>0</v>
      </c>
      <c r="E1248" s="95">
        <v>622888.89</v>
      </c>
      <c r="F1248" s="95">
        <v>0</v>
      </c>
      <c r="G1248" s="95">
        <v>622888.89</v>
      </c>
      <c r="H1248" s="95">
        <v>-622888.89</v>
      </c>
    </row>
    <row r="1249" spans="1:8" ht="19.8" customHeight="1" x14ac:dyDescent="0.3">
      <c r="A1249" s="98">
        <f t="shared" si="19"/>
        <v>11</v>
      </c>
      <c r="B1249" s="92" t="s">
        <v>3187</v>
      </c>
      <c r="C1249" s="92" t="s">
        <v>3188</v>
      </c>
      <c r="D1249" s="95">
        <v>46264.84</v>
      </c>
      <c r="E1249" s="95">
        <v>2430237.0699999998</v>
      </c>
      <c r="F1249" s="95">
        <v>0</v>
      </c>
      <c r="G1249" s="95">
        <v>2383972.23</v>
      </c>
      <c r="H1249" s="95">
        <v>-2383972.23</v>
      </c>
    </row>
    <row r="1250" spans="1:8" ht="19.8" customHeight="1" x14ac:dyDescent="0.3">
      <c r="A1250" s="98">
        <f t="shared" si="19"/>
        <v>11</v>
      </c>
      <c r="B1250" s="92" t="s">
        <v>3189</v>
      </c>
      <c r="C1250" s="92" t="s">
        <v>3190</v>
      </c>
      <c r="D1250" s="95">
        <v>0</v>
      </c>
      <c r="E1250" s="95">
        <v>43048408.450000003</v>
      </c>
      <c r="F1250" s="95">
        <v>0</v>
      </c>
      <c r="G1250" s="95">
        <v>43048408.450000003</v>
      </c>
      <c r="H1250" s="95">
        <v>-43048408.450000003</v>
      </c>
    </row>
    <row r="1251" spans="1:8" ht="19.8" customHeight="1" x14ac:dyDescent="0.3">
      <c r="A1251" s="98">
        <f t="shared" si="19"/>
        <v>11</v>
      </c>
      <c r="B1251" s="92" t="s">
        <v>3191</v>
      </c>
      <c r="C1251" s="92" t="s">
        <v>3192</v>
      </c>
      <c r="D1251" s="95">
        <v>0</v>
      </c>
      <c r="E1251" s="95">
        <v>22482168.329999998</v>
      </c>
      <c r="F1251" s="95">
        <v>0</v>
      </c>
      <c r="G1251" s="95">
        <v>22482168.329999998</v>
      </c>
      <c r="H1251" s="95">
        <v>-22482168.329999998</v>
      </c>
    </row>
    <row r="1252" spans="1:8" ht="19.8" customHeight="1" x14ac:dyDescent="0.3">
      <c r="A1252" s="98">
        <f t="shared" si="19"/>
        <v>11</v>
      </c>
      <c r="B1252" s="92" t="s">
        <v>3193</v>
      </c>
      <c r="C1252" s="92" t="s">
        <v>3194</v>
      </c>
      <c r="D1252" s="95">
        <v>0</v>
      </c>
      <c r="E1252" s="95">
        <v>4265260.37</v>
      </c>
      <c r="F1252" s="95">
        <v>0</v>
      </c>
      <c r="G1252" s="95">
        <v>4265260.37</v>
      </c>
      <c r="H1252" s="95">
        <v>-4265260.37</v>
      </c>
    </row>
    <row r="1253" spans="1:8" ht="19.8" customHeight="1" x14ac:dyDescent="0.3">
      <c r="A1253" s="98">
        <f t="shared" si="19"/>
        <v>11</v>
      </c>
      <c r="B1253" s="92" t="s">
        <v>3195</v>
      </c>
      <c r="C1253" s="92" t="s">
        <v>3196</v>
      </c>
      <c r="D1253" s="95">
        <v>0</v>
      </c>
      <c r="E1253" s="95">
        <v>426147.84000000003</v>
      </c>
      <c r="F1253" s="95">
        <v>0</v>
      </c>
      <c r="G1253" s="95">
        <v>426147.84000000003</v>
      </c>
      <c r="H1253" s="95">
        <v>-426147.84000000003</v>
      </c>
    </row>
    <row r="1254" spans="1:8" ht="19.8" customHeight="1" x14ac:dyDescent="0.3">
      <c r="A1254" s="98">
        <f t="shared" si="19"/>
        <v>11</v>
      </c>
      <c r="B1254" s="92" t="s">
        <v>3197</v>
      </c>
      <c r="C1254" s="92" t="s">
        <v>3198</v>
      </c>
      <c r="D1254" s="95">
        <v>464886.87</v>
      </c>
      <c r="E1254" s="95">
        <v>929773.74</v>
      </c>
      <c r="F1254" s="95">
        <v>0</v>
      </c>
      <c r="G1254" s="95">
        <v>464886.87</v>
      </c>
      <c r="H1254" s="95">
        <v>-464886.87</v>
      </c>
    </row>
    <row r="1255" spans="1:8" ht="19.8" customHeight="1" x14ac:dyDescent="0.3">
      <c r="A1255" s="98">
        <f t="shared" si="19"/>
        <v>11</v>
      </c>
      <c r="B1255" s="92" t="s">
        <v>3199</v>
      </c>
      <c r="C1255" s="92" t="s">
        <v>3200</v>
      </c>
      <c r="D1255" s="95">
        <v>0</v>
      </c>
      <c r="E1255" s="95">
        <v>356041.39</v>
      </c>
      <c r="F1255" s="95">
        <v>0</v>
      </c>
      <c r="G1255" s="95">
        <v>356041.39</v>
      </c>
      <c r="H1255" s="95">
        <v>-356041.39</v>
      </c>
    </row>
    <row r="1256" spans="1:8" ht="19.8" customHeight="1" x14ac:dyDescent="0.3">
      <c r="A1256" s="98">
        <f t="shared" si="19"/>
        <v>11</v>
      </c>
      <c r="B1256" s="92" t="s">
        <v>3201</v>
      </c>
      <c r="C1256" s="92" t="s">
        <v>3202</v>
      </c>
      <c r="D1256" s="95">
        <v>12836232.25</v>
      </c>
      <c r="E1256" s="95">
        <v>25721189.100000001</v>
      </c>
      <c r="F1256" s="95">
        <v>0</v>
      </c>
      <c r="G1256" s="95">
        <v>12884956.85</v>
      </c>
      <c r="H1256" s="95">
        <v>-12884956.85</v>
      </c>
    </row>
    <row r="1257" spans="1:8" ht="19.8" customHeight="1" x14ac:dyDescent="0.3">
      <c r="A1257" s="98">
        <f t="shared" si="19"/>
        <v>11</v>
      </c>
      <c r="B1257" s="92" t="s">
        <v>3203</v>
      </c>
      <c r="C1257" s="92" t="s">
        <v>3204</v>
      </c>
      <c r="D1257" s="95">
        <v>0</v>
      </c>
      <c r="E1257" s="95">
        <v>2086643.33</v>
      </c>
      <c r="F1257" s="95">
        <v>0</v>
      </c>
      <c r="G1257" s="95">
        <v>2086643.33</v>
      </c>
      <c r="H1257" s="95">
        <v>-2086643.33</v>
      </c>
    </row>
    <row r="1258" spans="1:8" ht="19.8" customHeight="1" x14ac:dyDescent="0.3">
      <c r="A1258" s="98">
        <f t="shared" si="19"/>
        <v>11</v>
      </c>
      <c r="B1258" s="92" t="s">
        <v>3205</v>
      </c>
      <c r="C1258" s="92" t="s">
        <v>3206</v>
      </c>
      <c r="D1258" s="95">
        <v>405989.96</v>
      </c>
      <c r="E1258" s="95">
        <v>811979.92</v>
      </c>
      <c r="F1258" s="95">
        <v>0</v>
      </c>
      <c r="G1258" s="95">
        <v>405989.96</v>
      </c>
      <c r="H1258" s="95">
        <v>-405989.96</v>
      </c>
    </row>
    <row r="1259" spans="1:8" ht="19.8" customHeight="1" x14ac:dyDescent="0.3">
      <c r="A1259" s="98">
        <f t="shared" si="19"/>
        <v>11</v>
      </c>
      <c r="B1259" s="92" t="s">
        <v>3207</v>
      </c>
      <c r="C1259" s="92" t="s">
        <v>3208</v>
      </c>
      <c r="D1259" s="95">
        <v>0</v>
      </c>
      <c r="E1259" s="95">
        <v>5715939.6900000004</v>
      </c>
      <c r="F1259" s="95">
        <v>0</v>
      </c>
      <c r="G1259" s="95">
        <v>5715939.6900000004</v>
      </c>
      <c r="H1259" s="95">
        <v>-5715939.6900000004</v>
      </c>
    </row>
    <row r="1260" spans="1:8" ht="19.8" customHeight="1" x14ac:dyDescent="0.3">
      <c r="A1260" s="98">
        <f t="shared" si="19"/>
        <v>11</v>
      </c>
      <c r="B1260" s="92" t="s">
        <v>3209</v>
      </c>
      <c r="C1260" s="92" t="s">
        <v>3210</v>
      </c>
      <c r="D1260" s="95">
        <v>0</v>
      </c>
      <c r="E1260" s="95">
        <v>2432799.7000000002</v>
      </c>
      <c r="F1260" s="95">
        <v>0</v>
      </c>
      <c r="G1260" s="95">
        <v>2432799.7000000002</v>
      </c>
      <c r="H1260" s="95">
        <v>-2432799.7000000002</v>
      </c>
    </row>
    <row r="1261" spans="1:8" ht="19.8" customHeight="1" x14ac:dyDescent="0.3">
      <c r="A1261" s="98">
        <f t="shared" si="19"/>
        <v>11</v>
      </c>
      <c r="B1261" s="92" t="s">
        <v>3211</v>
      </c>
      <c r="C1261" s="92" t="s">
        <v>3212</v>
      </c>
      <c r="D1261" s="95">
        <v>0</v>
      </c>
      <c r="E1261" s="95">
        <v>172414.59</v>
      </c>
      <c r="F1261" s="95">
        <v>0</v>
      </c>
      <c r="G1261" s="95">
        <v>172414.59</v>
      </c>
      <c r="H1261" s="95">
        <v>-172414.59</v>
      </c>
    </row>
    <row r="1262" spans="1:8" ht="19.8" customHeight="1" x14ac:dyDescent="0.3">
      <c r="A1262" s="98">
        <f t="shared" si="19"/>
        <v>11</v>
      </c>
      <c r="B1262" s="92" t="s">
        <v>3213</v>
      </c>
      <c r="C1262" s="92" t="s">
        <v>3214</v>
      </c>
      <c r="D1262" s="95">
        <v>445.45</v>
      </c>
      <c r="E1262" s="95">
        <v>5376.37</v>
      </c>
      <c r="F1262" s="95">
        <v>0</v>
      </c>
      <c r="G1262" s="95">
        <v>4930.92</v>
      </c>
      <c r="H1262" s="95">
        <v>-4930.92</v>
      </c>
    </row>
    <row r="1263" spans="1:8" ht="19.8" customHeight="1" x14ac:dyDescent="0.3">
      <c r="A1263" s="98">
        <f t="shared" si="19"/>
        <v>11</v>
      </c>
      <c r="B1263" s="92" t="s">
        <v>3215</v>
      </c>
      <c r="C1263" s="92" t="s">
        <v>3216</v>
      </c>
      <c r="D1263" s="95">
        <v>1193130.01</v>
      </c>
      <c r="E1263" s="95">
        <v>2386260.02</v>
      </c>
      <c r="F1263" s="95">
        <v>0</v>
      </c>
      <c r="G1263" s="95">
        <v>1193130.01</v>
      </c>
      <c r="H1263" s="95">
        <v>-1193130.01</v>
      </c>
    </row>
    <row r="1264" spans="1:8" ht="19.8" customHeight="1" x14ac:dyDescent="0.3">
      <c r="A1264" s="98">
        <f t="shared" si="19"/>
        <v>11</v>
      </c>
      <c r="B1264" s="92" t="s">
        <v>3217</v>
      </c>
      <c r="C1264" s="92" t="s">
        <v>3218</v>
      </c>
      <c r="D1264" s="95">
        <v>0</v>
      </c>
      <c r="E1264" s="95">
        <v>14564611.07</v>
      </c>
      <c r="F1264" s="95">
        <v>0</v>
      </c>
      <c r="G1264" s="95">
        <v>14564611.07</v>
      </c>
      <c r="H1264" s="95">
        <v>-14564611.07</v>
      </c>
    </row>
    <row r="1265" spans="1:8" ht="19.8" customHeight="1" x14ac:dyDescent="0.3">
      <c r="A1265" s="98">
        <f t="shared" si="19"/>
        <v>11</v>
      </c>
      <c r="B1265" s="92" t="s">
        <v>3219</v>
      </c>
      <c r="C1265" s="92" t="s">
        <v>3220</v>
      </c>
      <c r="D1265" s="95">
        <v>0</v>
      </c>
      <c r="E1265" s="95">
        <v>704322.44</v>
      </c>
      <c r="F1265" s="95">
        <v>0</v>
      </c>
      <c r="G1265" s="95">
        <v>704322.44</v>
      </c>
      <c r="H1265" s="95">
        <v>-704322.44</v>
      </c>
    </row>
    <row r="1266" spans="1:8" ht="19.8" customHeight="1" x14ac:dyDescent="0.3">
      <c r="A1266" s="98">
        <f t="shared" si="19"/>
        <v>11</v>
      </c>
      <c r="B1266" s="92" t="s">
        <v>3221</v>
      </c>
      <c r="C1266" s="92" t="s">
        <v>3222</v>
      </c>
      <c r="D1266" s="95">
        <v>0</v>
      </c>
      <c r="E1266" s="95">
        <v>1828934.44</v>
      </c>
      <c r="F1266" s="95">
        <v>0</v>
      </c>
      <c r="G1266" s="95">
        <v>1828934.44</v>
      </c>
      <c r="H1266" s="95">
        <v>-1828934.44</v>
      </c>
    </row>
    <row r="1267" spans="1:8" ht="19.8" customHeight="1" x14ac:dyDescent="0.3">
      <c r="A1267" s="98">
        <f t="shared" si="19"/>
        <v>11</v>
      </c>
      <c r="B1267" s="92" t="s">
        <v>3223</v>
      </c>
      <c r="C1267" s="92" t="s">
        <v>3224</v>
      </c>
      <c r="D1267" s="95">
        <v>0</v>
      </c>
      <c r="E1267" s="95">
        <v>259870.71</v>
      </c>
      <c r="F1267" s="95">
        <v>0</v>
      </c>
      <c r="G1267" s="95">
        <v>259870.71</v>
      </c>
      <c r="H1267" s="95">
        <v>-259870.71</v>
      </c>
    </row>
    <row r="1268" spans="1:8" ht="19.8" customHeight="1" x14ac:dyDescent="0.3">
      <c r="A1268" s="98">
        <f t="shared" si="19"/>
        <v>11</v>
      </c>
      <c r="B1268" s="92" t="s">
        <v>3225</v>
      </c>
      <c r="C1268" s="92" t="s">
        <v>3226</v>
      </c>
      <c r="D1268" s="95">
        <v>0</v>
      </c>
      <c r="E1268" s="95">
        <v>1284.57</v>
      </c>
      <c r="F1268" s="95">
        <v>0</v>
      </c>
      <c r="G1268" s="95">
        <v>1284.57</v>
      </c>
      <c r="H1268" s="95">
        <v>-1284.57</v>
      </c>
    </row>
    <row r="1269" spans="1:8" ht="19.8" customHeight="1" x14ac:dyDescent="0.3">
      <c r="A1269" s="98">
        <f t="shared" si="19"/>
        <v>11</v>
      </c>
      <c r="B1269" s="92" t="s">
        <v>3227</v>
      </c>
      <c r="C1269" s="92" t="s">
        <v>3228</v>
      </c>
      <c r="D1269" s="95">
        <v>0</v>
      </c>
      <c r="E1269" s="95">
        <v>59556.39</v>
      </c>
      <c r="F1269" s="95">
        <v>0</v>
      </c>
      <c r="G1269" s="95">
        <v>59556.39</v>
      </c>
      <c r="H1269" s="95">
        <v>-59556.39</v>
      </c>
    </row>
    <row r="1270" spans="1:8" ht="19.8" customHeight="1" x14ac:dyDescent="0.3">
      <c r="A1270" s="98">
        <f t="shared" si="19"/>
        <v>11</v>
      </c>
      <c r="B1270" s="92" t="s">
        <v>3229</v>
      </c>
      <c r="C1270" s="92" t="s">
        <v>3230</v>
      </c>
      <c r="D1270" s="95">
        <v>0</v>
      </c>
      <c r="E1270" s="95">
        <v>8667.85</v>
      </c>
      <c r="F1270" s="95">
        <v>0</v>
      </c>
      <c r="G1270" s="95">
        <v>8667.85</v>
      </c>
      <c r="H1270" s="95">
        <v>-8667.85</v>
      </c>
    </row>
    <row r="1271" spans="1:8" ht="19.8" customHeight="1" x14ac:dyDescent="0.3">
      <c r="A1271" s="98">
        <f t="shared" si="19"/>
        <v>11</v>
      </c>
      <c r="B1271" s="92" t="s">
        <v>3231</v>
      </c>
      <c r="C1271" s="92" t="s">
        <v>3232</v>
      </c>
      <c r="D1271" s="95">
        <v>0</v>
      </c>
      <c r="E1271" s="95">
        <v>935.76</v>
      </c>
      <c r="F1271" s="95">
        <v>0</v>
      </c>
      <c r="G1271" s="95">
        <v>935.76</v>
      </c>
      <c r="H1271" s="95">
        <v>-935.76</v>
      </c>
    </row>
    <row r="1272" spans="1:8" ht="19.8" customHeight="1" x14ac:dyDescent="0.3">
      <c r="A1272" s="98">
        <f t="shared" si="19"/>
        <v>11</v>
      </c>
      <c r="B1272" s="92" t="s">
        <v>3233</v>
      </c>
      <c r="C1272" s="92" t="s">
        <v>3234</v>
      </c>
      <c r="D1272" s="95">
        <v>0</v>
      </c>
      <c r="E1272" s="95">
        <v>4494.25</v>
      </c>
      <c r="F1272" s="95">
        <v>0</v>
      </c>
      <c r="G1272" s="95">
        <v>4494.25</v>
      </c>
      <c r="H1272" s="95">
        <v>-4494.25</v>
      </c>
    </row>
    <row r="1273" spans="1:8" ht="19.8" customHeight="1" x14ac:dyDescent="0.3">
      <c r="A1273" s="98">
        <f t="shared" si="19"/>
        <v>11</v>
      </c>
      <c r="B1273" s="92" t="s">
        <v>3235</v>
      </c>
      <c r="C1273" s="92" t="s">
        <v>3236</v>
      </c>
      <c r="D1273" s="95">
        <v>0</v>
      </c>
      <c r="E1273" s="95">
        <v>66974.38</v>
      </c>
      <c r="F1273" s="95">
        <v>0</v>
      </c>
      <c r="G1273" s="95">
        <v>66974.38</v>
      </c>
      <c r="H1273" s="95">
        <v>-66974.38</v>
      </c>
    </row>
    <row r="1274" spans="1:8" ht="19.8" customHeight="1" x14ac:dyDescent="0.3">
      <c r="A1274" s="98">
        <f t="shared" si="19"/>
        <v>11</v>
      </c>
      <c r="B1274" s="92" t="s">
        <v>3237</v>
      </c>
      <c r="C1274" s="92" t="s">
        <v>3238</v>
      </c>
      <c r="D1274" s="95">
        <v>0</v>
      </c>
      <c r="E1274" s="95">
        <v>2636181.69</v>
      </c>
      <c r="F1274" s="95">
        <v>0</v>
      </c>
      <c r="G1274" s="95">
        <v>2636181.69</v>
      </c>
      <c r="H1274" s="95">
        <v>-2636181.69</v>
      </c>
    </row>
    <row r="1275" spans="1:8" ht="19.8" customHeight="1" x14ac:dyDescent="0.3">
      <c r="A1275" s="98">
        <f t="shared" si="19"/>
        <v>11</v>
      </c>
      <c r="B1275" s="92" t="s">
        <v>3239</v>
      </c>
      <c r="C1275" s="92" t="s">
        <v>3240</v>
      </c>
      <c r="D1275" s="95">
        <v>0</v>
      </c>
      <c r="E1275" s="95">
        <v>1711.7</v>
      </c>
      <c r="F1275" s="95">
        <v>0</v>
      </c>
      <c r="G1275" s="95">
        <v>1711.7</v>
      </c>
      <c r="H1275" s="95">
        <v>-1711.7</v>
      </c>
    </row>
    <row r="1276" spans="1:8" ht="19.8" customHeight="1" x14ac:dyDescent="0.3">
      <c r="A1276" s="98">
        <f t="shared" si="19"/>
        <v>11</v>
      </c>
      <c r="B1276" s="92" t="s">
        <v>3241</v>
      </c>
      <c r="C1276" s="92" t="s">
        <v>3242</v>
      </c>
      <c r="D1276" s="95">
        <v>4373.26</v>
      </c>
      <c r="E1276" s="95">
        <v>73155.53</v>
      </c>
      <c r="F1276" s="95">
        <v>0</v>
      </c>
      <c r="G1276" s="95">
        <v>68782.27</v>
      </c>
      <c r="H1276" s="95">
        <v>-68782.27</v>
      </c>
    </row>
    <row r="1277" spans="1:8" ht="19.8" customHeight="1" x14ac:dyDescent="0.3">
      <c r="A1277" s="98">
        <f t="shared" si="19"/>
        <v>11</v>
      </c>
      <c r="B1277" s="92" t="s">
        <v>3243</v>
      </c>
      <c r="C1277" s="92" t="s">
        <v>3244</v>
      </c>
      <c r="D1277" s="95">
        <v>0</v>
      </c>
      <c r="E1277" s="95">
        <v>647957.36</v>
      </c>
      <c r="F1277" s="95">
        <v>0</v>
      </c>
      <c r="G1277" s="95">
        <v>647957.36</v>
      </c>
      <c r="H1277" s="95">
        <v>-647957.36</v>
      </c>
    </row>
    <row r="1278" spans="1:8" ht="19.8" customHeight="1" x14ac:dyDescent="0.3">
      <c r="A1278" s="98">
        <f t="shared" si="19"/>
        <v>11</v>
      </c>
      <c r="B1278" s="92" t="s">
        <v>3245</v>
      </c>
      <c r="C1278" s="92" t="s">
        <v>3246</v>
      </c>
      <c r="D1278" s="95">
        <v>0</v>
      </c>
      <c r="E1278" s="95">
        <v>94500</v>
      </c>
      <c r="F1278" s="95">
        <v>0</v>
      </c>
      <c r="G1278" s="95">
        <v>94500</v>
      </c>
      <c r="H1278" s="95">
        <v>-94500</v>
      </c>
    </row>
    <row r="1279" spans="1:8" ht="19.8" customHeight="1" x14ac:dyDescent="0.3">
      <c r="A1279" s="98">
        <f t="shared" si="19"/>
        <v>11</v>
      </c>
      <c r="B1279" s="92" t="s">
        <v>3247</v>
      </c>
      <c r="C1279" s="92" t="s">
        <v>3248</v>
      </c>
      <c r="D1279" s="95">
        <v>0</v>
      </c>
      <c r="E1279" s="95">
        <v>2569.2399999999998</v>
      </c>
      <c r="F1279" s="95">
        <v>0</v>
      </c>
      <c r="G1279" s="95">
        <v>2569.2399999999998</v>
      </c>
      <c r="H1279" s="95">
        <v>-2569.2399999999998</v>
      </c>
    </row>
    <row r="1280" spans="1:8" ht="19.8" customHeight="1" x14ac:dyDescent="0.3">
      <c r="A1280" s="98">
        <f t="shared" si="19"/>
        <v>11</v>
      </c>
      <c r="B1280" s="92" t="s">
        <v>3249</v>
      </c>
      <c r="C1280" s="92" t="s">
        <v>3250</v>
      </c>
      <c r="D1280" s="95">
        <v>0</v>
      </c>
      <c r="E1280" s="95">
        <v>33041.660000000003</v>
      </c>
      <c r="F1280" s="95">
        <v>0</v>
      </c>
      <c r="G1280" s="95">
        <v>33041.660000000003</v>
      </c>
      <c r="H1280" s="95">
        <v>-33041.660000000003</v>
      </c>
    </row>
    <row r="1281" spans="1:8" ht="19.8" customHeight="1" x14ac:dyDescent="0.3">
      <c r="A1281" s="98">
        <f t="shared" si="19"/>
        <v>11</v>
      </c>
      <c r="B1281" s="92" t="s">
        <v>3251</v>
      </c>
      <c r="C1281" s="92" t="s">
        <v>3252</v>
      </c>
      <c r="D1281" s="95">
        <v>0</v>
      </c>
      <c r="E1281" s="95">
        <v>2604.44</v>
      </c>
      <c r="F1281" s="95">
        <v>0</v>
      </c>
      <c r="G1281" s="95">
        <v>2604.44</v>
      </c>
      <c r="H1281" s="95">
        <v>-2604.44</v>
      </c>
    </row>
    <row r="1282" spans="1:8" ht="19.8" customHeight="1" x14ac:dyDescent="0.3">
      <c r="A1282" s="98">
        <f t="shared" si="19"/>
        <v>11</v>
      </c>
      <c r="B1282" s="92" t="s">
        <v>3253</v>
      </c>
      <c r="C1282" s="92" t="s">
        <v>3254</v>
      </c>
      <c r="D1282" s="95">
        <v>251233.5</v>
      </c>
      <c r="E1282" s="95">
        <v>2440181.16</v>
      </c>
      <c r="F1282" s="95">
        <v>0</v>
      </c>
      <c r="G1282" s="95">
        <v>2188947.66</v>
      </c>
      <c r="H1282" s="95">
        <v>-2188947.66</v>
      </c>
    </row>
    <row r="1283" spans="1:8" ht="19.8" customHeight="1" x14ac:dyDescent="0.3">
      <c r="A1283" s="98">
        <f t="shared" ref="A1283:A1346" si="20">+LEN(B1283)</f>
        <v>11</v>
      </c>
      <c r="B1283" s="92" t="s">
        <v>3255</v>
      </c>
      <c r="C1283" s="92" t="s">
        <v>3256</v>
      </c>
      <c r="D1283" s="95">
        <v>1853899.44</v>
      </c>
      <c r="E1283" s="95">
        <v>3694180.2</v>
      </c>
      <c r="F1283" s="95">
        <v>0</v>
      </c>
      <c r="G1283" s="95">
        <v>1840280.76</v>
      </c>
      <c r="H1283" s="95">
        <v>-1840280.76</v>
      </c>
    </row>
    <row r="1284" spans="1:8" ht="19.8" customHeight="1" x14ac:dyDescent="0.3">
      <c r="A1284" s="98">
        <f t="shared" si="20"/>
        <v>7</v>
      </c>
      <c r="B1284" s="92" t="s">
        <v>3257</v>
      </c>
      <c r="C1284" s="92" t="s">
        <v>3258</v>
      </c>
      <c r="D1284" s="95">
        <v>160</v>
      </c>
      <c r="E1284" s="95">
        <v>352086.68</v>
      </c>
      <c r="F1284" s="95">
        <v>0</v>
      </c>
      <c r="G1284" s="95">
        <v>351926.68</v>
      </c>
      <c r="H1284" s="95">
        <v>-351926.68</v>
      </c>
    </row>
    <row r="1285" spans="1:8" ht="19.8" customHeight="1" x14ac:dyDescent="0.3">
      <c r="A1285" s="98">
        <f t="shared" si="20"/>
        <v>11</v>
      </c>
      <c r="B1285" s="92" t="s">
        <v>3259</v>
      </c>
      <c r="C1285" s="92" t="s">
        <v>3260</v>
      </c>
      <c r="D1285" s="95">
        <v>0</v>
      </c>
      <c r="E1285" s="95">
        <v>26500</v>
      </c>
      <c r="F1285" s="95">
        <v>0</v>
      </c>
      <c r="G1285" s="95">
        <v>26500</v>
      </c>
      <c r="H1285" s="95">
        <v>-26500</v>
      </c>
    </row>
    <row r="1286" spans="1:8" ht="19.8" customHeight="1" x14ac:dyDescent="0.3">
      <c r="A1286" s="98">
        <f t="shared" si="20"/>
        <v>11</v>
      </c>
      <c r="B1286" s="92" t="s">
        <v>3261</v>
      </c>
      <c r="C1286" s="92" t="s">
        <v>3262</v>
      </c>
      <c r="D1286" s="95">
        <v>160</v>
      </c>
      <c r="E1286" s="95">
        <v>325586.68</v>
      </c>
      <c r="F1286" s="95">
        <v>0</v>
      </c>
      <c r="G1286" s="95">
        <v>325426.68</v>
      </c>
      <c r="H1286" s="95">
        <v>-325426.68</v>
      </c>
    </row>
    <row r="1287" spans="1:8" ht="19.8" customHeight="1" x14ac:dyDescent="0.3">
      <c r="A1287" s="98">
        <f t="shared" si="20"/>
        <v>7</v>
      </c>
      <c r="B1287" s="92" t="s">
        <v>3263</v>
      </c>
      <c r="C1287" s="92" t="s">
        <v>3264</v>
      </c>
      <c r="D1287" s="95">
        <v>56161019.359999999</v>
      </c>
      <c r="E1287" s="95">
        <v>222946243.41999999</v>
      </c>
      <c r="F1287" s="95">
        <v>0</v>
      </c>
      <c r="G1287" s="95">
        <v>166785224.06</v>
      </c>
      <c r="H1287" s="95">
        <v>-166785224.06</v>
      </c>
    </row>
    <row r="1288" spans="1:8" ht="19.8" customHeight="1" x14ac:dyDescent="0.3">
      <c r="A1288" s="98">
        <f t="shared" si="20"/>
        <v>11</v>
      </c>
      <c r="B1288" s="92" t="s">
        <v>3265</v>
      </c>
      <c r="C1288" s="92" t="s">
        <v>3266</v>
      </c>
      <c r="D1288" s="95">
        <v>53135938.359999999</v>
      </c>
      <c r="E1288" s="95">
        <v>201435442.78</v>
      </c>
      <c r="F1288" s="95">
        <v>0</v>
      </c>
      <c r="G1288" s="95">
        <v>148299504.41999999</v>
      </c>
      <c r="H1288" s="95">
        <v>-148299504.41999999</v>
      </c>
    </row>
    <row r="1289" spans="1:8" ht="19.8" customHeight="1" x14ac:dyDescent="0.3">
      <c r="A1289" s="98">
        <f t="shared" si="20"/>
        <v>11</v>
      </c>
      <c r="B1289" s="92" t="s">
        <v>3267</v>
      </c>
      <c r="C1289" s="92" t="s">
        <v>3268</v>
      </c>
      <c r="D1289" s="95">
        <v>3025081</v>
      </c>
      <c r="E1289" s="95">
        <v>21510800.640000001</v>
      </c>
      <c r="F1289" s="95">
        <v>0</v>
      </c>
      <c r="G1289" s="95">
        <v>18485719.640000001</v>
      </c>
      <c r="H1289" s="95">
        <v>-18485719.640000001</v>
      </c>
    </row>
    <row r="1290" spans="1:8" ht="19.8" customHeight="1" x14ac:dyDescent="0.3">
      <c r="A1290" s="98">
        <f t="shared" si="20"/>
        <v>7</v>
      </c>
      <c r="B1290" s="92" t="s">
        <v>3269</v>
      </c>
      <c r="C1290" s="92" t="s">
        <v>3270</v>
      </c>
      <c r="D1290" s="95">
        <v>1100</v>
      </c>
      <c r="E1290" s="95">
        <v>2050534.2</v>
      </c>
      <c r="F1290" s="95">
        <v>0</v>
      </c>
      <c r="G1290" s="95">
        <v>2049434.2</v>
      </c>
      <c r="H1290" s="95">
        <v>-2049434.2</v>
      </c>
    </row>
    <row r="1291" spans="1:8" ht="19.8" customHeight="1" x14ac:dyDescent="0.3">
      <c r="A1291" s="98">
        <f t="shared" si="20"/>
        <v>11</v>
      </c>
      <c r="B1291" s="92" t="s">
        <v>3271</v>
      </c>
      <c r="C1291" s="92" t="s">
        <v>3272</v>
      </c>
      <c r="D1291" s="95">
        <v>0</v>
      </c>
      <c r="E1291" s="95">
        <v>1011370</v>
      </c>
      <c r="F1291" s="95">
        <v>0</v>
      </c>
      <c r="G1291" s="95">
        <v>1011370</v>
      </c>
      <c r="H1291" s="95">
        <v>-1011370</v>
      </c>
    </row>
    <row r="1292" spans="1:8" ht="19.8" customHeight="1" x14ac:dyDescent="0.3">
      <c r="A1292" s="98">
        <f t="shared" si="20"/>
        <v>11</v>
      </c>
      <c r="B1292" s="92" t="s">
        <v>3273</v>
      </c>
      <c r="C1292" s="92" t="s">
        <v>3274</v>
      </c>
      <c r="D1292" s="95">
        <v>1100</v>
      </c>
      <c r="E1292" s="95">
        <v>946669.2</v>
      </c>
      <c r="F1292" s="95">
        <v>0</v>
      </c>
      <c r="G1292" s="95">
        <v>945569.2</v>
      </c>
      <c r="H1292" s="95">
        <v>-945569.2</v>
      </c>
    </row>
    <row r="1293" spans="1:8" ht="19.8" customHeight="1" x14ac:dyDescent="0.3">
      <c r="A1293" s="98">
        <f t="shared" si="20"/>
        <v>11</v>
      </c>
      <c r="B1293" s="92" t="s">
        <v>3275</v>
      </c>
      <c r="C1293" s="92" t="s">
        <v>3276</v>
      </c>
      <c r="D1293" s="95">
        <v>0</v>
      </c>
      <c r="E1293" s="95">
        <v>92495</v>
      </c>
      <c r="F1293" s="95">
        <v>0</v>
      </c>
      <c r="G1293" s="95">
        <v>92495</v>
      </c>
      <c r="H1293" s="95">
        <v>-92495</v>
      </c>
    </row>
    <row r="1294" spans="1:8" ht="19.8" customHeight="1" x14ac:dyDescent="0.3">
      <c r="A1294" s="98">
        <f t="shared" si="20"/>
        <v>3</v>
      </c>
      <c r="B1294" s="92" t="s">
        <v>225</v>
      </c>
      <c r="C1294" s="92" t="s">
        <v>350</v>
      </c>
      <c r="D1294" s="95">
        <v>2271117.09</v>
      </c>
      <c r="E1294" s="95">
        <v>2900</v>
      </c>
      <c r="F1294" s="95">
        <v>2268217.09</v>
      </c>
      <c r="G1294" s="95">
        <v>0</v>
      </c>
      <c r="H1294" s="95">
        <v>2268217.09</v>
      </c>
    </row>
    <row r="1295" spans="1:8" ht="19.8" customHeight="1" x14ac:dyDescent="0.3">
      <c r="A1295" s="98">
        <f t="shared" si="20"/>
        <v>7</v>
      </c>
      <c r="B1295" s="92" t="s">
        <v>3277</v>
      </c>
      <c r="C1295" s="92" t="s">
        <v>462</v>
      </c>
      <c r="D1295" s="95">
        <v>766683.1</v>
      </c>
      <c r="E1295" s="95">
        <v>0</v>
      </c>
      <c r="F1295" s="95">
        <v>766683.1</v>
      </c>
      <c r="G1295" s="95">
        <v>0</v>
      </c>
      <c r="H1295" s="95">
        <v>766683.1</v>
      </c>
    </row>
    <row r="1296" spans="1:8" ht="19.8" customHeight="1" x14ac:dyDescent="0.3">
      <c r="A1296" s="98">
        <f t="shared" si="20"/>
        <v>11</v>
      </c>
      <c r="B1296" s="92" t="s">
        <v>463</v>
      </c>
      <c r="C1296" s="92" t="s">
        <v>462</v>
      </c>
      <c r="D1296" s="95">
        <v>766683.1</v>
      </c>
      <c r="E1296" s="95">
        <v>0</v>
      </c>
      <c r="F1296" s="95">
        <v>766683.1</v>
      </c>
      <c r="G1296" s="95">
        <v>0</v>
      </c>
      <c r="H1296" s="95">
        <v>766683.1</v>
      </c>
    </row>
    <row r="1297" spans="1:8" ht="19.8" customHeight="1" x14ac:dyDescent="0.3">
      <c r="A1297" s="98">
        <f t="shared" si="20"/>
        <v>7</v>
      </c>
      <c r="B1297" s="92" t="s">
        <v>3278</v>
      </c>
      <c r="C1297" s="92" t="s">
        <v>3279</v>
      </c>
      <c r="D1297" s="95">
        <v>1504433.99</v>
      </c>
      <c r="E1297" s="95">
        <v>2900</v>
      </c>
      <c r="F1297" s="95">
        <v>1501533.99</v>
      </c>
      <c r="G1297" s="95">
        <v>0</v>
      </c>
      <c r="H1297" s="95">
        <v>1501533.99</v>
      </c>
    </row>
    <row r="1298" spans="1:8" ht="19.8" customHeight="1" x14ac:dyDescent="0.3">
      <c r="A1298" s="98">
        <f t="shared" si="20"/>
        <v>11</v>
      </c>
      <c r="B1298" s="92" t="s">
        <v>3280</v>
      </c>
      <c r="C1298" s="92" t="s">
        <v>3281</v>
      </c>
      <c r="D1298" s="95">
        <v>581856.99</v>
      </c>
      <c r="E1298" s="95">
        <v>0</v>
      </c>
      <c r="F1298" s="95">
        <v>581856.99</v>
      </c>
      <c r="G1298" s="95">
        <v>0</v>
      </c>
      <c r="H1298" s="95">
        <v>581856.99</v>
      </c>
    </row>
    <row r="1299" spans="1:8" ht="19.8" customHeight="1" x14ac:dyDescent="0.3">
      <c r="A1299" s="98">
        <f t="shared" si="20"/>
        <v>11</v>
      </c>
      <c r="B1299" s="92" t="s">
        <v>3282</v>
      </c>
      <c r="C1299" s="92" t="s">
        <v>3283</v>
      </c>
      <c r="D1299" s="95">
        <v>750000</v>
      </c>
      <c r="E1299" s="95">
        <v>0</v>
      </c>
      <c r="F1299" s="95">
        <v>750000</v>
      </c>
      <c r="G1299" s="95">
        <v>0</v>
      </c>
      <c r="H1299" s="95">
        <v>750000</v>
      </c>
    </row>
    <row r="1300" spans="1:8" ht="19.8" customHeight="1" x14ac:dyDescent="0.3">
      <c r="A1300" s="98">
        <f t="shared" si="20"/>
        <v>11</v>
      </c>
      <c r="B1300" s="92" t="s">
        <v>3284</v>
      </c>
      <c r="C1300" s="92" t="s">
        <v>3285</v>
      </c>
      <c r="D1300" s="95">
        <v>172577</v>
      </c>
      <c r="E1300" s="95">
        <v>2900</v>
      </c>
      <c r="F1300" s="95">
        <v>169677</v>
      </c>
      <c r="G1300" s="95">
        <v>0</v>
      </c>
      <c r="H1300" s="95">
        <v>169677</v>
      </c>
    </row>
    <row r="1301" spans="1:8" ht="19.8" customHeight="1" x14ac:dyDescent="0.3">
      <c r="A1301" s="98">
        <f t="shared" si="20"/>
        <v>3</v>
      </c>
      <c r="B1301" s="92" t="s">
        <v>227</v>
      </c>
      <c r="C1301" s="92" t="s">
        <v>351</v>
      </c>
      <c r="D1301" s="95">
        <v>557692.89</v>
      </c>
      <c r="E1301" s="95">
        <v>0</v>
      </c>
      <c r="F1301" s="95">
        <v>557692.89</v>
      </c>
      <c r="G1301" s="95">
        <v>0</v>
      </c>
      <c r="H1301" s="95">
        <v>557692.89</v>
      </c>
    </row>
    <row r="1302" spans="1:8" ht="19.8" customHeight="1" x14ac:dyDescent="0.3">
      <c r="A1302" s="98">
        <f t="shared" si="20"/>
        <v>7</v>
      </c>
      <c r="B1302" s="92" t="s">
        <v>3286</v>
      </c>
      <c r="C1302" s="92" t="s">
        <v>3287</v>
      </c>
      <c r="D1302" s="95">
        <v>557692.89</v>
      </c>
      <c r="E1302" s="95">
        <v>0</v>
      </c>
      <c r="F1302" s="95">
        <v>557692.89</v>
      </c>
      <c r="G1302" s="95">
        <v>0</v>
      </c>
      <c r="H1302" s="95">
        <v>557692.89</v>
      </c>
    </row>
    <row r="1303" spans="1:8" ht="19.8" customHeight="1" x14ac:dyDescent="0.3">
      <c r="A1303" s="98">
        <f t="shared" si="20"/>
        <v>11</v>
      </c>
      <c r="B1303" s="92" t="s">
        <v>464</v>
      </c>
      <c r="C1303" s="92" t="s">
        <v>465</v>
      </c>
      <c r="D1303" s="95">
        <v>557692.89</v>
      </c>
      <c r="E1303" s="95">
        <v>0</v>
      </c>
      <c r="F1303" s="95">
        <v>557692.89</v>
      </c>
      <c r="G1303" s="95">
        <v>0</v>
      </c>
      <c r="H1303" s="95">
        <v>557692.89</v>
      </c>
    </row>
    <row r="1304" spans="1:8" ht="19.8" customHeight="1" x14ac:dyDescent="0.3">
      <c r="A1304" s="98">
        <f t="shared" si="20"/>
        <v>3</v>
      </c>
      <c r="B1304" s="92" t="s">
        <v>228</v>
      </c>
      <c r="C1304" s="92" t="s">
        <v>352</v>
      </c>
      <c r="D1304" s="95">
        <v>652483386.90999997</v>
      </c>
      <c r="E1304" s="95">
        <v>21275738.329999998</v>
      </c>
      <c r="F1304" s="95">
        <v>631207648.58000004</v>
      </c>
      <c r="G1304" s="95">
        <v>0</v>
      </c>
      <c r="H1304" s="95">
        <v>631207648.58000004</v>
      </c>
    </row>
    <row r="1305" spans="1:8" ht="19.8" customHeight="1" x14ac:dyDescent="0.3">
      <c r="A1305" s="98">
        <f t="shared" si="20"/>
        <v>7</v>
      </c>
      <c r="B1305" s="92" t="s">
        <v>3288</v>
      </c>
      <c r="C1305" s="92" t="s">
        <v>3289</v>
      </c>
      <c r="D1305" s="95">
        <v>4862878.21</v>
      </c>
      <c r="E1305" s="95">
        <v>3849941.7</v>
      </c>
      <c r="F1305" s="95">
        <v>1012936.51</v>
      </c>
      <c r="G1305" s="95">
        <v>0</v>
      </c>
      <c r="H1305" s="95">
        <v>1012936.51</v>
      </c>
    </row>
    <row r="1306" spans="1:8" ht="19.8" customHeight="1" x14ac:dyDescent="0.3">
      <c r="A1306" s="98">
        <f t="shared" si="20"/>
        <v>11</v>
      </c>
      <c r="B1306" s="92" t="s">
        <v>466</v>
      </c>
      <c r="C1306" s="92" t="s">
        <v>467</v>
      </c>
      <c r="D1306" s="95">
        <v>49083.54</v>
      </c>
      <c r="E1306" s="95">
        <v>5034.0200000000004</v>
      </c>
      <c r="F1306" s="95">
        <v>44049.52</v>
      </c>
      <c r="G1306" s="95">
        <v>0</v>
      </c>
      <c r="H1306" s="95">
        <v>44049.52</v>
      </c>
    </row>
    <row r="1307" spans="1:8" ht="19.8" customHeight="1" x14ac:dyDescent="0.3">
      <c r="A1307" s="98">
        <f t="shared" si="20"/>
        <v>11</v>
      </c>
      <c r="B1307" s="92" t="s">
        <v>468</v>
      </c>
      <c r="C1307" s="92" t="s">
        <v>469</v>
      </c>
      <c r="D1307" s="95">
        <v>3750493.82</v>
      </c>
      <c r="E1307" s="95">
        <v>3750493.82</v>
      </c>
      <c r="F1307" s="95">
        <v>0</v>
      </c>
      <c r="G1307" s="95">
        <v>0</v>
      </c>
      <c r="H1307" s="95">
        <v>0</v>
      </c>
    </row>
    <row r="1308" spans="1:8" ht="19.8" customHeight="1" x14ac:dyDescent="0.3">
      <c r="A1308" s="98">
        <f t="shared" si="20"/>
        <v>11</v>
      </c>
      <c r="B1308" s="92" t="s">
        <v>3290</v>
      </c>
      <c r="C1308" s="92" t="s">
        <v>3291</v>
      </c>
      <c r="D1308" s="95">
        <v>1063300.8500000001</v>
      </c>
      <c r="E1308" s="95">
        <v>94413.86</v>
      </c>
      <c r="F1308" s="95">
        <v>968886.99</v>
      </c>
      <c r="G1308" s="95">
        <v>0</v>
      </c>
      <c r="H1308" s="95">
        <v>968886.99</v>
      </c>
    </row>
    <row r="1309" spans="1:8" ht="19.8" customHeight="1" x14ac:dyDescent="0.3">
      <c r="A1309" s="98">
        <f t="shared" si="20"/>
        <v>7</v>
      </c>
      <c r="B1309" s="92" t="s">
        <v>3292</v>
      </c>
      <c r="C1309" s="92" t="s">
        <v>470</v>
      </c>
      <c r="D1309" s="95">
        <v>475110149.73000002</v>
      </c>
      <c r="E1309" s="95">
        <v>2564255.21</v>
      </c>
      <c r="F1309" s="95">
        <v>472545894.51999998</v>
      </c>
      <c r="G1309" s="95">
        <v>0</v>
      </c>
      <c r="H1309" s="95">
        <v>472545894.51999998</v>
      </c>
    </row>
    <row r="1310" spans="1:8" ht="19.8" customHeight="1" x14ac:dyDescent="0.3">
      <c r="A1310" s="98">
        <f t="shared" si="20"/>
        <v>11</v>
      </c>
      <c r="B1310" s="92" t="s">
        <v>471</v>
      </c>
      <c r="C1310" s="92" t="s">
        <v>470</v>
      </c>
      <c r="D1310" s="95">
        <v>146335.23000000001</v>
      </c>
      <c r="E1310" s="95">
        <v>0</v>
      </c>
      <c r="F1310" s="95">
        <v>146335.23000000001</v>
      </c>
      <c r="G1310" s="95">
        <v>0</v>
      </c>
      <c r="H1310" s="95">
        <v>146335.23000000001</v>
      </c>
    </row>
    <row r="1311" spans="1:8" ht="19.8" customHeight="1" x14ac:dyDescent="0.3">
      <c r="A1311" s="98">
        <f t="shared" si="20"/>
        <v>11</v>
      </c>
      <c r="B1311" s="92" t="s">
        <v>472</v>
      </c>
      <c r="C1311" s="92" t="s">
        <v>473</v>
      </c>
      <c r="D1311" s="95">
        <v>474963814.5</v>
      </c>
      <c r="E1311" s="95">
        <v>2564255.21</v>
      </c>
      <c r="F1311" s="95">
        <v>472399559.29000002</v>
      </c>
      <c r="G1311" s="95">
        <v>0</v>
      </c>
      <c r="H1311" s="95">
        <v>472399559.29000002</v>
      </c>
    </row>
    <row r="1312" spans="1:8" ht="19.8" customHeight="1" x14ac:dyDescent="0.3">
      <c r="A1312" s="98">
        <f t="shared" si="20"/>
        <v>7</v>
      </c>
      <c r="B1312" s="92" t="s">
        <v>3293</v>
      </c>
      <c r="C1312" s="92" t="s">
        <v>3294</v>
      </c>
      <c r="D1312" s="95">
        <v>172371581.13</v>
      </c>
      <c r="E1312" s="95">
        <v>14851461.220000001</v>
      </c>
      <c r="F1312" s="95">
        <v>157520119.91</v>
      </c>
      <c r="G1312" s="95">
        <v>0</v>
      </c>
      <c r="H1312" s="95">
        <v>157520119.91</v>
      </c>
    </row>
    <row r="1313" spans="1:8" ht="19.8" customHeight="1" x14ac:dyDescent="0.3">
      <c r="A1313" s="98">
        <f t="shared" si="20"/>
        <v>11</v>
      </c>
      <c r="B1313" s="92" t="s">
        <v>3295</v>
      </c>
      <c r="C1313" s="92" t="s">
        <v>3296</v>
      </c>
      <c r="D1313" s="95">
        <v>163655132.06999999</v>
      </c>
      <c r="E1313" s="95">
        <v>12654502.199999999</v>
      </c>
      <c r="F1313" s="95">
        <v>151000629.87</v>
      </c>
      <c r="G1313" s="95">
        <v>0</v>
      </c>
      <c r="H1313" s="95">
        <v>151000629.87</v>
      </c>
    </row>
    <row r="1314" spans="1:8" ht="19.8" customHeight="1" x14ac:dyDescent="0.3">
      <c r="A1314" s="98">
        <f t="shared" si="20"/>
        <v>11</v>
      </c>
      <c r="B1314" s="92" t="s">
        <v>3297</v>
      </c>
      <c r="C1314" s="92" t="s">
        <v>3298</v>
      </c>
      <c r="D1314" s="95">
        <v>2933923.18</v>
      </c>
      <c r="E1314" s="95">
        <v>942417.22</v>
      </c>
      <c r="F1314" s="95">
        <v>1991505.96</v>
      </c>
      <c r="G1314" s="95">
        <v>0</v>
      </c>
      <c r="H1314" s="95">
        <v>1991505.96</v>
      </c>
    </row>
    <row r="1315" spans="1:8" ht="19.8" customHeight="1" x14ac:dyDescent="0.3">
      <c r="A1315" s="98">
        <f t="shared" si="20"/>
        <v>11</v>
      </c>
      <c r="B1315" s="92" t="s">
        <v>3299</v>
      </c>
      <c r="C1315" s="92" t="s">
        <v>3300</v>
      </c>
      <c r="D1315" s="95">
        <v>5782525.8799999999</v>
      </c>
      <c r="E1315" s="95">
        <v>1254541.8</v>
      </c>
      <c r="F1315" s="95">
        <v>4527984.08</v>
      </c>
      <c r="G1315" s="95">
        <v>0</v>
      </c>
      <c r="H1315" s="95">
        <v>4527984.08</v>
      </c>
    </row>
    <row r="1316" spans="1:8" ht="19.8" customHeight="1" x14ac:dyDescent="0.3">
      <c r="A1316" s="98">
        <f t="shared" si="20"/>
        <v>7</v>
      </c>
      <c r="B1316" s="92" t="s">
        <v>3301</v>
      </c>
      <c r="C1316" s="92" t="s">
        <v>3302</v>
      </c>
      <c r="D1316" s="95">
        <v>138777.84</v>
      </c>
      <c r="E1316" s="95">
        <v>10080.200000000001</v>
      </c>
      <c r="F1316" s="95">
        <v>128697.64</v>
      </c>
      <c r="G1316" s="95">
        <v>0</v>
      </c>
      <c r="H1316" s="95">
        <v>128697.64</v>
      </c>
    </row>
    <row r="1317" spans="1:8" ht="19.8" customHeight="1" x14ac:dyDescent="0.3">
      <c r="A1317" s="98">
        <f t="shared" si="20"/>
        <v>11</v>
      </c>
      <c r="B1317" s="92" t="s">
        <v>3303</v>
      </c>
      <c r="C1317" s="92" t="s">
        <v>3304</v>
      </c>
      <c r="D1317" s="95">
        <v>138777.84</v>
      </c>
      <c r="E1317" s="95">
        <v>10080.200000000001</v>
      </c>
      <c r="F1317" s="95">
        <v>128697.64</v>
      </c>
      <c r="G1317" s="95">
        <v>0</v>
      </c>
      <c r="H1317" s="95">
        <v>128697.64</v>
      </c>
    </row>
    <row r="1318" spans="1:8" ht="19.8" customHeight="1" x14ac:dyDescent="0.3">
      <c r="A1318" s="98">
        <f t="shared" si="20"/>
        <v>3</v>
      </c>
      <c r="B1318" s="92" t="s">
        <v>229</v>
      </c>
      <c r="C1318" s="92" t="s">
        <v>353</v>
      </c>
      <c r="D1318" s="95">
        <v>355611204.44999999</v>
      </c>
      <c r="E1318" s="95">
        <v>1608135.19</v>
      </c>
      <c r="F1318" s="95">
        <v>354003069.25999999</v>
      </c>
      <c r="G1318" s="95">
        <v>0</v>
      </c>
      <c r="H1318" s="95">
        <v>354003069.25999999</v>
      </c>
    </row>
    <row r="1319" spans="1:8" ht="19.8" customHeight="1" x14ac:dyDescent="0.3">
      <c r="A1319" s="98">
        <f t="shared" si="20"/>
        <v>7</v>
      </c>
      <c r="B1319" s="92" t="s">
        <v>3305</v>
      </c>
      <c r="C1319" s="92" t="s">
        <v>3306</v>
      </c>
      <c r="D1319" s="95">
        <v>3652261.15</v>
      </c>
      <c r="E1319" s="95">
        <v>317847.42</v>
      </c>
      <c r="F1319" s="95">
        <v>3334413.73</v>
      </c>
      <c r="G1319" s="95">
        <v>0</v>
      </c>
      <c r="H1319" s="95">
        <v>3334413.73</v>
      </c>
    </row>
    <row r="1320" spans="1:8" ht="19.8" customHeight="1" x14ac:dyDescent="0.3">
      <c r="A1320" s="98">
        <f t="shared" si="20"/>
        <v>11</v>
      </c>
      <c r="B1320" s="92" t="s">
        <v>474</v>
      </c>
      <c r="C1320" s="92" t="s">
        <v>475</v>
      </c>
      <c r="D1320" s="95">
        <v>295647.38</v>
      </c>
      <c r="E1320" s="95">
        <v>0</v>
      </c>
      <c r="F1320" s="95">
        <v>295647.38</v>
      </c>
      <c r="G1320" s="95">
        <v>0</v>
      </c>
      <c r="H1320" s="95">
        <v>295647.38</v>
      </c>
    </row>
    <row r="1321" spans="1:8" ht="19.8" customHeight="1" x14ac:dyDescent="0.3">
      <c r="A1321" s="98">
        <f t="shared" si="20"/>
        <v>11</v>
      </c>
      <c r="B1321" s="92" t="s">
        <v>476</v>
      </c>
      <c r="C1321" s="92" t="s">
        <v>477</v>
      </c>
      <c r="D1321" s="95">
        <v>8776.5300000000007</v>
      </c>
      <c r="E1321" s="95">
        <v>0</v>
      </c>
      <c r="F1321" s="95">
        <v>8776.5300000000007</v>
      </c>
      <c r="G1321" s="95">
        <v>0</v>
      </c>
      <c r="H1321" s="95">
        <v>8776.5300000000007</v>
      </c>
    </row>
    <row r="1322" spans="1:8" ht="19.8" customHeight="1" x14ac:dyDescent="0.3">
      <c r="A1322" s="98">
        <f t="shared" si="20"/>
        <v>11</v>
      </c>
      <c r="B1322" s="92" t="s">
        <v>3307</v>
      </c>
      <c r="C1322" s="92" t="s">
        <v>3308</v>
      </c>
      <c r="D1322" s="95">
        <v>89005.98</v>
      </c>
      <c r="E1322" s="95">
        <v>0</v>
      </c>
      <c r="F1322" s="95">
        <v>89005.98</v>
      </c>
      <c r="G1322" s="95">
        <v>0</v>
      </c>
      <c r="H1322" s="95">
        <v>89005.98</v>
      </c>
    </row>
    <row r="1323" spans="1:8" ht="19.8" customHeight="1" x14ac:dyDescent="0.3">
      <c r="A1323" s="98">
        <f t="shared" si="20"/>
        <v>11</v>
      </c>
      <c r="B1323" s="92" t="s">
        <v>3309</v>
      </c>
      <c r="C1323" s="92" t="s">
        <v>3310</v>
      </c>
      <c r="D1323" s="95">
        <v>3258831.26</v>
      </c>
      <c r="E1323" s="95">
        <v>317847.42</v>
      </c>
      <c r="F1323" s="95">
        <v>2940983.84</v>
      </c>
      <c r="G1323" s="95">
        <v>0</v>
      </c>
      <c r="H1323" s="95">
        <v>2940983.84</v>
      </c>
    </row>
    <row r="1324" spans="1:8" ht="19.8" customHeight="1" x14ac:dyDescent="0.3">
      <c r="A1324" s="98">
        <f t="shared" si="20"/>
        <v>7</v>
      </c>
      <c r="B1324" s="92" t="s">
        <v>3311</v>
      </c>
      <c r="C1324" s="92" t="s">
        <v>3312</v>
      </c>
      <c r="D1324" s="95">
        <v>9469001.2799999993</v>
      </c>
      <c r="E1324" s="95">
        <v>0</v>
      </c>
      <c r="F1324" s="95">
        <v>9469001.2799999993</v>
      </c>
      <c r="G1324" s="95">
        <v>0</v>
      </c>
      <c r="H1324" s="95">
        <v>9469001.2799999993</v>
      </c>
    </row>
    <row r="1325" spans="1:8" ht="19.8" customHeight="1" x14ac:dyDescent="0.3">
      <c r="A1325" s="98">
        <f t="shared" si="20"/>
        <v>11</v>
      </c>
      <c r="B1325" s="92" t="s">
        <v>478</v>
      </c>
      <c r="C1325" s="92" t="s">
        <v>479</v>
      </c>
      <c r="D1325" s="95">
        <v>2251116.5499999998</v>
      </c>
      <c r="E1325" s="95">
        <v>0</v>
      </c>
      <c r="F1325" s="95">
        <v>2251116.5499999998</v>
      </c>
      <c r="G1325" s="95">
        <v>0</v>
      </c>
      <c r="H1325" s="95">
        <v>2251116.5499999998</v>
      </c>
    </row>
    <row r="1326" spans="1:8" ht="19.8" customHeight="1" x14ac:dyDescent="0.3">
      <c r="A1326" s="98">
        <f t="shared" si="20"/>
        <v>11</v>
      </c>
      <c r="B1326" s="92" t="s">
        <v>480</v>
      </c>
      <c r="C1326" s="92" t="s">
        <v>481</v>
      </c>
      <c r="D1326" s="95">
        <v>1320345.96</v>
      </c>
      <c r="E1326" s="95">
        <v>0</v>
      </c>
      <c r="F1326" s="95">
        <v>1320345.96</v>
      </c>
      <c r="G1326" s="95">
        <v>0</v>
      </c>
      <c r="H1326" s="95">
        <v>1320345.96</v>
      </c>
    </row>
    <row r="1327" spans="1:8" ht="19.8" customHeight="1" x14ac:dyDescent="0.3">
      <c r="A1327" s="98">
        <f t="shared" si="20"/>
        <v>11</v>
      </c>
      <c r="B1327" s="92" t="s">
        <v>482</v>
      </c>
      <c r="C1327" s="92" t="s">
        <v>483</v>
      </c>
      <c r="D1327" s="95">
        <v>3116167.9</v>
      </c>
      <c r="E1327" s="95">
        <v>0</v>
      </c>
      <c r="F1327" s="95">
        <v>3116167.9</v>
      </c>
      <c r="G1327" s="95">
        <v>0</v>
      </c>
      <c r="H1327" s="95">
        <v>3116167.9</v>
      </c>
    </row>
    <row r="1328" spans="1:8" ht="19.8" customHeight="1" x14ac:dyDescent="0.3">
      <c r="A1328" s="98">
        <f t="shared" si="20"/>
        <v>11</v>
      </c>
      <c r="B1328" s="92" t="s">
        <v>3313</v>
      </c>
      <c r="C1328" s="92" t="s">
        <v>3314</v>
      </c>
      <c r="D1328" s="95">
        <v>2781370.87</v>
      </c>
      <c r="E1328" s="95">
        <v>0</v>
      </c>
      <c r="F1328" s="95">
        <v>2781370.87</v>
      </c>
      <c r="G1328" s="95">
        <v>0</v>
      </c>
      <c r="H1328" s="95">
        <v>2781370.87</v>
      </c>
    </row>
    <row r="1329" spans="1:8" ht="19.8" customHeight="1" x14ac:dyDescent="0.3">
      <c r="A1329" s="98">
        <f t="shared" si="20"/>
        <v>7</v>
      </c>
      <c r="B1329" s="92" t="s">
        <v>3315</v>
      </c>
      <c r="C1329" s="92" t="s">
        <v>3306</v>
      </c>
      <c r="D1329" s="95">
        <v>338035796.37</v>
      </c>
      <c r="E1329" s="95">
        <v>1290287.77</v>
      </c>
      <c r="F1329" s="95">
        <v>336745508.60000002</v>
      </c>
      <c r="G1329" s="95">
        <v>0</v>
      </c>
      <c r="H1329" s="95">
        <v>336745508.60000002</v>
      </c>
    </row>
    <row r="1330" spans="1:8" ht="19.8" customHeight="1" x14ac:dyDescent="0.3">
      <c r="A1330" s="98">
        <f t="shared" si="20"/>
        <v>11</v>
      </c>
      <c r="B1330" s="92" t="s">
        <v>484</v>
      </c>
      <c r="C1330" s="92" t="s">
        <v>485</v>
      </c>
      <c r="D1330" s="95">
        <v>338033074.35000002</v>
      </c>
      <c r="E1330" s="95">
        <v>1290287.77</v>
      </c>
      <c r="F1330" s="95">
        <v>336742786.57999998</v>
      </c>
      <c r="G1330" s="95">
        <v>0</v>
      </c>
      <c r="H1330" s="95">
        <v>336742786.57999998</v>
      </c>
    </row>
    <row r="1331" spans="1:8" ht="19.8" customHeight="1" x14ac:dyDescent="0.3">
      <c r="A1331" s="98">
        <f t="shared" si="20"/>
        <v>11</v>
      </c>
      <c r="B1331" s="92" t="s">
        <v>3316</v>
      </c>
      <c r="C1331" s="92" t="s">
        <v>3317</v>
      </c>
      <c r="D1331" s="95">
        <v>2722.02</v>
      </c>
      <c r="E1331" s="95">
        <v>0</v>
      </c>
      <c r="F1331" s="95">
        <v>2722.02</v>
      </c>
      <c r="G1331" s="95">
        <v>0</v>
      </c>
      <c r="H1331" s="95">
        <v>2722.02</v>
      </c>
    </row>
    <row r="1332" spans="1:8" ht="19.8" customHeight="1" x14ac:dyDescent="0.3">
      <c r="A1332" s="98">
        <f t="shared" si="20"/>
        <v>7</v>
      </c>
      <c r="B1332" s="92" t="s">
        <v>3318</v>
      </c>
      <c r="C1332" s="92" t="s">
        <v>3312</v>
      </c>
      <c r="D1332" s="95">
        <v>4454145.6500000004</v>
      </c>
      <c r="E1332" s="95">
        <v>0</v>
      </c>
      <c r="F1332" s="95">
        <v>4454145.6500000004</v>
      </c>
      <c r="G1332" s="95">
        <v>0</v>
      </c>
      <c r="H1332" s="95">
        <v>4454145.6500000004</v>
      </c>
    </row>
    <row r="1333" spans="1:8" ht="19.8" customHeight="1" x14ac:dyDescent="0.3">
      <c r="A1333" s="98">
        <f t="shared" si="20"/>
        <v>11</v>
      </c>
      <c r="B1333" s="92" t="s">
        <v>486</v>
      </c>
      <c r="C1333" s="92" t="s">
        <v>487</v>
      </c>
      <c r="D1333" s="95">
        <v>4454145.6500000004</v>
      </c>
      <c r="E1333" s="95">
        <v>0</v>
      </c>
      <c r="F1333" s="95">
        <v>4454145.6500000004</v>
      </c>
      <c r="G1333" s="95">
        <v>0</v>
      </c>
      <c r="H1333" s="95">
        <v>4454145.6500000004</v>
      </c>
    </row>
    <row r="1334" spans="1:8" ht="19.8" customHeight="1" x14ac:dyDescent="0.3">
      <c r="A1334" s="98">
        <f t="shared" si="20"/>
        <v>3</v>
      </c>
      <c r="B1334" s="92" t="s">
        <v>253</v>
      </c>
      <c r="C1334" s="92" t="s">
        <v>355</v>
      </c>
      <c r="D1334" s="95">
        <v>389844.56</v>
      </c>
      <c r="E1334" s="95">
        <v>37202450.93</v>
      </c>
      <c r="F1334" s="95">
        <v>0</v>
      </c>
      <c r="G1334" s="95">
        <v>36812606.369999997</v>
      </c>
      <c r="H1334" s="95">
        <v>-36812606.369999997</v>
      </c>
    </row>
    <row r="1335" spans="1:8" ht="19.8" customHeight="1" x14ac:dyDescent="0.3">
      <c r="A1335" s="98">
        <f t="shared" si="20"/>
        <v>7</v>
      </c>
      <c r="B1335" s="92" t="s">
        <v>3319</v>
      </c>
      <c r="C1335" s="92" t="s">
        <v>1570</v>
      </c>
      <c r="D1335" s="95">
        <v>276206.53999999998</v>
      </c>
      <c r="E1335" s="95">
        <v>12922992.15</v>
      </c>
      <c r="F1335" s="95">
        <v>0</v>
      </c>
      <c r="G1335" s="95">
        <v>12646785.609999999</v>
      </c>
      <c r="H1335" s="95">
        <v>-12646785.609999999</v>
      </c>
    </row>
    <row r="1336" spans="1:8" ht="19.8" customHeight="1" x14ac:dyDescent="0.3">
      <c r="A1336" s="98">
        <f t="shared" si="20"/>
        <v>11</v>
      </c>
      <c r="B1336" s="92" t="s">
        <v>3320</v>
      </c>
      <c r="C1336" s="92" t="s">
        <v>3321</v>
      </c>
      <c r="D1336" s="95">
        <v>40655.74</v>
      </c>
      <c r="E1336" s="95">
        <v>4038566.8</v>
      </c>
      <c r="F1336" s="95">
        <v>0</v>
      </c>
      <c r="G1336" s="95">
        <v>3997911.06</v>
      </c>
      <c r="H1336" s="95">
        <v>-3997911.06</v>
      </c>
    </row>
    <row r="1337" spans="1:8" ht="19.8" customHeight="1" x14ac:dyDescent="0.3">
      <c r="A1337" s="98">
        <f t="shared" si="20"/>
        <v>11</v>
      </c>
      <c r="B1337" s="92" t="s">
        <v>3322</v>
      </c>
      <c r="C1337" s="92" t="s">
        <v>3323</v>
      </c>
      <c r="D1337" s="95">
        <v>0</v>
      </c>
      <c r="E1337" s="95">
        <v>14885.93</v>
      </c>
      <c r="F1337" s="95">
        <v>0</v>
      </c>
      <c r="G1337" s="95">
        <v>14885.93</v>
      </c>
      <c r="H1337" s="95">
        <v>-14885.93</v>
      </c>
    </row>
    <row r="1338" spans="1:8" ht="19.8" customHeight="1" x14ac:dyDescent="0.3">
      <c r="A1338" s="98">
        <f t="shared" si="20"/>
        <v>11</v>
      </c>
      <c r="B1338" s="92" t="s">
        <v>3324</v>
      </c>
      <c r="C1338" s="92" t="s">
        <v>3325</v>
      </c>
      <c r="D1338" s="95">
        <v>0</v>
      </c>
      <c r="E1338" s="95">
        <v>34833.040000000001</v>
      </c>
      <c r="F1338" s="95">
        <v>0</v>
      </c>
      <c r="G1338" s="95">
        <v>34833.040000000001</v>
      </c>
      <c r="H1338" s="95">
        <v>-34833.040000000001</v>
      </c>
    </row>
    <row r="1339" spans="1:8" ht="19.8" customHeight="1" x14ac:dyDescent="0.3">
      <c r="A1339" s="98">
        <f t="shared" si="20"/>
        <v>11</v>
      </c>
      <c r="B1339" s="92" t="s">
        <v>3326</v>
      </c>
      <c r="C1339" s="92" t="s">
        <v>3327</v>
      </c>
      <c r="D1339" s="95">
        <v>0</v>
      </c>
      <c r="E1339" s="95">
        <v>48606.92</v>
      </c>
      <c r="F1339" s="95">
        <v>0</v>
      </c>
      <c r="G1339" s="95">
        <v>48606.92</v>
      </c>
      <c r="H1339" s="95">
        <v>-48606.92</v>
      </c>
    </row>
    <row r="1340" spans="1:8" ht="19.8" customHeight="1" x14ac:dyDescent="0.3">
      <c r="A1340" s="98">
        <f t="shared" si="20"/>
        <v>11</v>
      </c>
      <c r="B1340" s="92" t="s">
        <v>3328</v>
      </c>
      <c r="C1340" s="92" t="s">
        <v>3329</v>
      </c>
      <c r="D1340" s="95">
        <v>1648.11</v>
      </c>
      <c r="E1340" s="95">
        <v>319266.46999999997</v>
      </c>
      <c r="F1340" s="95">
        <v>0</v>
      </c>
      <c r="G1340" s="95">
        <v>317618.36</v>
      </c>
      <c r="H1340" s="95">
        <v>-317618.36</v>
      </c>
    </row>
    <row r="1341" spans="1:8" ht="19.8" customHeight="1" x14ac:dyDescent="0.3">
      <c r="A1341" s="98">
        <f t="shared" si="20"/>
        <v>11</v>
      </c>
      <c r="B1341" s="92" t="s">
        <v>3330</v>
      </c>
      <c r="C1341" s="92" t="s">
        <v>3331</v>
      </c>
      <c r="D1341" s="95">
        <v>187353.5</v>
      </c>
      <c r="E1341" s="95">
        <v>8219340.3600000003</v>
      </c>
      <c r="F1341" s="95">
        <v>0</v>
      </c>
      <c r="G1341" s="95">
        <v>8031986.8600000003</v>
      </c>
      <c r="H1341" s="95">
        <v>-8031986.8600000003</v>
      </c>
    </row>
    <row r="1342" spans="1:8" ht="19.8" customHeight="1" x14ac:dyDescent="0.3">
      <c r="A1342" s="98">
        <f t="shared" si="20"/>
        <v>11</v>
      </c>
      <c r="B1342" s="92" t="s">
        <v>3332</v>
      </c>
      <c r="C1342" s="92" t="s">
        <v>3333</v>
      </c>
      <c r="D1342" s="95">
        <v>1967.21</v>
      </c>
      <c r="E1342" s="95">
        <v>18086</v>
      </c>
      <c r="F1342" s="95">
        <v>0</v>
      </c>
      <c r="G1342" s="95">
        <v>16118.79</v>
      </c>
      <c r="H1342" s="95">
        <v>-16118.79</v>
      </c>
    </row>
    <row r="1343" spans="1:8" ht="19.8" customHeight="1" x14ac:dyDescent="0.3">
      <c r="A1343" s="98">
        <f t="shared" si="20"/>
        <v>11</v>
      </c>
      <c r="B1343" s="92" t="s">
        <v>3334</v>
      </c>
      <c r="C1343" s="92" t="s">
        <v>3335</v>
      </c>
      <c r="D1343" s="95">
        <v>44581.98</v>
      </c>
      <c r="E1343" s="95">
        <v>229406.63</v>
      </c>
      <c r="F1343" s="95">
        <v>0</v>
      </c>
      <c r="G1343" s="95">
        <v>184824.65</v>
      </c>
      <c r="H1343" s="95">
        <v>-184824.65</v>
      </c>
    </row>
    <row r="1344" spans="1:8" ht="19.8" customHeight="1" x14ac:dyDescent="0.3">
      <c r="A1344" s="98">
        <f t="shared" si="20"/>
        <v>7</v>
      </c>
      <c r="B1344" s="92" t="s">
        <v>3336</v>
      </c>
      <c r="C1344" s="92" t="s">
        <v>3337</v>
      </c>
      <c r="D1344" s="95">
        <v>0</v>
      </c>
      <c r="E1344" s="95">
        <v>2392493.16</v>
      </c>
      <c r="F1344" s="95">
        <v>0</v>
      </c>
      <c r="G1344" s="95">
        <v>2392493.16</v>
      </c>
      <c r="H1344" s="95">
        <v>-2392493.16</v>
      </c>
    </row>
    <row r="1345" spans="1:8" ht="19.8" customHeight="1" x14ac:dyDescent="0.3">
      <c r="A1345" s="98">
        <f t="shared" si="20"/>
        <v>11</v>
      </c>
      <c r="B1345" s="92" t="s">
        <v>3338</v>
      </c>
      <c r="C1345" s="92" t="s">
        <v>3337</v>
      </c>
      <c r="D1345" s="95">
        <v>0</v>
      </c>
      <c r="E1345" s="95">
        <v>229000</v>
      </c>
      <c r="F1345" s="95">
        <v>0</v>
      </c>
      <c r="G1345" s="95">
        <v>229000</v>
      </c>
      <c r="H1345" s="95">
        <v>-229000</v>
      </c>
    </row>
    <row r="1346" spans="1:8" ht="19.8" customHeight="1" x14ac:dyDescent="0.3">
      <c r="A1346" s="98">
        <f t="shared" si="20"/>
        <v>11</v>
      </c>
      <c r="B1346" s="92" t="s">
        <v>3339</v>
      </c>
      <c r="C1346" s="92" t="s">
        <v>3340</v>
      </c>
      <c r="D1346" s="95">
        <v>0</v>
      </c>
      <c r="E1346" s="95">
        <v>2163493.16</v>
      </c>
      <c r="F1346" s="95">
        <v>0</v>
      </c>
      <c r="G1346" s="95">
        <v>2163493.16</v>
      </c>
      <c r="H1346" s="95">
        <v>-2163493.16</v>
      </c>
    </row>
    <row r="1347" spans="1:8" ht="19.8" customHeight="1" x14ac:dyDescent="0.3">
      <c r="A1347" s="98">
        <f t="shared" ref="A1347:A1410" si="21">+LEN(B1347)</f>
        <v>7</v>
      </c>
      <c r="B1347" s="92" t="s">
        <v>3341</v>
      </c>
      <c r="C1347" s="92" t="s">
        <v>3342</v>
      </c>
      <c r="D1347" s="95">
        <v>19027.93</v>
      </c>
      <c r="E1347" s="95">
        <v>1260611.68</v>
      </c>
      <c r="F1347" s="95">
        <v>0</v>
      </c>
      <c r="G1347" s="95">
        <v>1241583.75</v>
      </c>
      <c r="H1347" s="95">
        <v>-1241583.75</v>
      </c>
    </row>
    <row r="1348" spans="1:8" ht="19.8" customHeight="1" x14ac:dyDescent="0.3">
      <c r="A1348" s="98">
        <f t="shared" si="21"/>
        <v>11</v>
      </c>
      <c r="B1348" s="92" t="s">
        <v>3343</v>
      </c>
      <c r="C1348" s="92" t="s">
        <v>3344</v>
      </c>
      <c r="D1348" s="95">
        <v>19027.93</v>
      </c>
      <c r="E1348" s="95">
        <v>1260611.68</v>
      </c>
      <c r="F1348" s="95">
        <v>0</v>
      </c>
      <c r="G1348" s="95">
        <v>1241583.75</v>
      </c>
      <c r="H1348" s="95">
        <v>-1241583.75</v>
      </c>
    </row>
    <row r="1349" spans="1:8" ht="19.8" customHeight="1" x14ac:dyDescent="0.3">
      <c r="A1349" s="98">
        <f t="shared" si="21"/>
        <v>7</v>
      </c>
      <c r="B1349" s="92" t="s">
        <v>3345</v>
      </c>
      <c r="C1349" s="92" t="s">
        <v>3346</v>
      </c>
      <c r="D1349" s="95">
        <v>94610.09</v>
      </c>
      <c r="E1349" s="95">
        <v>9067196.8300000001</v>
      </c>
      <c r="F1349" s="95">
        <v>0</v>
      </c>
      <c r="G1349" s="95">
        <v>8972586.7400000002</v>
      </c>
      <c r="H1349" s="95">
        <v>-8972586.7400000002</v>
      </c>
    </row>
    <row r="1350" spans="1:8" ht="19.8" customHeight="1" x14ac:dyDescent="0.3">
      <c r="A1350" s="98">
        <f t="shared" si="21"/>
        <v>11</v>
      </c>
      <c r="B1350" s="92" t="s">
        <v>3347</v>
      </c>
      <c r="C1350" s="92" t="s">
        <v>3348</v>
      </c>
      <c r="D1350" s="95">
        <v>94610.09</v>
      </c>
      <c r="E1350" s="95">
        <v>9067196.8300000001</v>
      </c>
      <c r="F1350" s="95">
        <v>0</v>
      </c>
      <c r="G1350" s="95">
        <v>8972586.7400000002</v>
      </c>
      <c r="H1350" s="95">
        <v>-8972586.7400000002</v>
      </c>
    </row>
    <row r="1351" spans="1:8" ht="19.8" customHeight="1" x14ac:dyDescent="0.3">
      <c r="A1351" s="98">
        <f t="shared" si="21"/>
        <v>7</v>
      </c>
      <c r="B1351" s="92" t="s">
        <v>3349</v>
      </c>
      <c r="C1351" s="92" t="s">
        <v>3350</v>
      </c>
      <c r="D1351" s="95">
        <v>0</v>
      </c>
      <c r="E1351" s="95">
        <v>11559157.109999999</v>
      </c>
      <c r="F1351" s="95">
        <v>0</v>
      </c>
      <c r="G1351" s="95">
        <v>11559157.109999999</v>
      </c>
      <c r="H1351" s="95">
        <v>-11559157.109999999</v>
      </c>
    </row>
    <row r="1352" spans="1:8" ht="19.8" customHeight="1" x14ac:dyDescent="0.3">
      <c r="A1352" s="98">
        <f t="shared" si="21"/>
        <v>11</v>
      </c>
      <c r="B1352" s="92" t="s">
        <v>3351</v>
      </c>
      <c r="C1352" s="92" t="s">
        <v>3352</v>
      </c>
      <c r="D1352" s="95">
        <v>0</v>
      </c>
      <c r="E1352" s="95">
        <v>6261889.2999999998</v>
      </c>
      <c r="F1352" s="95">
        <v>0</v>
      </c>
      <c r="G1352" s="95">
        <v>6261889.2999999998</v>
      </c>
      <c r="H1352" s="95">
        <v>-6261889.2999999998</v>
      </c>
    </row>
    <row r="1353" spans="1:8" ht="19.8" customHeight="1" x14ac:dyDescent="0.3">
      <c r="A1353" s="98">
        <f t="shared" si="21"/>
        <v>11</v>
      </c>
      <c r="B1353" s="92" t="s">
        <v>3353</v>
      </c>
      <c r="C1353" s="92" t="s">
        <v>3354</v>
      </c>
      <c r="D1353" s="95">
        <v>0</v>
      </c>
      <c r="E1353" s="95">
        <v>5297267.8099999996</v>
      </c>
      <c r="F1353" s="95">
        <v>0</v>
      </c>
      <c r="G1353" s="95">
        <v>5297267.8099999996</v>
      </c>
      <c r="H1353" s="95">
        <v>-5297267.8099999996</v>
      </c>
    </row>
    <row r="1354" spans="1:8" ht="19.8" customHeight="1" x14ac:dyDescent="0.3">
      <c r="A1354" s="98">
        <f t="shared" si="21"/>
        <v>3</v>
      </c>
      <c r="B1354" s="92" t="s">
        <v>233</v>
      </c>
      <c r="C1354" s="92" t="s">
        <v>356</v>
      </c>
      <c r="D1354" s="95">
        <v>388823.43</v>
      </c>
      <c r="E1354" s="95">
        <v>9903636.8000000007</v>
      </c>
      <c r="F1354" s="95">
        <v>0</v>
      </c>
      <c r="G1354" s="95">
        <v>9514813.3699999992</v>
      </c>
      <c r="H1354" s="95">
        <v>-9514813.3699999992</v>
      </c>
    </row>
    <row r="1355" spans="1:8" ht="19.8" customHeight="1" x14ac:dyDescent="0.3">
      <c r="A1355" s="98">
        <f t="shared" si="21"/>
        <v>7</v>
      </c>
      <c r="B1355" s="92" t="s">
        <v>3355</v>
      </c>
      <c r="C1355" s="92" t="s">
        <v>3356</v>
      </c>
      <c r="D1355" s="95">
        <v>388823.43</v>
      </c>
      <c r="E1355" s="95">
        <v>9903636.8000000007</v>
      </c>
      <c r="F1355" s="95">
        <v>0</v>
      </c>
      <c r="G1355" s="95">
        <v>9514813.3699999992</v>
      </c>
      <c r="H1355" s="95">
        <v>-9514813.3699999992</v>
      </c>
    </row>
    <row r="1356" spans="1:8" ht="19.8" customHeight="1" x14ac:dyDescent="0.3">
      <c r="A1356" s="98">
        <f t="shared" si="21"/>
        <v>11</v>
      </c>
      <c r="B1356" s="92" t="s">
        <v>3357</v>
      </c>
      <c r="C1356" s="92" t="s">
        <v>3356</v>
      </c>
      <c r="D1356" s="95">
        <v>388823.43</v>
      </c>
      <c r="E1356" s="95">
        <v>9903636.8000000007</v>
      </c>
      <c r="F1356" s="95">
        <v>0</v>
      </c>
      <c r="G1356" s="95">
        <v>9514813.3699999992</v>
      </c>
      <c r="H1356" s="95">
        <v>-9514813.3699999992</v>
      </c>
    </row>
    <row r="1357" spans="1:8" ht="19.8" customHeight="1" x14ac:dyDescent="0.3">
      <c r="A1357" s="98">
        <f t="shared" si="21"/>
        <v>3</v>
      </c>
      <c r="B1357" s="92" t="s">
        <v>255</v>
      </c>
      <c r="C1357" s="92" t="s">
        <v>972</v>
      </c>
      <c r="D1357" s="95">
        <v>0</v>
      </c>
      <c r="E1357" s="95">
        <v>1851851.84</v>
      </c>
      <c r="F1357" s="95">
        <v>0</v>
      </c>
      <c r="G1357" s="95">
        <v>1851851.84</v>
      </c>
      <c r="H1357" s="95">
        <v>-1851851.84</v>
      </c>
    </row>
    <row r="1358" spans="1:8" ht="19.8" customHeight="1" x14ac:dyDescent="0.3">
      <c r="A1358" s="98">
        <f t="shared" si="21"/>
        <v>7</v>
      </c>
      <c r="B1358" s="92" t="s">
        <v>3358</v>
      </c>
      <c r="C1358" s="92" t="s">
        <v>972</v>
      </c>
      <c r="D1358" s="95">
        <v>0</v>
      </c>
      <c r="E1358" s="95">
        <v>1851851.84</v>
      </c>
      <c r="F1358" s="95">
        <v>0</v>
      </c>
      <c r="G1358" s="95">
        <v>1851851.84</v>
      </c>
      <c r="H1358" s="95">
        <v>-1851851.84</v>
      </c>
    </row>
    <row r="1359" spans="1:8" ht="19.8" customHeight="1" x14ac:dyDescent="0.3">
      <c r="A1359" s="98">
        <f t="shared" si="21"/>
        <v>11</v>
      </c>
      <c r="B1359" s="92" t="s">
        <v>3359</v>
      </c>
      <c r="C1359" s="92" t="s">
        <v>972</v>
      </c>
      <c r="D1359" s="95">
        <v>0</v>
      </c>
      <c r="E1359" s="95">
        <v>1851851.84</v>
      </c>
      <c r="F1359" s="95">
        <v>0</v>
      </c>
      <c r="G1359" s="95">
        <v>1851851.84</v>
      </c>
      <c r="H1359" s="95">
        <v>-1851851.84</v>
      </c>
    </row>
    <row r="1360" spans="1:8" ht="19.8" customHeight="1" x14ac:dyDescent="0.3">
      <c r="A1360" s="98">
        <f t="shared" si="21"/>
        <v>3</v>
      </c>
      <c r="B1360" s="92" t="s">
        <v>236</v>
      </c>
      <c r="C1360" s="92" t="s">
        <v>357</v>
      </c>
      <c r="D1360" s="95">
        <v>4590248.1399999997</v>
      </c>
      <c r="E1360" s="95">
        <v>0</v>
      </c>
      <c r="F1360" s="95">
        <v>4590248.1399999997</v>
      </c>
      <c r="G1360" s="95">
        <v>0</v>
      </c>
      <c r="H1360" s="95">
        <v>4590248.1399999997</v>
      </c>
    </row>
    <row r="1361" spans="1:8" ht="19.8" customHeight="1" x14ac:dyDescent="0.3">
      <c r="A1361" s="98">
        <f t="shared" si="21"/>
        <v>7</v>
      </c>
      <c r="B1361" s="92" t="s">
        <v>3360</v>
      </c>
      <c r="C1361" s="92" t="s">
        <v>3361</v>
      </c>
      <c r="D1361" s="95">
        <v>4590248.1399999997</v>
      </c>
      <c r="E1361" s="95">
        <v>0</v>
      </c>
      <c r="F1361" s="95">
        <v>4590248.1399999997</v>
      </c>
      <c r="G1361" s="95">
        <v>0</v>
      </c>
      <c r="H1361" s="95">
        <v>4590248.1399999997</v>
      </c>
    </row>
    <row r="1362" spans="1:8" ht="19.8" customHeight="1" x14ac:dyDescent="0.3">
      <c r="A1362" s="98">
        <f t="shared" si="21"/>
        <v>11</v>
      </c>
      <c r="B1362" s="92" t="s">
        <v>3362</v>
      </c>
      <c r="C1362" s="92" t="s">
        <v>3361</v>
      </c>
      <c r="D1362" s="95">
        <v>4590248.1399999997</v>
      </c>
      <c r="E1362" s="95">
        <v>0</v>
      </c>
      <c r="F1362" s="95">
        <v>4590248.1399999997</v>
      </c>
      <c r="G1362" s="95">
        <v>0</v>
      </c>
      <c r="H1362" s="95">
        <v>4590248.1399999997</v>
      </c>
    </row>
    <row r="1363" spans="1:8" ht="19.8" customHeight="1" x14ac:dyDescent="0.3">
      <c r="A1363" s="98">
        <f t="shared" si="21"/>
        <v>3</v>
      </c>
      <c r="B1363" s="92" t="s">
        <v>257</v>
      </c>
      <c r="C1363" s="92" t="s">
        <v>3363</v>
      </c>
      <c r="D1363" s="95">
        <v>68449061.829999998</v>
      </c>
      <c r="E1363" s="95">
        <v>0</v>
      </c>
      <c r="F1363" s="95">
        <v>68449061.829999998</v>
      </c>
      <c r="G1363" s="95">
        <v>0</v>
      </c>
      <c r="H1363" s="95">
        <v>68449061.829999998</v>
      </c>
    </row>
    <row r="1364" spans="1:8" ht="19.8" customHeight="1" x14ac:dyDescent="0.3">
      <c r="A1364" s="98">
        <f t="shared" si="21"/>
        <v>7</v>
      </c>
      <c r="B1364" s="92" t="s">
        <v>3364</v>
      </c>
      <c r="C1364" s="92" t="s">
        <v>3363</v>
      </c>
      <c r="D1364" s="95">
        <v>68449061.829999998</v>
      </c>
      <c r="E1364" s="95">
        <v>0</v>
      </c>
      <c r="F1364" s="95">
        <v>68449061.829999998</v>
      </c>
      <c r="G1364" s="95">
        <v>0</v>
      </c>
      <c r="H1364" s="95">
        <v>68449061.829999998</v>
      </c>
    </row>
    <row r="1365" spans="1:8" ht="19.8" customHeight="1" x14ac:dyDescent="0.3">
      <c r="A1365" s="98">
        <f t="shared" si="21"/>
        <v>11</v>
      </c>
      <c r="B1365" s="92" t="s">
        <v>3365</v>
      </c>
      <c r="C1365" s="92" t="s">
        <v>3363</v>
      </c>
      <c r="D1365" s="95">
        <v>68449061.829999998</v>
      </c>
      <c r="E1365" s="95">
        <v>0</v>
      </c>
      <c r="F1365" s="95">
        <v>68449061.829999998</v>
      </c>
      <c r="G1365" s="95">
        <v>0</v>
      </c>
      <c r="H1365" s="95">
        <v>68449061.829999998</v>
      </c>
    </row>
    <row r="1366" spans="1:8" ht="19.8" customHeight="1" x14ac:dyDescent="0.3">
      <c r="A1366" s="98">
        <f t="shared" si="21"/>
        <v>3</v>
      </c>
      <c r="B1366" s="92" t="s">
        <v>238</v>
      </c>
      <c r="C1366" s="92" t="s">
        <v>358</v>
      </c>
      <c r="D1366" s="95">
        <v>16314843.01</v>
      </c>
      <c r="E1366" s="95">
        <v>39944359.740000002</v>
      </c>
      <c r="F1366" s="95">
        <v>0</v>
      </c>
      <c r="G1366" s="95">
        <v>23629516.73</v>
      </c>
      <c r="H1366" s="95">
        <v>-23629516.73</v>
      </c>
    </row>
    <row r="1367" spans="1:8" ht="19.8" customHeight="1" x14ac:dyDescent="0.3">
      <c r="A1367" s="98">
        <f t="shared" si="21"/>
        <v>7</v>
      </c>
      <c r="B1367" s="92" t="s">
        <v>3366</v>
      </c>
      <c r="C1367" s="92" t="s">
        <v>358</v>
      </c>
      <c r="D1367" s="95">
        <v>203708.48</v>
      </c>
      <c r="E1367" s="95">
        <v>23237991.539999999</v>
      </c>
      <c r="F1367" s="95">
        <v>0</v>
      </c>
      <c r="G1367" s="95">
        <v>23034283.059999999</v>
      </c>
      <c r="H1367" s="95">
        <v>-23034283.059999999</v>
      </c>
    </row>
    <row r="1368" spans="1:8" ht="19.8" customHeight="1" x14ac:dyDescent="0.3">
      <c r="A1368" s="98">
        <f t="shared" si="21"/>
        <v>11</v>
      </c>
      <c r="B1368" s="92" t="s">
        <v>3367</v>
      </c>
      <c r="C1368" s="92" t="s">
        <v>3368</v>
      </c>
      <c r="D1368" s="95">
        <v>0</v>
      </c>
      <c r="E1368" s="95">
        <v>2.35</v>
      </c>
      <c r="F1368" s="95">
        <v>0</v>
      </c>
      <c r="G1368" s="95">
        <v>2.35</v>
      </c>
      <c r="H1368" s="95">
        <v>-2.35</v>
      </c>
    </row>
    <row r="1369" spans="1:8" ht="19.8" customHeight="1" x14ac:dyDescent="0.3">
      <c r="A1369" s="98">
        <f t="shared" si="21"/>
        <v>11</v>
      </c>
      <c r="B1369" s="92" t="s">
        <v>3369</v>
      </c>
      <c r="C1369" s="92" t="s">
        <v>3370</v>
      </c>
      <c r="D1369" s="95">
        <v>19551.54</v>
      </c>
      <c r="E1369" s="95">
        <v>45718.74</v>
      </c>
      <c r="F1369" s="95">
        <v>0</v>
      </c>
      <c r="G1369" s="95">
        <v>26167.200000000001</v>
      </c>
      <c r="H1369" s="95">
        <v>-26167.200000000001</v>
      </c>
    </row>
    <row r="1370" spans="1:8" ht="19.8" customHeight="1" x14ac:dyDescent="0.3">
      <c r="A1370" s="98">
        <f t="shared" si="21"/>
        <v>11</v>
      </c>
      <c r="B1370" s="92" t="s">
        <v>3371</v>
      </c>
      <c r="C1370" s="92" t="s">
        <v>3372</v>
      </c>
      <c r="D1370" s="95">
        <v>0</v>
      </c>
      <c r="E1370" s="95">
        <v>88434.25</v>
      </c>
      <c r="F1370" s="95">
        <v>0</v>
      </c>
      <c r="G1370" s="95">
        <v>88434.25</v>
      </c>
      <c r="H1370" s="95">
        <v>-88434.25</v>
      </c>
    </row>
    <row r="1371" spans="1:8" ht="19.8" customHeight="1" x14ac:dyDescent="0.3">
      <c r="A1371" s="98">
        <f t="shared" si="21"/>
        <v>11</v>
      </c>
      <c r="B1371" s="92" t="s">
        <v>3373</v>
      </c>
      <c r="C1371" s="92" t="s">
        <v>3374</v>
      </c>
      <c r="D1371" s="95">
        <v>0</v>
      </c>
      <c r="E1371" s="95">
        <v>6900000</v>
      </c>
      <c r="F1371" s="95">
        <v>0</v>
      </c>
      <c r="G1371" s="95">
        <v>6900000</v>
      </c>
      <c r="H1371" s="95">
        <v>-6900000</v>
      </c>
    </row>
    <row r="1372" spans="1:8" ht="19.8" customHeight="1" x14ac:dyDescent="0.3">
      <c r="A1372" s="98">
        <f t="shared" si="21"/>
        <v>11</v>
      </c>
      <c r="B1372" s="92" t="s">
        <v>3375</v>
      </c>
      <c r="C1372" s="92" t="s">
        <v>3376</v>
      </c>
      <c r="D1372" s="95">
        <v>184156.94</v>
      </c>
      <c r="E1372" s="95">
        <v>16203836.199999999</v>
      </c>
      <c r="F1372" s="95">
        <v>0</v>
      </c>
      <c r="G1372" s="95">
        <v>16019679.26</v>
      </c>
      <c r="H1372" s="95">
        <v>-16019679.26</v>
      </c>
    </row>
    <row r="1373" spans="1:8" ht="19.8" customHeight="1" x14ac:dyDescent="0.3">
      <c r="A1373" s="98">
        <f t="shared" si="21"/>
        <v>7</v>
      </c>
      <c r="B1373" s="92" t="s">
        <v>3377</v>
      </c>
      <c r="C1373" s="92" t="s">
        <v>358</v>
      </c>
      <c r="D1373" s="95">
        <v>16111134.529999999</v>
      </c>
      <c r="E1373" s="95">
        <v>16706368.199999999</v>
      </c>
      <c r="F1373" s="95">
        <v>0</v>
      </c>
      <c r="G1373" s="95">
        <v>595233.67000000004</v>
      </c>
      <c r="H1373" s="95">
        <v>-595233.67000000004</v>
      </c>
    </row>
    <row r="1374" spans="1:8" ht="19.8" customHeight="1" x14ac:dyDescent="0.3">
      <c r="A1374" s="98">
        <f t="shared" si="21"/>
        <v>11</v>
      </c>
      <c r="B1374" s="92" t="s">
        <v>3378</v>
      </c>
      <c r="C1374" s="92" t="s">
        <v>3379</v>
      </c>
      <c r="D1374" s="95">
        <v>89134.53</v>
      </c>
      <c r="E1374" s="95">
        <v>167674.82999999999</v>
      </c>
      <c r="F1374" s="95">
        <v>0</v>
      </c>
      <c r="G1374" s="95">
        <v>78540.3</v>
      </c>
      <c r="H1374" s="95">
        <v>-78540.3</v>
      </c>
    </row>
    <row r="1375" spans="1:8" ht="19.8" customHeight="1" x14ac:dyDescent="0.3">
      <c r="A1375" s="98">
        <f t="shared" si="21"/>
        <v>11</v>
      </c>
      <c r="B1375" s="92" t="s">
        <v>3380</v>
      </c>
      <c r="C1375" s="92" t="s">
        <v>3370</v>
      </c>
      <c r="D1375" s="95">
        <v>0</v>
      </c>
      <c r="E1375" s="95">
        <v>58550</v>
      </c>
      <c r="F1375" s="95">
        <v>0</v>
      </c>
      <c r="G1375" s="95">
        <v>58550</v>
      </c>
      <c r="H1375" s="95">
        <v>-58550</v>
      </c>
    </row>
    <row r="1376" spans="1:8" ht="19.8" customHeight="1" x14ac:dyDescent="0.3">
      <c r="A1376" s="98">
        <f t="shared" si="21"/>
        <v>11</v>
      </c>
      <c r="B1376" s="92" t="s">
        <v>3381</v>
      </c>
      <c r="C1376" s="92" t="s">
        <v>3372</v>
      </c>
      <c r="D1376" s="95">
        <v>0</v>
      </c>
      <c r="E1376" s="95">
        <v>457784.28</v>
      </c>
      <c r="F1376" s="95">
        <v>0</v>
      </c>
      <c r="G1376" s="95">
        <v>457784.28</v>
      </c>
      <c r="H1376" s="95">
        <v>-457784.28</v>
      </c>
    </row>
    <row r="1377" spans="1:8" ht="19.8" customHeight="1" x14ac:dyDescent="0.3">
      <c r="A1377" s="98">
        <f t="shared" si="21"/>
        <v>11</v>
      </c>
      <c r="B1377" s="92" t="s">
        <v>3382</v>
      </c>
      <c r="C1377" s="92" t="s">
        <v>3383</v>
      </c>
      <c r="D1377" s="95">
        <v>0</v>
      </c>
      <c r="E1377" s="95">
        <v>359.09</v>
      </c>
      <c r="F1377" s="95">
        <v>0</v>
      </c>
      <c r="G1377" s="95">
        <v>359.09</v>
      </c>
      <c r="H1377" s="95">
        <v>-359.09</v>
      </c>
    </row>
    <row r="1378" spans="1:8" ht="19.8" customHeight="1" x14ac:dyDescent="0.3">
      <c r="A1378" s="98">
        <f t="shared" si="21"/>
        <v>11</v>
      </c>
      <c r="B1378" s="92" t="s">
        <v>3384</v>
      </c>
      <c r="C1378" s="92" t="s">
        <v>3385</v>
      </c>
      <c r="D1378" s="95">
        <v>16022000</v>
      </c>
      <c r="E1378" s="95">
        <v>16022000</v>
      </c>
      <c r="F1378" s="95">
        <v>0</v>
      </c>
      <c r="G1378" s="95">
        <v>0</v>
      </c>
      <c r="H1378" s="95">
        <v>0</v>
      </c>
    </row>
    <row r="1379" spans="1:8" ht="19.8" customHeight="1" x14ac:dyDescent="0.3">
      <c r="A1379" s="98">
        <f t="shared" si="21"/>
        <v>3</v>
      </c>
      <c r="B1379" s="92" t="s">
        <v>393</v>
      </c>
      <c r="C1379" s="92" t="s">
        <v>394</v>
      </c>
      <c r="D1379" s="95">
        <v>106781.06</v>
      </c>
      <c r="E1379" s="95">
        <v>0</v>
      </c>
      <c r="F1379" s="95">
        <v>106781.06</v>
      </c>
      <c r="G1379" s="95">
        <v>0</v>
      </c>
      <c r="H1379" s="95">
        <v>106781.06</v>
      </c>
    </row>
    <row r="1380" spans="1:8" ht="19.8" customHeight="1" x14ac:dyDescent="0.3">
      <c r="A1380" s="98">
        <f t="shared" si="21"/>
        <v>7</v>
      </c>
      <c r="B1380" s="92" t="s">
        <v>3386</v>
      </c>
      <c r="C1380" s="92" t="s">
        <v>3387</v>
      </c>
      <c r="D1380" s="95">
        <v>106781.06</v>
      </c>
      <c r="E1380" s="95">
        <v>0</v>
      </c>
      <c r="F1380" s="95">
        <v>106781.06</v>
      </c>
      <c r="G1380" s="95">
        <v>0</v>
      </c>
      <c r="H1380" s="95">
        <v>106781.06</v>
      </c>
    </row>
    <row r="1381" spans="1:8" ht="19.8" customHeight="1" x14ac:dyDescent="0.3">
      <c r="A1381" s="98">
        <f t="shared" si="21"/>
        <v>11</v>
      </c>
      <c r="B1381" s="92" t="s">
        <v>3388</v>
      </c>
      <c r="C1381" s="92" t="s">
        <v>488</v>
      </c>
      <c r="D1381" s="95">
        <v>94483.24</v>
      </c>
      <c r="E1381" s="95">
        <v>0</v>
      </c>
      <c r="F1381" s="95">
        <v>94483.24</v>
      </c>
      <c r="G1381" s="95">
        <v>0</v>
      </c>
      <c r="H1381" s="95">
        <v>94483.24</v>
      </c>
    </row>
    <row r="1382" spans="1:8" ht="19.8" customHeight="1" x14ac:dyDescent="0.3">
      <c r="A1382" s="98">
        <f t="shared" si="21"/>
        <v>11</v>
      </c>
      <c r="B1382" s="92" t="s">
        <v>3389</v>
      </c>
      <c r="C1382" s="92" t="s">
        <v>437</v>
      </c>
      <c r="D1382" s="95">
        <v>12297.82</v>
      </c>
      <c r="E1382" s="95">
        <v>0</v>
      </c>
      <c r="F1382" s="95">
        <v>12297.82</v>
      </c>
      <c r="G1382" s="95">
        <v>0</v>
      </c>
      <c r="H1382" s="95">
        <v>12297.82</v>
      </c>
    </row>
    <row r="1383" spans="1:8" ht="19.8" customHeight="1" x14ac:dyDescent="0.3">
      <c r="A1383" s="98">
        <f t="shared" si="21"/>
        <v>3</v>
      </c>
      <c r="B1383" s="92" t="s">
        <v>240</v>
      </c>
      <c r="C1383" s="92" t="s">
        <v>359</v>
      </c>
      <c r="D1383" s="95">
        <v>24381134.48</v>
      </c>
      <c r="E1383" s="95">
        <v>179677.11</v>
      </c>
      <c r="F1383" s="95">
        <v>24201457.370000001</v>
      </c>
      <c r="G1383" s="95">
        <v>0</v>
      </c>
      <c r="H1383" s="95">
        <v>24201457.370000001</v>
      </c>
    </row>
    <row r="1384" spans="1:8" ht="19.8" customHeight="1" x14ac:dyDescent="0.3">
      <c r="A1384" s="98">
        <f t="shared" si="21"/>
        <v>7</v>
      </c>
      <c r="B1384" s="92" t="s">
        <v>3390</v>
      </c>
      <c r="C1384" s="92" t="s">
        <v>3391</v>
      </c>
      <c r="D1384" s="95">
        <v>7218826.1500000004</v>
      </c>
      <c r="E1384" s="95">
        <v>5.38</v>
      </c>
      <c r="F1384" s="95">
        <v>7218820.7699999996</v>
      </c>
      <c r="G1384" s="95">
        <v>0</v>
      </c>
      <c r="H1384" s="95">
        <v>7218820.7699999996</v>
      </c>
    </row>
    <row r="1385" spans="1:8" ht="19.8" customHeight="1" x14ac:dyDescent="0.3">
      <c r="A1385" s="98">
        <f t="shared" si="21"/>
        <v>11</v>
      </c>
      <c r="B1385" s="92" t="s">
        <v>489</v>
      </c>
      <c r="C1385" s="92" t="s">
        <v>490</v>
      </c>
      <c r="D1385" s="95">
        <v>212230</v>
      </c>
      <c r="E1385" s="95">
        <v>0</v>
      </c>
      <c r="F1385" s="95">
        <v>212230</v>
      </c>
      <c r="G1385" s="95">
        <v>0</v>
      </c>
      <c r="H1385" s="95">
        <v>212230</v>
      </c>
    </row>
    <row r="1386" spans="1:8" ht="19.8" customHeight="1" x14ac:dyDescent="0.3">
      <c r="A1386" s="98">
        <f t="shared" si="21"/>
        <v>11</v>
      </c>
      <c r="B1386" s="92" t="s">
        <v>491</v>
      </c>
      <c r="C1386" s="92" t="s">
        <v>492</v>
      </c>
      <c r="D1386" s="95">
        <v>16.11</v>
      </c>
      <c r="E1386" s="95">
        <v>5.38</v>
      </c>
      <c r="F1386" s="95">
        <v>10.73</v>
      </c>
      <c r="G1386" s="95">
        <v>0</v>
      </c>
      <c r="H1386" s="95">
        <v>10.73</v>
      </c>
    </row>
    <row r="1387" spans="1:8" ht="19.8" customHeight="1" x14ac:dyDescent="0.3">
      <c r="A1387" s="98">
        <f t="shared" si="21"/>
        <v>11</v>
      </c>
      <c r="B1387" s="92" t="s">
        <v>978</v>
      </c>
      <c r="C1387" s="92" t="s">
        <v>985</v>
      </c>
      <c r="D1387" s="95">
        <v>55.12</v>
      </c>
      <c r="E1387" s="95">
        <v>0</v>
      </c>
      <c r="F1387" s="95">
        <v>55.12</v>
      </c>
      <c r="G1387" s="95">
        <v>0</v>
      </c>
      <c r="H1387" s="95">
        <v>55.12</v>
      </c>
    </row>
    <row r="1388" spans="1:8" ht="19.8" customHeight="1" x14ac:dyDescent="0.3">
      <c r="A1388" s="98">
        <f t="shared" si="21"/>
        <v>11</v>
      </c>
      <c r="B1388" s="92" t="s">
        <v>494</v>
      </c>
      <c r="C1388" s="92" t="s">
        <v>495</v>
      </c>
      <c r="D1388" s="95">
        <v>1537028.65</v>
      </c>
      <c r="E1388" s="95">
        <v>0</v>
      </c>
      <c r="F1388" s="95">
        <v>1537028.65</v>
      </c>
      <c r="G1388" s="95">
        <v>0</v>
      </c>
      <c r="H1388" s="95">
        <v>1537028.65</v>
      </c>
    </row>
    <row r="1389" spans="1:8" ht="19.8" customHeight="1" x14ac:dyDescent="0.3">
      <c r="A1389" s="98">
        <f t="shared" si="21"/>
        <v>11</v>
      </c>
      <c r="B1389" s="92" t="s">
        <v>496</v>
      </c>
      <c r="C1389" s="92" t="s">
        <v>497</v>
      </c>
      <c r="D1389" s="95">
        <v>5395793.3499999996</v>
      </c>
      <c r="E1389" s="95">
        <v>0</v>
      </c>
      <c r="F1389" s="95">
        <v>5395793.3499999996</v>
      </c>
      <c r="G1389" s="95">
        <v>0</v>
      </c>
      <c r="H1389" s="95">
        <v>5395793.3499999996</v>
      </c>
    </row>
    <row r="1390" spans="1:8" ht="19.8" customHeight="1" x14ac:dyDescent="0.3">
      <c r="A1390" s="98">
        <f t="shared" si="21"/>
        <v>11</v>
      </c>
      <c r="B1390" s="92" t="s">
        <v>498</v>
      </c>
      <c r="C1390" s="92" t="s">
        <v>499</v>
      </c>
      <c r="D1390" s="95">
        <v>72497.919999999998</v>
      </c>
      <c r="E1390" s="95">
        <v>0</v>
      </c>
      <c r="F1390" s="95">
        <v>72497.919999999998</v>
      </c>
      <c r="G1390" s="95">
        <v>0</v>
      </c>
      <c r="H1390" s="95">
        <v>72497.919999999998</v>
      </c>
    </row>
    <row r="1391" spans="1:8" ht="19.8" customHeight="1" x14ac:dyDescent="0.3">
      <c r="A1391" s="98">
        <f t="shared" si="21"/>
        <v>11</v>
      </c>
      <c r="B1391" s="92" t="s">
        <v>979</v>
      </c>
      <c r="C1391" s="92" t="s">
        <v>980</v>
      </c>
      <c r="D1391" s="95">
        <v>1205</v>
      </c>
      <c r="E1391" s="95">
        <v>0</v>
      </c>
      <c r="F1391" s="95">
        <v>1205</v>
      </c>
      <c r="G1391" s="95">
        <v>0</v>
      </c>
      <c r="H1391" s="95">
        <v>1205</v>
      </c>
    </row>
    <row r="1392" spans="1:8" ht="19.8" customHeight="1" x14ac:dyDescent="0.3">
      <c r="A1392" s="98">
        <f t="shared" si="21"/>
        <v>7</v>
      </c>
      <c r="B1392" s="92" t="s">
        <v>3392</v>
      </c>
      <c r="C1392" s="92" t="s">
        <v>3393</v>
      </c>
      <c r="D1392" s="95">
        <v>14787500</v>
      </c>
      <c r="E1392" s="95">
        <v>0</v>
      </c>
      <c r="F1392" s="95">
        <v>14787500</v>
      </c>
      <c r="G1392" s="95">
        <v>0</v>
      </c>
      <c r="H1392" s="95">
        <v>14787500</v>
      </c>
    </row>
    <row r="1393" spans="1:8" ht="19.8" customHeight="1" x14ac:dyDescent="0.3">
      <c r="A1393" s="98">
        <f t="shared" si="21"/>
        <v>11</v>
      </c>
      <c r="B1393" s="92" t="s">
        <v>3394</v>
      </c>
      <c r="C1393" s="92" t="s">
        <v>3395</v>
      </c>
      <c r="D1393" s="95">
        <v>9047500</v>
      </c>
      <c r="E1393" s="95">
        <v>0</v>
      </c>
      <c r="F1393" s="95">
        <v>9047500</v>
      </c>
      <c r="G1393" s="95">
        <v>0</v>
      </c>
      <c r="H1393" s="95">
        <v>9047500</v>
      </c>
    </row>
    <row r="1394" spans="1:8" ht="19.8" customHeight="1" x14ac:dyDescent="0.3">
      <c r="A1394" s="98">
        <f t="shared" si="21"/>
        <v>11</v>
      </c>
      <c r="B1394" s="92" t="s">
        <v>3396</v>
      </c>
      <c r="C1394" s="92" t="s">
        <v>3397</v>
      </c>
      <c r="D1394" s="95">
        <v>5740000</v>
      </c>
      <c r="E1394" s="95">
        <v>0</v>
      </c>
      <c r="F1394" s="95">
        <v>5740000</v>
      </c>
      <c r="G1394" s="95">
        <v>0</v>
      </c>
      <c r="H1394" s="95">
        <v>5740000</v>
      </c>
    </row>
    <row r="1395" spans="1:8" ht="19.8" customHeight="1" x14ac:dyDescent="0.3">
      <c r="A1395" s="98">
        <f t="shared" si="21"/>
        <v>7</v>
      </c>
      <c r="B1395" s="92" t="s">
        <v>3398</v>
      </c>
      <c r="C1395" s="92" t="s">
        <v>359</v>
      </c>
      <c r="D1395" s="95">
        <v>475065.17</v>
      </c>
      <c r="E1395" s="95">
        <v>0</v>
      </c>
      <c r="F1395" s="95">
        <v>475065.17</v>
      </c>
      <c r="G1395" s="95">
        <v>0</v>
      </c>
      <c r="H1395" s="95">
        <v>475065.17</v>
      </c>
    </row>
    <row r="1396" spans="1:8" ht="19.8" customHeight="1" x14ac:dyDescent="0.3">
      <c r="A1396" s="98">
        <f t="shared" si="21"/>
        <v>11</v>
      </c>
      <c r="B1396" s="92" t="s">
        <v>3399</v>
      </c>
      <c r="C1396" s="92" t="s">
        <v>3400</v>
      </c>
      <c r="D1396" s="95">
        <v>475065.17</v>
      </c>
      <c r="E1396" s="95">
        <v>0</v>
      </c>
      <c r="F1396" s="95">
        <v>475065.17</v>
      </c>
      <c r="G1396" s="95">
        <v>0</v>
      </c>
      <c r="H1396" s="95">
        <v>475065.17</v>
      </c>
    </row>
    <row r="1397" spans="1:8" ht="19.8" customHeight="1" x14ac:dyDescent="0.3">
      <c r="A1397" s="98">
        <f t="shared" si="21"/>
        <v>7</v>
      </c>
      <c r="B1397" s="92" t="s">
        <v>3401</v>
      </c>
      <c r="C1397" s="92" t="s">
        <v>3391</v>
      </c>
      <c r="D1397" s="95">
        <v>1767483.16</v>
      </c>
      <c r="E1397" s="95">
        <v>179671.73</v>
      </c>
      <c r="F1397" s="95">
        <v>1587811.43</v>
      </c>
      <c r="G1397" s="95">
        <v>0</v>
      </c>
      <c r="H1397" s="95">
        <v>1587811.43</v>
      </c>
    </row>
    <row r="1398" spans="1:8" ht="19.8" customHeight="1" x14ac:dyDescent="0.3">
      <c r="A1398" s="98">
        <f t="shared" si="21"/>
        <v>11</v>
      </c>
      <c r="B1398" s="92" t="s">
        <v>986</v>
      </c>
      <c r="C1398" s="92" t="s">
        <v>987</v>
      </c>
      <c r="D1398" s="95">
        <v>69745.22</v>
      </c>
      <c r="E1398" s="95">
        <v>0</v>
      </c>
      <c r="F1398" s="95">
        <v>69745.22</v>
      </c>
      <c r="G1398" s="95">
        <v>0</v>
      </c>
      <c r="H1398" s="95">
        <v>69745.22</v>
      </c>
    </row>
    <row r="1399" spans="1:8" ht="19.8" customHeight="1" x14ac:dyDescent="0.3">
      <c r="A1399" s="98">
        <f t="shared" si="21"/>
        <v>11</v>
      </c>
      <c r="B1399" s="92" t="s">
        <v>973</v>
      </c>
      <c r="C1399" s="92" t="s">
        <v>974</v>
      </c>
      <c r="D1399" s="95">
        <v>11646</v>
      </c>
      <c r="E1399" s="95">
        <v>0</v>
      </c>
      <c r="F1399" s="95">
        <v>11646</v>
      </c>
      <c r="G1399" s="95">
        <v>0</v>
      </c>
      <c r="H1399" s="95">
        <v>11646</v>
      </c>
    </row>
    <row r="1400" spans="1:8" ht="19.8" customHeight="1" x14ac:dyDescent="0.3">
      <c r="A1400" s="98">
        <f t="shared" si="21"/>
        <v>11</v>
      </c>
      <c r="B1400" s="92" t="s">
        <v>500</v>
      </c>
      <c r="C1400" s="92" t="s">
        <v>492</v>
      </c>
      <c r="D1400" s="95">
        <v>6.67</v>
      </c>
      <c r="E1400" s="95">
        <v>0</v>
      </c>
      <c r="F1400" s="95">
        <v>6.67</v>
      </c>
      <c r="G1400" s="95">
        <v>0</v>
      </c>
      <c r="H1400" s="95">
        <v>6.67</v>
      </c>
    </row>
    <row r="1401" spans="1:8" ht="19.8" customHeight="1" x14ac:dyDescent="0.3">
      <c r="A1401" s="98">
        <f t="shared" si="21"/>
        <v>11</v>
      </c>
      <c r="B1401" s="92" t="s">
        <v>501</v>
      </c>
      <c r="C1401" s="92" t="s">
        <v>493</v>
      </c>
      <c r="D1401" s="95">
        <v>1401203.3</v>
      </c>
      <c r="E1401" s="95">
        <v>130256.86</v>
      </c>
      <c r="F1401" s="95">
        <v>1270946.44</v>
      </c>
      <c r="G1401" s="95">
        <v>0</v>
      </c>
      <c r="H1401" s="95">
        <v>1270946.44</v>
      </c>
    </row>
    <row r="1402" spans="1:8" ht="19.8" customHeight="1" x14ac:dyDescent="0.3">
      <c r="A1402" s="98">
        <f t="shared" si="21"/>
        <v>11</v>
      </c>
      <c r="B1402" s="92" t="s">
        <v>988</v>
      </c>
      <c r="C1402" s="92" t="s">
        <v>989</v>
      </c>
      <c r="D1402" s="95">
        <v>812.84</v>
      </c>
      <c r="E1402" s="95">
        <v>812.84</v>
      </c>
      <c r="F1402" s="95">
        <v>0</v>
      </c>
      <c r="G1402" s="95">
        <v>0</v>
      </c>
      <c r="H1402" s="95">
        <v>0</v>
      </c>
    </row>
    <row r="1403" spans="1:8" ht="19.8" customHeight="1" x14ac:dyDescent="0.3">
      <c r="A1403" s="98">
        <f t="shared" si="21"/>
        <v>11</v>
      </c>
      <c r="B1403" s="92" t="s">
        <v>502</v>
      </c>
      <c r="C1403" s="92" t="s">
        <v>503</v>
      </c>
      <c r="D1403" s="95">
        <v>284069.13</v>
      </c>
      <c r="E1403" s="95">
        <v>48602.03</v>
      </c>
      <c r="F1403" s="95">
        <v>235467.1</v>
      </c>
      <c r="G1403" s="95">
        <v>0</v>
      </c>
      <c r="H1403" s="95">
        <v>235467.1</v>
      </c>
    </row>
    <row r="1404" spans="1:8" ht="19.8" customHeight="1" x14ac:dyDescent="0.3">
      <c r="A1404" s="98">
        <f t="shared" si="21"/>
        <v>7</v>
      </c>
      <c r="B1404" s="92" t="s">
        <v>3402</v>
      </c>
      <c r="C1404" s="92" t="s">
        <v>359</v>
      </c>
      <c r="D1404" s="95">
        <v>82260</v>
      </c>
      <c r="E1404" s="95">
        <v>0</v>
      </c>
      <c r="F1404" s="95">
        <v>82260</v>
      </c>
      <c r="G1404" s="95">
        <v>0</v>
      </c>
      <c r="H1404" s="95">
        <v>82260</v>
      </c>
    </row>
    <row r="1405" spans="1:8" ht="19.8" customHeight="1" x14ac:dyDescent="0.3">
      <c r="A1405" s="98">
        <f t="shared" si="21"/>
        <v>11</v>
      </c>
      <c r="B1405" s="92" t="s">
        <v>3403</v>
      </c>
      <c r="C1405" s="92" t="s">
        <v>3404</v>
      </c>
      <c r="D1405" s="95">
        <v>82260</v>
      </c>
      <c r="E1405" s="95">
        <v>0</v>
      </c>
      <c r="F1405" s="95">
        <v>82260</v>
      </c>
      <c r="G1405" s="95">
        <v>0</v>
      </c>
      <c r="H1405" s="95">
        <v>82260</v>
      </c>
    </row>
    <row r="1406" spans="1:8" ht="19.8" customHeight="1" x14ac:dyDescent="0.3">
      <c r="A1406" s="98">
        <f t="shared" si="21"/>
        <v>7</v>
      </c>
      <c r="B1406" s="92" t="s">
        <v>3405</v>
      </c>
      <c r="C1406" s="92" t="s">
        <v>3406</v>
      </c>
      <c r="D1406" s="95">
        <v>50000</v>
      </c>
      <c r="E1406" s="95">
        <v>0</v>
      </c>
      <c r="F1406" s="95">
        <v>50000</v>
      </c>
      <c r="G1406" s="95">
        <v>0</v>
      </c>
      <c r="H1406" s="95">
        <v>50000</v>
      </c>
    </row>
    <row r="1407" spans="1:8" ht="19.8" customHeight="1" x14ac:dyDescent="0.3">
      <c r="A1407" s="98">
        <f t="shared" si="21"/>
        <v>11</v>
      </c>
      <c r="B1407" s="92" t="s">
        <v>3407</v>
      </c>
      <c r="C1407" s="92" t="s">
        <v>3406</v>
      </c>
      <c r="D1407" s="95">
        <v>50000</v>
      </c>
      <c r="E1407" s="95">
        <v>0</v>
      </c>
      <c r="F1407" s="95">
        <v>50000</v>
      </c>
      <c r="G1407" s="95">
        <v>0</v>
      </c>
      <c r="H1407" s="95">
        <v>50000</v>
      </c>
    </row>
    <row r="1408" spans="1:8" ht="19.8" customHeight="1" x14ac:dyDescent="0.3">
      <c r="A1408" s="98">
        <f t="shared" si="21"/>
        <v>3</v>
      </c>
      <c r="B1408" s="92" t="s">
        <v>991</v>
      </c>
      <c r="C1408" s="92" t="s">
        <v>992</v>
      </c>
      <c r="D1408" s="95">
        <v>199077196.81999999</v>
      </c>
      <c r="E1408" s="95">
        <v>199077196.81999999</v>
      </c>
      <c r="F1408" s="95">
        <v>0</v>
      </c>
      <c r="G1408" s="95">
        <v>0</v>
      </c>
      <c r="H1408" s="95">
        <v>0</v>
      </c>
    </row>
    <row r="1409" spans="1:8" ht="19.8" customHeight="1" x14ac:dyDescent="0.3">
      <c r="A1409" s="98">
        <f t="shared" si="21"/>
        <v>7</v>
      </c>
      <c r="B1409" s="92" t="s">
        <v>3408</v>
      </c>
      <c r="C1409" s="92" t="s">
        <v>992</v>
      </c>
      <c r="D1409" s="95">
        <v>199077196.81999999</v>
      </c>
      <c r="E1409" s="95">
        <v>199077196.81999999</v>
      </c>
      <c r="F1409" s="95">
        <v>0</v>
      </c>
      <c r="G1409" s="95">
        <v>0</v>
      </c>
      <c r="H1409" s="95">
        <v>0</v>
      </c>
    </row>
    <row r="1410" spans="1:8" ht="19.8" customHeight="1" x14ac:dyDescent="0.3">
      <c r="A1410" s="98">
        <f t="shared" si="21"/>
        <v>11</v>
      </c>
      <c r="B1410" s="92" t="s">
        <v>3409</v>
      </c>
      <c r="C1410" s="92" t="s">
        <v>992</v>
      </c>
      <c r="D1410" s="95">
        <v>199077196.81999999</v>
      </c>
      <c r="E1410" s="95">
        <v>199077196.81999999</v>
      </c>
      <c r="F1410" s="95">
        <v>0</v>
      </c>
      <c r="G1410" s="95">
        <v>0</v>
      </c>
      <c r="H1410" s="95">
        <v>0</v>
      </c>
    </row>
    <row r="1411" spans="1:8" ht="19.8" customHeight="1" x14ac:dyDescent="0.3">
      <c r="A1411" s="98">
        <f t="shared" ref="A1411:A1474" si="22">+LEN(B1411)</f>
        <v>3</v>
      </c>
      <c r="B1411" s="92" t="s">
        <v>241</v>
      </c>
      <c r="C1411" s="92" t="s">
        <v>360</v>
      </c>
      <c r="D1411" s="95">
        <v>998845672.34000003</v>
      </c>
      <c r="E1411" s="95">
        <v>91695.73</v>
      </c>
      <c r="F1411" s="95">
        <v>998753976.61000001</v>
      </c>
      <c r="G1411" s="95">
        <v>0</v>
      </c>
      <c r="H1411" s="95">
        <v>998753976.61000001</v>
      </c>
    </row>
    <row r="1412" spans="1:8" ht="19.8" customHeight="1" x14ac:dyDescent="0.3">
      <c r="A1412" s="98">
        <f t="shared" si="22"/>
        <v>7</v>
      </c>
      <c r="B1412" s="92" t="s">
        <v>3410</v>
      </c>
      <c r="C1412" s="92" t="s">
        <v>3411</v>
      </c>
      <c r="D1412" s="95">
        <v>806539466.51999998</v>
      </c>
      <c r="E1412" s="95">
        <v>91695.73</v>
      </c>
      <c r="F1412" s="95">
        <v>806447770.78999996</v>
      </c>
      <c r="G1412" s="95">
        <v>0</v>
      </c>
      <c r="H1412" s="95">
        <v>806447770.78999996</v>
      </c>
    </row>
    <row r="1413" spans="1:8" ht="19.8" customHeight="1" x14ac:dyDescent="0.3">
      <c r="A1413" s="98">
        <f t="shared" si="22"/>
        <v>11</v>
      </c>
      <c r="B1413" s="92" t="s">
        <v>504</v>
      </c>
      <c r="C1413" s="92" t="s">
        <v>467</v>
      </c>
      <c r="D1413" s="95">
        <v>791773015.39999998</v>
      </c>
      <c r="E1413" s="95">
        <v>91695.73</v>
      </c>
      <c r="F1413" s="95">
        <v>791681319.66999996</v>
      </c>
      <c r="G1413" s="95">
        <v>0</v>
      </c>
      <c r="H1413" s="95">
        <v>791681319.66999996</v>
      </c>
    </row>
    <row r="1414" spans="1:8" ht="19.8" customHeight="1" x14ac:dyDescent="0.3">
      <c r="A1414" s="98">
        <f t="shared" si="22"/>
        <v>11</v>
      </c>
      <c r="B1414" s="92" t="s">
        <v>505</v>
      </c>
      <c r="C1414" s="92" t="s">
        <v>506</v>
      </c>
      <c r="D1414" s="95">
        <v>178191.64</v>
      </c>
      <c r="E1414" s="95">
        <v>0</v>
      </c>
      <c r="F1414" s="95">
        <v>178191.64</v>
      </c>
      <c r="G1414" s="95">
        <v>0</v>
      </c>
      <c r="H1414" s="95">
        <v>178191.64</v>
      </c>
    </row>
    <row r="1415" spans="1:8" ht="19.8" customHeight="1" x14ac:dyDescent="0.3">
      <c r="A1415" s="98">
        <f t="shared" si="22"/>
        <v>11</v>
      </c>
      <c r="B1415" s="92" t="s">
        <v>507</v>
      </c>
      <c r="C1415" s="92" t="s">
        <v>508</v>
      </c>
      <c r="D1415" s="95">
        <v>14478652.970000001</v>
      </c>
      <c r="E1415" s="95">
        <v>0</v>
      </c>
      <c r="F1415" s="95">
        <v>14478652.970000001</v>
      </c>
      <c r="G1415" s="95">
        <v>0</v>
      </c>
      <c r="H1415" s="95">
        <v>14478652.970000001</v>
      </c>
    </row>
    <row r="1416" spans="1:8" ht="19.8" customHeight="1" x14ac:dyDescent="0.3">
      <c r="A1416" s="98">
        <f t="shared" si="22"/>
        <v>11</v>
      </c>
      <c r="B1416" s="92" t="s">
        <v>509</v>
      </c>
      <c r="C1416" s="92" t="s">
        <v>510</v>
      </c>
      <c r="D1416" s="95">
        <v>6696.42</v>
      </c>
      <c r="E1416" s="95">
        <v>0</v>
      </c>
      <c r="F1416" s="95">
        <v>6696.42</v>
      </c>
      <c r="G1416" s="95">
        <v>0</v>
      </c>
      <c r="H1416" s="95">
        <v>6696.42</v>
      </c>
    </row>
    <row r="1417" spans="1:8" ht="19.8" customHeight="1" x14ac:dyDescent="0.3">
      <c r="A1417" s="98">
        <f t="shared" si="22"/>
        <v>11</v>
      </c>
      <c r="B1417" s="92" t="s">
        <v>511</v>
      </c>
      <c r="C1417" s="92" t="s">
        <v>512</v>
      </c>
      <c r="D1417" s="95">
        <v>61540.84</v>
      </c>
      <c r="E1417" s="95">
        <v>0</v>
      </c>
      <c r="F1417" s="95">
        <v>61540.84</v>
      </c>
      <c r="G1417" s="95">
        <v>0</v>
      </c>
      <c r="H1417" s="95">
        <v>61540.84</v>
      </c>
    </row>
    <row r="1418" spans="1:8" ht="19.8" customHeight="1" x14ac:dyDescent="0.3">
      <c r="A1418" s="98">
        <f t="shared" si="22"/>
        <v>11</v>
      </c>
      <c r="B1418" s="92" t="s">
        <v>513</v>
      </c>
      <c r="C1418" s="92" t="s">
        <v>514</v>
      </c>
      <c r="D1418" s="95">
        <v>41369.25</v>
      </c>
      <c r="E1418" s="95">
        <v>0</v>
      </c>
      <c r="F1418" s="95">
        <v>41369.25</v>
      </c>
      <c r="G1418" s="95">
        <v>0</v>
      </c>
      <c r="H1418" s="95">
        <v>41369.25</v>
      </c>
    </row>
    <row r="1419" spans="1:8" ht="19.8" customHeight="1" x14ac:dyDescent="0.3">
      <c r="A1419" s="98">
        <f t="shared" si="22"/>
        <v>7</v>
      </c>
      <c r="B1419" s="92" t="s">
        <v>3412</v>
      </c>
      <c r="C1419" s="92" t="s">
        <v>3413</v>
      </c>
      <c r="D1419" s="95">
        <v>192306205.81999999</v>
      </c>
      <c r="E1419" s="95">
        <v>0</v>
      </c>
      <c r="F1419" s="95">
        <v>192306205.81999999</v>
      </c>
      <c r="G1419" s="95">
        <v>0</v>
      </c>
      <c r="H1419" s="95">
        <v>192306205.81999999</v>
      </c>
    </row>
    <row r="1420" spans="1:8" ht="19.8" customHeight="1" x14ac:dyDescent="0.3">
      <c r="A1420" s="98">
        <f t="shared" si="22"/>
        <v>11</v>
      </c>
      <c r="B1420" s="92" t="s">
        <v>3414</v>
      </c>
      <c r="C1420" s="92" t="s">
        <v>467</v>
      </c>
      <c r="D1420" s="95">
        <v>156972534.91999999</v>
      </c>
      <c r="E1420" s="95">
        <v>0</v>
      </c>
      <c r="F1420" s="95">
        <v>156972534.91999999</v>
      </c>
      <c r="G1420" s="95">
        <v>0</v>
      </c>
      <c r="H1420" s="95">
        <v>156972534.91999999</v>
      </c>
    </row>
    <row r="1421" spans="1:8" ht="19.8" customHeight="1" x14ac:dyDescent="0.3">
      <c r="A1421" s="98">
        <f t="shared" si="22"/>
        <v>11</v>
      </c>
      <c r="B1421" s="92" t="s">
        <v>3415</v>
      </c>
      <c r="C1421" s="92" t="s">
        <v>506</v>
      </c>
      <c r="D1421" s="95">
        <v>29821781.309999999</v>
      </c>
      <c r="E1421" s="95">
        <v>0</v>
      </c>
      <c r="F1421" s="95">
        <v>29821781.309999999</v>
      </c>
      <c r="G1421" s="95">
        <v>0</v>
      </c>
      <c r="H1421" s="95">
        <v>29821781.309999999</v>
      </c>
    </row>
    <row r="1422" spans="1:8" ht="19.8" customHeight="1" x14ac:dyDescent="0.3">
      <c r="A1422" s="98">
        <f t="shared" si="22"/>
        <v>11</v>
      </c>
      <c r="B1422" s="92" t="s">
        <v>3416</v>
      </c>
      <c r="C1422" s="92" t="s">
        <v>508</v>
      </c>
      <c r="D1422" s="95">
        <v>5511889.5899999999</v>
      </c>
      <c r="E1422" s="95">
        <v>0</v>
      </c>
      <c r="F1422" s="95">
        <v>5511889.5899999999</v>
      </c>
      <c r="G1422" s="95">
        <v>0</v>
      </c>
      <c r="H1422" s="95">
        <v>5511889.5899999999</v>
      </c>
    </row>
    <row r="1423" spans="1:8" ht="19.8" customHeight="1" x14ac:dyDescent="0.3">
      <c r="A1423" s="98">
        <f t="shared" si="22"/>
        <v>3</v>
      </c>
      <c r="B1423" s="92" t="s">
        <v>242</v>
      </c>
      <c r="C1423" s="92" t="s">
        <v>361</v>
      </c>
      <c r="D1423" s="95">
        <v>28.04</v>
      </c>
      <c r="E1423" s="95">
        <v>998686574.41999996</v>
      </c>
      <c r="F1423" s="95">
        <v>0</v>
      </c>
      <c r="G1423" s="95">
        <v>998686546.38</v>
      </c>
      <c r="H1423" s="95">
        <v>-998686546.38</v>
      </c>
    </row>
    <row r="1424" spans="1:8" ht="19.8" customHeight="1" x14ac:dyDescent="0.3">
      <c r="A1424" s="98">
        <f t="shared" si="22"/>
        <v>7</v>
      </c>
      <c r="B1424" s="92" t="s">
        <v>3417</v>
      </c>
      <c r="C1424" s="92" t="s">
        <v>3411</v>
      </c>
      <c r="D1424" s="95">
        <v>0</v>
      </c>
      <c r="E1424" s="95">
        <v>805802974.58000004</v>
      </c>
      <c r="F1424" s="95">
        <v>0</v>
      </c>
      <c r="G1424" s="95">
        <v>805802974.58000004</v>
      </c>
      <c r="H1424" s="95">
        <v>-805802974.58000004</v>
      </c>
    </row>
    <row r="1425" spans="1:8" ht="19.8" customHeight="1" x14ac:dyDescent="0.3">
      <c r="A1425" s="98">
        <f t="shared" si="22"/>
        <v>11</v>
      </c>
      <c r="B1425" s="92" t="s">
        <v>515</v>
      </c>
      <c r="C1425" s="92" t="s">
        <v>467</v>
      </c>
      <c r="D1425" s="95">
        <v>0</v>
      </c>
      <c r="E1425" s="95">
        <v>805802974.58000004</v>
      </c>
      <c r="F1425" s="95">
        <v>0</v>
      </c>
      <c r="G1425" s="95">
        <v>805802974.58000004</v>
      </c>
      <c r="H1425" s="95">
        <v>-805802974.58000004</v>
      </c>
    </row>
    <row r="1426" spans="1:8" ht="19.8" customHeight="1" x14ac:dyDescent="0.3">
      <c r="A1426" s="98">
        <f t="shared" si="22"/>
        <v>7</v>
      </c>
      <c r="B1426" s="92" t="s">
        <v>3418</v>
      </c>
      <c r="C1426" s="92" t="s">
        <v>3413</v>
      </c>
      <c r="D1426" s="95">
        <v>28.04</v>
      </c>
      <c r="E1426" s="95">
        <v>192883599.84</v>
      </c>
      <c r="F1426" s="95">
        <v>0</v>
      </c>
      <c r="G1426" s="95">
        <v>192883571.80000001</v>
      </c>
      <c r="H1426" s="95">
        <v>-192883571.80000001</v>
      </c>
    </row>
    <row r="1427" spans="1:8" ht="19.8" customHeight="1" x14ac:dyDescent="0.3">
      <c r="A1427" s="98">
        <f t="shared" si="22"/>
        <v>11</v>
      </c>
      <c r="B1427" s="92" t="s">
        <v>3419</v>
      </c>
      <c r="C1427" s="92" t="s">
        <v>467</v>
      </c>
      <c r="D1427" s="95">
        <v>0</v>
      </c>
      <c r="E1427" s="95">
        <v>192883543.75999999</v>
      </c>
      <c r="F1427" s="95">
        <v>0</v>
      </c>
      <c r="G1427" s="95">
        <v>192883543.75999999</v>
      </c>
      <c r="H1427" s="95">
        <v>-192883543.75999999</v>
      </c>
    </row>
    <row r="1428" spans="1:8" ht="19.8" customHeight="1" x14ac:dyDescent="0.3">
      <c r="A1428" s="98">
        <f t="shared" si="22"/>
        <v>11</v>
      </c>
      <c r="B1428" s="92" t="s">
        <v>3420</v>
      </c>
      <c r="C1428" s="92" t="s">
        <v>506</v>
      </c>
      <c r="D1428" s="95">
        <v>28.04</v>
      </c>
      <c r="E1428" s="95">
        <v>56.08</v>
      </c>
      <c r="F1428" s="95">
        <v>0</v>
      </c>
      <c r="G1428" s="95">
        <v>28.04</v>
      </c>
      <c r="H1428" s="95">
        <v>-28.04</v>
      </c>
    </row>
    <row r="1429" spans="1:8" ht="19.8" customHeight="1" x14ac:dyDescent="0.3">
      <c r="A1429" s="98">
        <f t="shared" si="22"/>
        <v>3</v>
      </c>
      <c r="B1429" s="92" t="s">
        <v>243</v>
      </c>
      <c r="C1429" s="92" t="s">
        <v>362</v>
      </c>
      <c r="D1429" s="95">
        <v>13601721.65</v>
      </c>
      <c r="E1429" s="95">
        <v>209827.93</v>
      </c>
      <c r="F1429" s="95">
        <v>13391893.720000001</v>
      </c>
      <c r="G1429" s="95">
        <v>0</v>
      </c>
      <c r="H1429" s="95">
        <v>13391893.720000001</v>
      </c>
    </row>
    <row r="1430" spans="1:8" ht="19.8" customHeight="1" x14ac:dyDescent="0.3">
      <c r="A1430" s="98">
        <f t="shared" si="22"/>
        <v>7</v>
      </c>
      <c r="B1430" s="92" t="s">
        <v>3421</v>
      </c>
      <c r="C1430" s="92" t="s">
        <v>3422</v>
      </c>
      <c r="D1430" s="95">
        <v>13601721.65</v>
      </c>
      <c r="E1430" s="95">
        <v>209827.93</v>
      </c>
      <c r="F1430" s="95">
        <v>13391893.720000001</v>
      </c>
      <c r="G1430" s="95">
        <v>0</v>
      </c>
      <c r="H1430" s="95">
        <v>13391893.720000001</v>
      </c>
    </row>
    <row r="1431" spans="1:8" ht="19.8" customHeight="1" x14ac:dyDescent="0.3">
      <c r="A1431" s="98">
        <f t="shared" si="22"/>
        <v>11</v>
      </c>
      <c r="B1431" s="92" t="s">
        <v>516</v>
      </c>
      <c r="C1431" s="92" t="s">
        <v>517</v>
      </c>
      <c r="D1431" s="95">
        <v>8549560.8599999994</v>
      </c>
      <c r="E1431" s="95">
        <v>209827.93</v>
      </c>
      <c r="F1431" s="95">
        <v>8339732.9299999997</v>
      </c>
      <c r="G1431" s="95">
        <v>0</v>
      </c>
      <c r="H1431" s="95">
        <v>8339732.9299999997</v>
      </c>
    </row>
    <row r="1432" spans="1:8" ht="19.8" customHeight="1" x14ac:dyDescent="0.3">
      <c r="A1432" s="98">
        <f t="shared" si="22"/>
        <v>11</v>
      </c>
      <c r="B1432" s="92" t="s">
        <v>518</v>
      </c>
      <c r="C1432" s="92" t="s">
        <v>519</v>
      </c>
      <c r="D1432" s="95">
        <v>53884.56</v>
      </c>
      <c r="E1432" s="95">
        <v>0</v>
      </c>
      <c r="F1432" s="95">
        <v>53884.56</v>
      </c>
      <c r="G1432" s="95">
        <v>0</v>
      </c>
      <c r="H1432" s="95">
        <v>53884.56</v>
      </c>
    </row>
    <row r="1433" spans="1:8" ht="19.8" customHeight="1" x14ac:dyDescent="0.3">
      <c r="A1433" s="98">
        <f t="shared" si="22"/>
        <v>11</v>
      </c>
      <c r="B1433" s="92" t="s">
        <v>3423</v>
      </c>
      <c r="C1433" s="92" t="s">
        <v>520</v>
      </c>
      <c r="D1433" s="95">
        <v>13625.09</v>
      </c>
      <c r="E1433" s="95">
        <v>0</v>
      </c>
      <c r="F1433" s="95">
        <v>13625.09</v>
      </c>
      <c r="G1433" s="95">
        <v>0</v>
      </c>
      <c r="H1433" s="95">
        <v>13625.09</v>
      </c>
    </row>
    <row r="1434" spans="1:8" ht="19.8" customHeight="1" x14ac:dyDescent="0.3">
      <c r="A1434" s="98">
        <f t="shared" si="22"/>
        <v>11</v>
      </c>
      <c r="B1434" s="92" t="s">
        <v>521</v>
      </c>
      <c r="C1434" s="92" t="s">
        <v>522</v>
      </c>
      <c r="D1434" s="95">
        <v>582567.01</v>
      </c>
      <c r="E1434" s="95">
        <v>0</v>
      </c>
      <c r="F1434" s="95">
        <v>582567.01</v>
      </c>
      <c r="G1434" s="95">
        <v>0</v>
      </c>
      <c r="H1434" s="95">
        <v>582567.01</v>
      </c>
    </row>
    <row r="1435" spans="1:8" ht="19.8" customHeight="1" x14ac:dyDescent="0.3">
      <c r="A1435" s="98">
        <f t="shared" si="22"/>
        <v>11</v>
      </c>
      <c r="B1435" s="92" t="s">
        <v>523</v>
      </c>
      <c r="C1435" s="92" t="s">
        <v>524</v>
      </c>
      <c r="D1435" s="95">
        <v>2019417.74</v>
      </c>
      <c r="E1435" s="95">
        <v>0</v>
      </c>
      <c r="F1435" s="95">
        <v>2019417.74</v>
      </c>
      <c r="G1435" s="95">
        <v>0</v>
      </c>
      <c r="H1435" s="95">
        <v>2019417.74</v>
      </c>
    </row>
    <row r="1436" spans="1:8" ht="19.8" customHeight="1" x14ac:dyDescent="0.3">
      <c r="A1436" s="98">
        <f t="shared" si="22"/>
        <v>11</v>
      </c>
      <c r="B1436" s="92" t="s">
        <v>525</v>
      </c>
      <c r="C1436" s="92" t="s">
        <v>526</v>
      </c>
      <c r="D1436" s="95">
        <v>193032.97</v>
      </c>
      <c r="E1436" s="95">
        <v>0</v>
      </c>
      <c r="F1436" s="95">
        <v>193032.97</v>
      </c>
      <c r="G1436" s="95">
        <v>0</v>
      </c>
      <c r="H1436" s="95">
        <v>193032.97</v>
      </c>
    </row>
    <row r="1437" spans="1:8" ht="19.8" customHeight="1" x14ac:dyDescent="0.3">
      <c r="A1437" s="98">
        <f t="shared" si="22"/>
        <v>11</v>
      </c>
      <c r="B1437" s="92" t="s">
        <v>527</v>
      </c>
      <c r="C1437" s="92" t="s">
        <v>528</v>
      </c>
      <c r="D1437" s="95">
        <v>197016.43</v>
      </c>
      <c r="E1437" s="95">
        <v>0</v>
      </c>
      <c r="F1437" s="95">
        <v>197016.43</v>
      </c>
      <c r="G1437" s="95">
        <v>0</v>
      </c>
      <c r="H1437" s="95">
        <v>197016.43</v>
      </c>
    </row>
    <row r="1438" spans="1:8" ht="19.8" customHeight="1" x14ac:dyDescent="0.3">
      <c r="A1438" s="98">
        <f t="shared" si="22"/>
        <v>11</v>
      </c>
      <c r="B1438" s="92" t="s">
        <v>529</v>
      </c>
      <c r="C1438" s="92" t="s">
        <v>530</v>
      </c>
      <c r="D1438" s="95">
        <v>176228.3</v>
      </c>
      <c r="E1438" s="95">
        <v>0</v>
      </c>
      <c r="F1438" s="95">
        <v>176228.3</v>
      </c>
      <c r="G1438" s="95">
        <v>0</v>
      </c>
      <c r="H1438" s="95">
        <v>176228.3</v>
      </c>
    </row>
    <row r="1439" spans="1:8" ht="19.8" customHeight="1" x14ac:dyDescent="0.3">
      <c r="A1439" s="98">
        <f t="shared" si="22"/>
        <v>11</v>
      </c>
      <c r="B1439" s="92" t="s">
        <v>531</v>
      </c>
      <c r="C1439" s="92" t="s">
        <v>532</v>
      </c>
      <c r="D1439" s="95">
        <v>308285.74</v>
      </c>
      <c r="E1439" s="95">
        <v>0</v>
      </c>
      <c r="F1439" s="95">
        <v>308285.74</v>
      </c>
      <c r="G1439" s="95">
        <v>0</v>
      </c>
      <c r="H1439" s="95">
        <v>308285.74</v>
      </c>
    </row>
    <row r="1440" spans="1:8" ht="19.8" customHeight="1" x14ac:dyDescent="0.3">
      <c r="A1440" s="98">
        <f t="shared" si="22"/>
        <v>11</v>
      </c>
      <c r="B1440" s="92" t="s">
        <v>533</v>
      </c>
      <c r="C1440" s="92" t="s">
        <v>534</v>
      </c>
      <c r="D1440" s="95">
        <v>17603.87</v>
      </c>
      <c r="E1440" s="95">
        <v>0</v>
      </c>
      <c r="F1440" s="95">
        <v>17603.87</v>
      </c>
      <c r="G1440" s="95">
        <v>0</v>
      </c>
      <c r="H1440" s="95">
        <v>17603.87</v>
      </c>
    </row>
    <row r="1441" spans="1:8" ht="19.8" customHeight="1" x14ac:dyDescent="0.3">
      <c r="A1441" s="98">
        <f t="shared" si="22"/>
        <v>11</v>
      </c>
      <c r="B1441" s="92" t="s">
        <v>535</v>
      </c>
      <c r="C1441" s="92" t="s">
        <v>536</v>
      </c>
      <c r="D1441" s="95">
        <v>1128855.67</v>
      </c>
      <c r="E1441" s="95">
        <v>0</v>
      </c>
      <c r="F1441" s="95">
        <v>1128855.67</v>
      </c>
      <c r="G1441" s="95">
        <v>0</v>
      </c>
      <c r="H1441" s="95">
        <v>1128855.67</v>
      </c>
    </row>
    <row r="1442" spans="1:8" ht="19.8" customHeight="1" x14ac:dyDescent="0.3">
      <c r="A1442" s="98">
        <f t="shared" si="22"/>
        <v>11</v>
      </c>
      <c r="B1442" s="92" t="s">
        <v>538</v>
      </c>
      <c r="C1442" s="92" t="s">
        <v>539</v>
      </c>
      <c r="D1442" s="95">
        <v>302061.51</v>
      </c>
      <c r="E1442" s="95">
        <v>0</v>
      </c>
      <c r="F1442" s="95">
        <v>302061.51</v>
      </c>
      <c r="G1442" s="95">
        <v>0</v>
      </c>
      <c r="H1442" s="95">
        <v>302061.51</v>
      </c>
    </row>
    <row r="1443" spans="1:8" ht="19.8" customHeight="1" x14ac:dyDescent="0.3">
      <c r="A1443" s="98">
        <f t="shared" si="22"/>
        <v>11</v>
      </c>
      <c r="B1443" s="92" t="s">
        <v>540</v>
      </c>
      <c r="C1443" s="92" t="s">
        <v>541</v>
      </c>
      <c r="D1443" s="95">
        <v>59581.9</v>
      </c>
      <c r="E1443" s="95">
        <v>0</v>
      </c>
      <c r="F1443" s="95">
        <v>59581.9</v>
      </c>
      <c r="G1443" s="95">
        <v>0</v>
      </c>
      <c r="H1443" s="95">
        <v>59581.9</v>
      </c>
    </row>
    <row r="1444" spans="1:8" ht="19.8" customHeight="1" x14ac:dyDescent="0.3">
      <c r="A1444" s="98">
        <f t="shared" si="22"/>
        <v>3</v>
      </c>
      <c r="B1444" s="92" t="s">
        <v>244</v>
      </c>
      <c r="C1444" s="92" t="s">
        <v>416</v>
      </c>
      <c r="D1444" s="95">
        <v>959405</v>
      </c>
      <c r="E1444" s="95">
        <v>1818668</v>
      </c>
      <c r="F1444" s="95">
        <v>0</v>
      </c>
      <c r="G1444" s="95">
        <v>859263</v>
      </c>
      <c r="H1444" s="95">
        <v>-859263</v>
      </c>
    </row>
    <row r="1445" spans="1:8" ht="19.8" customHeight="1" x14ac:dyDescent="0.3">
      <c r="A1445" s="98">
        <f t="shared" si="22"/>
        <v>7</v>
      </c>
      <c r="B1445" s="92" t="s">
        <v>3424</v>
      </c>
      <c r="C1445" s="92" t="s">
        <v>416</v>
      </c>
      <c r="D1445" s="95">
        <v>959405</v>
      </c>
      <c r="E1445" s="95">
        <v>1818668</v>
      </c>
      <c r="F1445" s="95">
        <v>0</v>
      </c>
      <c r="G1445" s="95">
        <v>859263</v>
      </c>
      <c r="H1445" s="95">
        <v>-859263</v>
      </c>
    </row>
    <row r="1446" spans="1:8" ht="19.8" customHeight="1" x14ac:dyDescent="0.3">
      <c r="A1446" s="98">
        <f t="shared" si="22"/>
        <v>11</v>
      </c>
      <c r="B1446" s="92" t="s">
        <v>542</v>
      </c>
      <c r="C1446" s="92" t="s">
        <v>416</v>
      </c>
      <c r="D1446" s="95">
        <v>959405</v>
      </c>
      <c r="E1446" s="95">
        <v>1818668</v>
      </c>
      <c r="F1446" s="95">
        <v>0</v>
      </c>
      <c r="G1446" s="95">
        <v>859263</v>
      </c>
      <c r="H1446" s="95">
        <v>-859263</v>
      </c>
    </row>
    <row r="1447" spans="1:8" ht="19.8" customHeight="1" x14ac:dyDescent="0.3">
      <c r="A1447" s="98">
        <f t="shared" si="22"/>
        <v>3</v>
      </c>
      <c r="B1447" s="92" t="s">
        <v>245</v>
      </c>
      <c r="C1447" s="92" t="s">
        <v>363</v>
      </c>
      <c r="D1447" s="95">
        <v>61397379.399999999</v>
      </c>
      <c r="E1447" s="95">
        <v>6903476.6200000001</v>
      </c>
      <c r="F1447" s="95">
        <v>54493902.780000001</v>
      </c>
      <c r="G1447" s="95">
        <v>0</v>
      </c>
      <c r="H1447" s="95">
        <v>54493902.780000001</v>
      </c>
    </row>
    <row r="1448" spans="1:8" ht="19.8" customHeight="1" x14ac:dyDescent="0.3">
      <c r="A1448" s="98">
        <f t="shared" si="22"/>
        <v>7</v>
      </c>
      <c r="B1448" s="92" t="s">
        <v>3425</v>
      </c>
      <c r="C1448" s="92" t="s">
        <v>3426</v>
      </c>
      <c r="D1448" s="95">
        <v>458.33</v>
      </c>
      <c r="E1448" s="95">
        <v>0</v>
      </c>
      <c r="F1448" s="95">
        <v>458.33</v>
      </c>
      <c r="G1448" s="95">
        <v>0</v>
      </c>
      <c r="H1448" s="95">
        <v>458.33</v>
      </c>
    </row>
    <row r="1449" spans="1:8" ht="19.8" customHeight="1" x14ac:dyDescent="0.3">
      <c r="A1449" s="98">
        <f t="shared" si="22"/>
        <v>11</v>
      </c>
      <c r="B1449" s="92" t="s">
        <v>3427</v>
      </c>
      <c r="C1449" s="92" t="s">
        <v>567</v>
      </c>
      <c r="D1449" s="95">
        <v>458.33</v>
      </c>
      <c r="E1449" s="95">
        <v>0</v>
      </c>
      <c r="F1449" s="95">
        <v>458.33</v>
      </c>
      <c r="G1449" s="95">
        <v>0</v>
      </c>
      <c r="H1449" s="95">
        <v>458.33</v>
      </c>
    </row>
    <row r="1450" spans="1:8" ht="19.8" customHeight="1" x14ac:dyDescent="0.3">
      <c r="A1450" s="98">
        <f t="shared" si="22"/>
        <v>7</v>
      </c>
      <c r="B1450" s="92" t="s">
        <v>3428</v>
      </c>
      <c r="C1450" s="92" t="s">
        <v>3429</v>
      </c>
      <c r="D1450" s="95">
        <v>242371.28</v>
      </c>
      <c r="E1450" s="95">
        <v>0</v>
      </c>
      <c r="F1450" s="95">
        <v>242371.28</v>
      </c>
      <c r="G1450" s="95">
        <v>0</v>
      </c>
      <c r="H1450" s="95">
        <v>242371.28</v>
      </c>
    </row>
    <row r="1451" spans="1:8" ht="19.8" customHeight="1" x14ac:dyDescent="0.3">
      <c r="A1451" s="98">
        <f t="shared" si="22"/>
        <v>11</v>
      </c>
      <c r="B1451" s="92" t="s">
        <v>544</v>
      </c>
      <c r="C1451" s="92" t="s">
        <v>545</v>
      </c>
      <c r="D1451" s="95">
        <v>208366.19</v>
      </c>
      <c r="E1451" s="95">
        <v>0</v>
      </c>
      <c r="F1451" s="95">
        <v>208366.19</v>
      </c>
      <c r="G1451" s="95">
        <v>0</v>
      </c>
      <c r="H1451" s="95">
        <v>208366.19</v>
      </c>
    </row>
    <row r="1452" spans="1:8" ht="19.8" customHeight="1" x14ac:dyDescent="0.3">
      <c r="A1452" s="98">
        <f t="shared" si="22"/>
        <v>11</v>
      </c>
      <c r="B1452" s="92" t="s">
        <v>3430</v>
      </c>
      <c r="C1452" s="92" t="s">
        <v>582</v>
      </c>
      <c r="D1452" s="95">
        <v>34005.089999999997</v>
      </c>
      <c r="E1452" s="95">
        <v>0</v>
      </c>
      <c r="F1452" s="95">
        <v>34005.089999999997</v>
      </c>
      <c r="G1452" s="95">
        <v>0</v>
      </c>
      <c r="H1452" s="95">
        <v>34005.089999999997</v>
      </c>
    </row>
    <row r="1453" spans="1:8" ht="19.8" customHeight="1" x14ac:dyDescent="0.3">
      <c r="A1453" s="98">
        <f t="shared" si="22"/>
        <v>7</v>
      </c>
      <c r="B1453" s="92" t="s">
        <v>3431</v>
      </c>
      <c r="C1453" s="92" t="s">
        <v>3432</v>
      </c>
      <c r="D1453" s="95">
        <v>2150.3200000000002</v>
      </c>
      <c r="E1453" s="95">
        <v>0</v>
      </c>
      <c r="F1453" s="95">
        <v>2150.3200000000002</v>
      </c>
      <c r="G1453" s="95">
        <v>0</v>
      </c>
      <c r="H1453" s="95">
        <v>2150.3200000000002</v>
      </c>
    </row>
    <row r="1454" spans="1:8" ht="19.8" customHeight="1" x14ac:dyDescent="0.3">
      <c r="A1454" s="98">
        <f t="shared" si="22"/>
        <v>11</v>
      </c>
      <c r="B1454" s="92" t="s">
        <v>963</v>
      </c>
      <c r="C1454" s="92" t="s">
        <v>663</v>
      </c>
      <c r="D1454" s="95">
        <v>2150.3200000000002</v>
      </c>
      <c r="E1454" s="95">
        <v>0</v>
      </c>
      <c r="F1454" s="95">
        <v>2150.3200000000002</v>
      </c>
      <c r="G1454" s="95">
        <v>0</v>
      </c>
      <c r="H1454" s="95">
        <v>2150.3200000000002</v>
      </c>
    </row>
    <row r="1455" spans="1:8" ht="19.8" customHeight="1" x14ac:dyDescent="0.3">
      <c r="A1455" s="98">
        <f t="shared" si="22"/>
        <v>7</v>
      </c>
      <c r="B1455" s="92" t="s">
        <v>3433</v>
      </c>
      <c r="C1455" s="92" t="s">
        <v>3422</v>
      </c>
      <c r="D1455" s="95">
        <v>25517620.109999999</v>
      </c>
      <c r="E1455" s="95">
        <v>4345911.8499999996</v>
      </c>
      <c r="F1455" s="95">
        <v>21171708.260000002</v>
      </c>
      <c r="G1455" s="95">
        <v>0</v>
      </c>
      <c r="H1455" s="95">
        <v>21171708.260000002</v>
      </c>
    </row>
    <row r="1456" spans="1:8" ht="19.8" customHeight="1" x14ac:dyDescent="0.3">
      <c r="A1456" s="98">
        <f t="shared" si="22"/>
        <v>11</v>
      </c>
      <c r="B1456" s="92" t="s">
        <v>3434</v>
      </c>
      <c r="C1456" s="92" t="s">
        <v>519</v>
      </c>
      <c r="D1456" s="95">
        <v>101237.65</v>
      </c>
      <c r="E1456" s="95">
        <v>0</v>
      </c>
      <c r="F1456" s="95">
        <v>101237.65</v>
      </c>
      <c r="G1456" s="95">
        <v>0</v>
      </c>
      <c r="H1456" s="95">
        <v>101237.65</v>
      </c>
    </row>
    <row r="1457" spans="1:8" ht="19.8" customHeight="1" x14ac:dyDescent="0.3">
      <c r="A1457" s="98">
        <f t="shared" si="22"/>
        <v>11</v>
      </c>
      <c r="B1457" s="92" t="s">
        <v>3435</v>
      </c>
      <c r="C1457" s="92" t="s">
        <v>520</v>
      </c>
      <c r="D1457" s="95">
        <v>197934.98</v>
      </c>
      <c r="E1457" s="95">
        <v>0</v>
      </c>
      <c r="F1457" s="95">
        <v>197934.98</v>
      </c>
      <c r="G1457" s="95">
        <v>0</v>
      </c>
      <c r="H1457" s="95">
        <v>197934.98</v>
      </c>
    </row>
    <row r="1458" spans="1:8" ht="19.8" customHeight="1" x14ac:dyDescent="0.3">
      <c r="A1458" s="98">
        <f t="shared" si="22"/>
        <v>11</v>
      </c>
      <c r="B1458" s="92" t="s">
        <v>548</v>
      </c>
      <c r="C1458" s="92" t="s">
        <v>517</v>
      </c>
      <c r="D1458" s="95">
        <v>15702784.52</v>
      </c>
      <c r="E1458" s="95">
        <v>0</v>
      </c>
      <c r="F1458" s="95">
        <v>15702784.52</v>
      </c>
      <c r="G1458" s="95">
        <v>0</v>
      </c>
      <c r="H1458" s="95">
        <v>15702784.52</v>
      </c>
    </row>
    <row r="1459" spans="1:8" ht="19.8" customHeight="1" x14ac:dyDescent="0.3">
      <c r="A1459" s="98">
        <f t="shared" si="22"/>
        <v>11</v>
      </c>
      <c r="B1459" s="92" t="s">
        <v>549</v>
      </c>
      <c r="C1459" s="92" t="s">
        <v>519</v>
      </c>
      <c r="D1459" s="95">
        <v>1827.95</v>
      </c>
      <c r="E1459" s="95">
        <v>0</v>
      </c>
      <c r="F1459" s="95">
        <v>1827.95</v>
      </c>
      <c r="G1459" s="95">
        <v>0</v>
      </c>
      <c r="H1459" s="95">
        <v>1827.95</v>
      </c>
    </row>
    <row r="1460" spans="1:8" ht="19.8" customHeight="1" x14ac:dyDescent="0.3">
      <c r="A1460" s="98">
        <f t="shared" si="22"/>
        <v>11</v>
      </c>
      <c r="B1460" s="92" t="s">
        <v>550</v>
      </c>
      <c r="C1460" s="92" t="s">
        <v>522</v>
      </c>
      <c r="D1460" s="95">
        <v>3615232.13</v>
      </c>
      <c r="E1460" s="95">
        <v>3489558.8</v>
      </c>
      <c r="F1460" s="95">
        <v>125673.33</v>
      </c>
      <c r="G1460" s="95">
        <v>0</v>
      </c>
      <c r="H1460" s="95">
        <v>125673.33</v>
      </c>
    </row>
    <row r="1461" spans="1:8" ht="19.8" customHeight="1" x14ac:dyDescent="0.3">
      <c r="A1461" s="98">
        <f t="shared" si="22"/>
        <v>11</v>
      </c>
      <c r="B1461" s="92" t="s">
        <v>551</v>
      </c>
      <c r="C1461" s="92" t="s">
        <v>524</v>
      </c>
      <c r="D1461" s="95">
        <v>3451161.73</v>
      </c>
      <c r="E1461" s="95">
        <v>309454.11</v>
      </c>
      <c r="F1461" s="95">
        <v>3141707.62</v>
      </c>
      <c r="G1461" s="95">
        <v>0</v>
      </c>
      <c r="H1461" s="95">
        <v>3141707.62</v>
      </c>
    </row>
    <row r="1462" spans="1:8" ht="19.8" customHeight="1" x14ac:dyDescent="0.3">
      <c r="A1462" s="98">
        <f t="shared" si="22"/>
        <v>11</v>
      </c>
      <c r="B1462" s="92" t="s">
        <v>3436</v>
      </c>
      <c r="C1462" s="92" t="s">
        <v>526</v>
      </c>
      <c r="D1462" s="95">
        <v>349066.6</v>
      </c>
      <c r="E1462" s="95">
        <v>0</v>
      </c>
      <c r="F1462" s="95">
        <v>349066.6</v>
      </c>
      <c r="G1462" s="95">
        <v>0</v>
      </c>
      <c r="H1462" s="95">
        <v>349066.6</v>
      </c>
    </row>
    <row r="1463" spans="1:8" ht="19.8" customHeight="1" x14ac:dyDescent="0.3">
      <c r="A1463" s="98">
        <f t="shared" si="22"/>
        <v>11</v>
      </c>
      <c r="B1463" s="92" t="s">
        <v>552</v>
      </c>
      <c r="C1463" s="92" t="s">
        <v>528</v>
      </c>
      <c r="D1463" s="95">
        <v>331236.45</v>
      </c>
      <c r="E1463" s="95">
        <v>0</v>
      </c>
      <c r="F1463" s="95">
        <v>331236.45</v>
      </c>
      <c r="G1463" s="95">
        <v>0</v>
      </c>
      <c r="H1463" s="95">
        <v>331236.45</v>
      </c>
    </row>
    <row r="1464" spans="1:8" ht="19.8" customHeight="1" x14ac:dyDescent="0.3">
      <c r="A1464" s="98">
        <f t="shared" si="22"/>
        <v>11</v>
      </c>
      <c r="B1464" s="92" t="s">
        <v>553</v>
      </c>
      <c r="C1464" s="92" t="s">
        <v>530</v>
      </c>
      <c r="D1464" s="95">
        <v>167716.75</v>
      </c>
      <c r="E1464" s="95">
        <v>0</v>
      </c>
      <c r="F1464" s="95">
        <v>167716.75</v>
      </c>
      <c r="G1464" s="95">
        <v>0</v>
      </c>
      <c r="H1464" s="95">
        <v>167716.75</v>
      </c>
    </row>
    <row r="1465" spans="1:8" ht="19.8" customHeight="1" x14ac:dyDescent="0.3">
      <c r="A1465" s="98">
        <f t="shared" si="22"/>
        <v>11</v>
      </c>
      <c r="B1465" s="92" t="s">
        <v>554</v>
      </c>
      <c r="C1465" s="92" t="s">
        <v>555</v>
      </c>
      <c r="D1465" s="95">
        <v>759105.13</v>
      </c>
      <c r="E1465" s="95">
        <v>546898.93999999994</v>
      </c>
      <c r="F1465" s="95">
        <v>212206.19</v>
      </c>
      <c r="G1465" s="95">
        <v>0</v>
      </c>
      <c r="H1465" s="95">
        <v>212206.19</v>
      </c>
    </row>
    <row r="1466" spans="1:8" ht="19.8" customHeight="1" x14ac:dyDescent="0.3">
      <c r="A1466" s="98">
        <f t="shared" si="22"/>
        <v>11</v>
      </c>
      <c r="B1466" s="92" t="s">
        <v>556</v>
      </c>
      <c r="C1466" s="92" t="s">
        <v>532</v>
      </c>
      <c r="D1466" s="95">
        <v>233447.05</v>
      </c>
      <c r="E1466" s="95">
        <v>0</v>
      </c>
      <c r="F1466" s="95">
        <v>233447.05</v>
      </c>
      <c r="G1466" s="95">
        <v>0</v>
      </c>
      <c r="H1466" s="95">
        <v>233447.05</v>
      </c>
    </row>
    <row r="1467" spans="1:8" ht="19.8" customHeight="1" x14ac:dyDescent="0.3">
      <c r="A1467" s="98">
        <f t="shared" si="22"/>
        <v>11</v>
      </c>
      <c r="B1467" s="92" t="s">
        <v>557</v>
      </c>
      <c r="C1467" s="92" t="s">
        <v>534</v>
      </c>
      <c r="D1467" s="95">
        <v>37593.550000000003</v>
      </c>
      <c r="E1467" s="95">
        <v>0</v>
      </c>
      <c r="F1467" s="95">
        <v>37593.550000000003</v>
      </c>
      <c r="G1467" s="95">
        <v>0</v>
      </c>
      <c r="H1467" s="95">
        <v>37593.550000000003</v>
      </c>
    </row>
    <row r="1468" spans="1:8" ht="19.8" customHeight="1" x14ac:dyDescent="0.3">
      <c r="A1468" s="98">
        <f t="shared" si="22"/>
        <v>11</v>
      </c>
      <c r="B1468" s="92" t="s">
        <v>558</v>
      </c>
      <c r="C1468" s="92" t="s">
        <v>536</v>
      </c>
      <c r="D1468" s="95">
        <v>455287.38</v>
      </c>
      <c r="E1468" s="95">
        <v>0</v>
      </c>
      <c r="F1468" s="95">
        <v>455287.38</v>
      </c>
      <c r="G1468" s="95">
        <v>0</v>
      </c>
      <c r="H1468" s="95">
        <v>455287.38</v>
      </c>
    </row>
    <row r="1469" spans="1:8" ht="19.8" customHeight="1" x14ac:dyDescent="0.3">
      <c r="A1469" s="98">
        <f t="shared" si="22"/>
        <v>11</v>
      </c>
      <c r="B1469" s="92" t="s">
        <v>559</v>
      </c>
      <c r="C1469" s="92" t="s">
        <v>560</v>
      </c>
      <c r="D1469" s="95">
        <v>113988.24</v>
      </c>
      <c r="E1469" s="95">
        <v>0</v>
      </c>
      <c r="F1469" s="95">
        <v>113988.24</v>
      </c>
      <c r="G1469" s="95">
        <v>0</v>
      </c>
      <c r="H1469" s="95">
        <v>113988.24</v>
      </c>
    </row>
    <row r="1470" spans="1:8" ht="19.8" customHeight="1" x14ac:dyDescent="0.3">
      <c r="A1470" s="98">
        <f t="shared" si="22"/>
        <v>7</v>
      </c>
      <c r="B1470" s="92" t="s">
        <v>3437</v>
      </c>
      <c r="C1470" s="92" t="s">
        <v>3426</v>
      </c>
      <c r="D1470" s="95">
        <v>10207400.09</v>
      </c>
      <c r="E1470" s="95">
        <v>332662.17</v>
      </c>
      <c r="F1470" s="95">
        <v>9874737.9199999999</v>
      </c>
      <c r="G1470" s="95">
        <v>0</v>
      </c>
      <c r="H1470" s="95">
        <v>9874737.9199999999</v>
      </c>
    </row>
    <row r="1471" spans="1:8" ht="19.8" customHeight="1" x14ac:dyDescent="0.3">
      <c r="A1471" s="98">
        <f t="shared" si="22"/>
        <v>11</v>
      </c>
      <c r="B1471" s="92" t="s">
        <v>561</v>
      </c>
      <c r="C1471" s="92" t="s">
        <v>562</v>
      </c>
      <c r="D1471" s="95">
        <v>35560</v>
      </c>
      <c r="E1471" s="95">
        <v>0</v>
      </c>
      <c r="F1471" s="95">
        <v>35560</v>
      </c>
      <c r="G1471" s="95">
        <v>0</v>
      </c>
      <c r="H1471" s="95">
        <v>35560</v>
      </c>
    </row>
    <row r="1472" spans="1:8" ht="19.8" customHeight="1" x14ac:dyDescent="0.3">
      <c r="A1472" s="98">
        <f t="shared" si="22"/>
        <v>11</v>
      </c>
      <c r="B1472" s="92" t="s">
        <v>563</v>
      </c>
      <c r="C1472" s="92" t="s">
        <v>543</v>
      </c>
      <c r="D1472" s="95">
        <v>963076.64</v>
      </c>
      <c r="E1472" s="95">
        <v>0</v>
      </c>
      <c r="F1472" s="95">
        <v>963076.64</v>
      </c>
      <c r="G1472" s="95">
        <v>0</v>
      </c>
      <c r="H1472" s="95">
        <v>963076.64</v>
      </c>
    </row>
    <row r="1473" spans="1:8" ht="19.8" customHeight="1" x14ac:dyDescent="0.3">
      <c r="A1473" s="98">
        <f t="shared" si="22"/>
        <v>11</v>
      </c>
      <c r="B1473" s="92" t="s">
        <v>564</v>
      </c>
      <c r="C1473" s="92" t="s">
        <v>565</v>
      </c>
      <c r="D1473" s="95">
        <v>23217.63</v>
      </c>
      <c r="E1473" s="95">
        <v>0</v>
      </c>
      <c r="F1473" s="95">
        <v>23217.63</v>
      </c>
      <c r="G1473" s="95">
        <v>0</v>
      </c>
      <c r="H1473" s="95">
        <v>23217.63</v>
      </c>
    </row>
    <row r="1474" spans="1:8" ht="19.8" customHeight="1" x14ac:dyDescent="0.3">
      <c r="A1474" s="98">
        <f t="shared" si="22"/>
        <v>11</v>
      </c>
      <c r="B1474" s="92" t="s">
        <v>566</v>
      </c>
      <c r="C1474" s="92" t="s">
        <v>567</v>
      </c>
      <c r="D1474" s="95">
        <v>5583008.9800000004</v>
      </c>
      <c r="E1474" s="95">
        <v>0</v>
      </c>
      <c r="F1474" s="95">
        <v>5583008.9800000004</v>
      </c>
      <c r="G1474" s="95">
        <v>0</v>
      </c>
      <c r="H1474" s="95">
        <v>5583008.9800000004</v>
      </c>
    </row>
    <row r="1475" spans="1:8" ht="19.8" customHeight="1" x14ac:dyDescent="0.3">
      <c r="A1475" s="98">
        <f t="shared" ref="A1475:A1538" si="23">+LEN(B1475)</f>
        <v>11</v>
      </c>
      <c r="B1475" s="92" t="s">
        <v>568</v>
      </c>
      <c r="C1475" s="92" t="s">
        <v>569</v>
      </c>
      <c r="D1475" s="95">
        <v>2475737.5699999998</v>
      </c>
      <c r="E1475" s="95">
        <v>332662.17</v>
      </c>
      <c r="F1475" s="95">
        <v>2143075.4</v>
      </c>
      <c r="G1475" s="95">
        <v>0</v>
      </c>
      <c r="H1475" s="95">
        <v>2143075.4</v>
      </c>
    </row>
    <row r="1476" spans="1:8" ht="19.8" customHeight="1" x14ac:dyDescent="0.3">
      <c r="A1476" s="98">
        <f t="shared" si="23"/>
        <v>11</v>
      </c>
      <c r="B1476" s="92" t="s">
        <v>570</v>
      </c>
      <c r="C1476" s="92" t="s">
        <v>571</v>
      </c>
      <c r="D1476" s="95">
        <v>364915.05</v>
      </c>
      <c r="E1476" s="95">
        <v>0</v>
      </c>
      <c r="F1476" s="95">
        <v>364915.05</v>
      </c>
      <c r="G1476" s="95">
        <v>0</v>
      </c>
      <c r="H1476" s="95">
        <v>364915.05</v>
      </c>
    </row>
    <row r="1477" spans="1:8" ht="19.8" customHeight="1" x14ac:dyDescent="0.3">
      <c r="A1477" s="98">
        <f t="shared" si="23"/>
        <v>11</v>
      </c>
      <c r="B1477" s="92" t="s">
        <v>572</v>
      </c>
      <c r="C1477" s="92" t="s">
        <v>573</v>
      </c>
      <c r="D1477" s="95">
        <v>8790.91</v>
      </c>
      <c r="E1477" s="95">
        <v>0</v>
      </c>
      <c r="F1477" s="95">
        <v>8790.91</v>
      </c>
      <c r="G1477" s="95">
        <v>0</v>
      </c>
      <c r="H1477" s="95">
        <v>8790.91</v>
      </c>
    </row>
    <row r="1478" spans="1:8" ht="19.8" customHeight="1" x14ac:dyDescent="0.3">
      <c r="A1478" s="98">
        <f t="shared" si="23"/>
        <v>11</v>
      </c>
      <c r="B1478" s="92" t="s">
        <v>574</v>
      </c>
      <c r="C1478" s="92" t="s">
        <v>575</v>
      </c>
      <c r="D1478" s="95">
        <v>753093.31</v>
      </c>
      <c r="E1478" s="95">
        <v>0</v>
      </c>
      <c r="F1478" s="95">
        <v>753093.31</v>
      </c>
      <c r="G1478" s="95">
        <v>0</v>
      </c>
      <c r="H1478" s="95">
        <v>753093.31</v>
      </c>
    </row>
    <row r="1479" spans="1:8" ht="19.8" customHeight="1" x14ac:dyDescent="0.3">
      <c r="A1479" s="98">
        <f t="shared" si="23"/>
        <v>7</v>
      </c>
      <c r="B1479" s="92" t="s">
        <v>3438</v>
      </c>
      <c r="C1479" s="92" t="s">
        <v>3429</v>
      </c>
      <c r="D1479" s="95">
        <v>669488.16</v>
      </c>
      <c r="E1479" s="95">
        <v>0</v>
      </c>
      <c r="F1479" s="95">
        <v>669488.16</v>
      </c>
      <c r="G1479" s="95">
        <v>0</v>
      </c>
      <c r="H1479" s="95">
        <v>669488.16</v>
      </c>
    </row>
    <row r="1480" spans="1:8" ht="19.8" customHeight="1" x14ac:dyDescent="0.3">
      <c r="A1480" s="98">
        <f t="shared" si="23"/>
        <v>11</v>
      </c>
      <c r="B1480" s="92" t="s">
        <v>576</v>
      </c>
      <c r="C1480" s="92" t="s">
        <v>577</v>
      </c>
      <c r="D1480" s="95">
        <v>46530.2</v>
      </c>
      <c r="E1480" s="95">
        <v>0</v>
      </c>
      <c r="F1480" s="95">
        <v>46530.2</v>
      </c>
      <c r="G1480" s="95">
        <v>0</v>
      </c>
      <c r="H1480" s="95">
        <v>46530.2</v>
      </c>
    </row>
    <row r="1481" spans="1:8" ht="19.8" customHeight="1" x14ac:dyDescent="0.3">
      <c r="A1481" s="98">
        <f t="shared" si="23"/>
        <v>11</v>
      </c>
      <c r="B1481" s="92" t="s">
        <v>578</v>
      </c>
      <c r="C1481" s="92" t="s">
        <v>545</v>
      </c>
      <c r="D1481" s="95">
        <v>446494.11</v>
      </c>
      <c r="E1481" s="95">
        <v>0</v>
      </c>
      <c r="F1481" s="95">
        <v>446494.11</v>
      </c>
      <c r="G1481" s="95">
        <v>0</v>
      </c>
      <c r="H1481" s="95">
        <v>446494.11</v>
      </c>
    </row>
    <row r="1482" spans="1:8" ht="19.8" customHeight="1" x14ac:dyDescent="0.3">
      <c r="A1482" s="98">
        <f t="shared" si="23"/>
        <v>11</v>
      </c>
      <c r="B1482" s="92" t="s">
        <v>579</v>
      </c>
      <c r="C1482" s="92" t="s">
        <v>580</v>
      </c>
      <c r="D1482" s="95">
        <v>102128.2</v>
      </c>
      <c r="E1482" s="95">
        <v>0</v>
      </c>
      <c r="F1482" s="95">
        <v>102128.2</v>
      </c>
      <c r="G1482" s="95">
        <v>0</v>
      </c>
      <c r="H1482" s="95">
        <v>102128.2</v>
      </c>
    </row>
    <row r="1483" spans="1:8" ht="19.8" customHeight="1" x14ac:dyDescent="0.3">
      <c r="A1483" s="98">
        <f t="shared" si="23"/>
        <v>11</v>
      </c>
      <c r="B1483" s="92" t="s">
        <v>581</v>
      </c>
      <c r="C1483" s="92" t="s">
        <v>582</v>
      </c>
      <c r="D1483" s="95">
        <v>74335.649999999994</v>
      </c>
      <c r="E1483" s="95">
        <v>0</v>
      </c>
      <c r="F1483" s="95">
        <v>74335.649999999994</v>
      </c>
      <c r="G1483" s="95">
        <v>0</v>
      </c>
      <c r="H1483" s="95">
        <v>74335.649999999994</v>
      </c>
    </row>
    <row r="1484" spans="1:8" ht="19.8" customHeight="1" x14ac:dyDescent="0.3">
      <c r="A1484" s="98">
        <f t="shared" si="23"/>
        <v>7</v>
      </c>
      <c r="B1484" s="92" t="s">
        <v>3439</v>
      </c>
      <c r="C1484" s="92" t="s">
        <v>3440</v>
      </c>
      <c r="D1484" s="95">
        <v>5877886.4500000002</v>
      </c>
      <c r="E1484" s="95">
        <v>26000</v>
      </c>
      <c r="F1484" s="95">
        <v>5851886.4500000002</v>
      </c>
      <c r="G1484" s="95">
        <v>0</v>
      </c>
      <c r="H1484" s="95">
        <v>5851886.4500000002</v>
      </c>
    </row>
    <row r="1485" spans="1:8" ht="19.8" customHeight="1" x14ac:dyDescent="0.3">
      <c r="A1485" s="98">
        <f t="shared" si="23"/>
        <v>11</v>
      </c>
      <c r="B1485" s="92" t="s">
        <v>583</v>
      </c>
      <c r="C1485" s="92" t="s">
        <v>584</v>
      </c>
      <c r="D1485" s="95">
        <v>5877886.4500000002</v>
      </c>
      <c r="E1485" s="95">
        <v>26000</v>
      </c>
      <c r="F1485" s="95">
        <v>5851886.4500000002</v>
      </c>
      <c r="G1485" s="95">
        <v>0</v>
      </c>
      <c r="H1485" s="95">
        <v>5851886.4500000002</v>
      </c>
    </row>
    <row r="1486" spans="1:8" ht="19.8" customHeight="1" x14ac:dyDescent="0.3">
      <c r="A1486" s="98">
        <f t="shared" si="23"/>
        <v>7</v>
      </c>
      <c r="B1486" s="92" t="s">
        <v>3441</v>
      </c>
      <c r="C1486" s="92" t="s">
        <v>3442</v>
      </c>
      <c r="D1486" s="95">
        <v>25078.799999999999</v>
      </c>
      <c r="E1486" s="95">
        <v>0</v>
      </c>
      <c r="F1486" s="95">
        <v>25078.799999999999</v>
      </c>
      <c r="G1486" s="95">
        <v>0</v>
      </c>
      <c r="H1486" s="95">
        <v>25078.799999999999</v>
      </c>
    </row>
    <row r="1487" spans="1:8" ht="19.8" customHeight="1" x14ac:dyDescent="0.3">
      <c r="A1487" s="98">
        <f t="shared" si="23"/>
        <v>11</v>
      </c>
      <c r="B1487" s="92" t="s">
        <v>585</v>
      </c>
      <c r="C1487" s="92" t="s">
        <v>586</v>
      </c>
      <c r="D1487" s="95">
        <v>25078.799999999999</v>
      </c>
      <c r="E1487" s="95">
        <v>0</v>
      </c>
      <c r="F1487" s="95">
        <v>25078.799999999999</v>
      </c>
      <c r="G1487" s="95">
        <v>0</v>
      </c>
      <c r="H1487" s="95">
        <v>25078.799999999999</v>
      </c>
    </row>
    <row r="1488" spans="1:8" ht="19.8" customHeight="1" x14ac:dyDescent="0.3">
      <c r="A1488" s="98">
        <f t="shared" si="23"/>
        <v>7</v>
      </c>
      <c r="B1488" s="92" t="s">
        <v>3443</v>
      </c>
      <c r="C1488" s="92" t="s">
        <v>3444</v>
      </c>
      <c r="D1488" s="95">
        <v>251397.17</v>
      </c>
      <c r="E1488" s="95">
        <v>0</v>
      </c>
      <c r="F1488" s="95">
        <v>251397.17</v>
      </c>
      <c r="G1488" s="95">
        <v>0</v>
      </c>
      <c r="H1488" s="95">
        <v>251397.17</v>
      </c>
    </row>
    <row r="1489" spans="1:8" ht="19.8" customHeight="1" x14ac:dyDescent="0.3">
      <c r="A1489" s="98">
        <f t="shared" si="23"/>
        <v>11</v>
      </c>
      <c r="B1489" s="92" t="s">
        <v>587</v>
      </c>
      <c r="C1489" s="92" t="s">
        <v>546</v>
      </c>
      <c r="D1489" s="95">
        <v>251397.17</v>
      </c>
      <c r="E1489" s="95">
        <v>0</v>
      </c>
      <c r="F1489" s="95">
        <v>251397.17</v>
      </c>
      <c r="G1489" s="95">
        <v>0</v>
      </c>
      <c r="H1489" s="95">
        <v>251397.17</v>
      </c>
    </row>
    <row r="1490" spans="1:8" ht="19.8" customHeight="1" x14ac:dyDescent="0.3">
      <c r="A1490" s="98">
        <f t="shared" si="23"/>
        <v>7</v>
      </c>
      <c r="B1490" s="92" t="s">
        <v>3445</v>
      </c>
      <c r="C1490" s="92" t="s">
        <v>3446</v>
      </c>
      <c r="D1490" s="95">
        <v>3567936.92</v>
      </c>
      <c r="E1490" s="95">
        <v>147434.98000000001</v>
      </c>
      <c r="F1490" s="95">
        <v>3420501.94</v>
      </c>
      <c r="G1490" s="95">
        <v>0</v>
      </c>
      <c r="H1490" s="95">
        <v>3420501.94</v>
      </c>
    </row>
    <row r="1491" spans="1:8" ht="19.8" customHeight="1" x14ac:dyDescent="0.3">
      <c r="A1491" s="98">
        <f t="shared" si="23"/>
        <v>11</v>
      </c>
      <c r="B1491" s="92" t="s">
        <v>588</v>
      </c>
      <c r="C1491" s="92" t="s">
        <v>589</v>
      </c>
      <c r="D1491" s="95">
        <v>1244555.3700000001</v>
      </c>
      <c r="E1491" s="95">
        <v>0</v>
      </c>
      <c r="F1491" s="95">
        <v>1244555.3700000001</v>
      </c>
      <c r="G1491" s="95">
        <v>0</v>
      </c>
      <c r="H1491" s="95">
        <v>1244555.3700000001</v>
      </c>
    </row>
    <row r="1492" spans="1:8" ht="19.8" customHeight="1" x14ac:dyDescent="0.3">
      <c r="A1492" s="98">
        <f t="shared" si="23"/>
        <v>11</v>
      </c>
      <c r="B1492" s="92" t="s">
        <v>590</v>
      </c>
      <c r="C1492" s="92" t="s">
        <v>591</v>
      </c>
      <c r="D1492" s="95">
        <v>130112.36</v>
      </c>
      <c r="E1492" s="95">
        <v>0</v>
      </c>
      <c r="F1492" s="95">
        <v>130112.36</v>
      </c>
      <c r="G1492" s="95">
        <v>0</v>
      </c>
      <c r="H1492" s="95">
        <v>130112.36</v>
      </c>
    </row>
    <row r="1493" spans="1:8" ht="19.8" customHeight="1" x14ac:dyDescent="0.3">
      <c r="A1493" s="98">
        <f t="shared" si="23"/>
        <v>11</v>
      </c>
      <c r="B1493" s="92" t="s">
        <v>592</v>
      </c>
      <c r="C1493" s="92" t="s">
        <v>593</v>
      </c>
      <c r="D1493" s="95">
        <v>14434</v>
      </c>
      <c r="E1493" s="95">
        <v>0</v>
      </c>
      <c r="F1493" s="95">
        <v>14434</v>
      </c>
      <c r="G1493" s="95">
        <v>0</v>
      </c>
      <c r="H1493" s="95">
        <v>14434</v>
      </c>
    </row>
    <row r="1494" spans="1:8" ht="19.8" customHeight="1" x14ac:dyDescent="0.3">
      <c r="A1494" s="98">
        <f t="shared" si="23"/>
        <v>11</v>
      </c>
      <c r="B1494" s="92" t="s">
        <v>594</v>
      </c>
      <c r="C1494" s="92" t="s">
        <v>595</v>
      </c>
      <c r="D1494" s="95">
        <v>95140</v>
      </c>
      <c r="E1494" s="95">
        <v>0</v>
      </c>
      <c r="F1494" s="95">
        <v>95140</v>
      </c>
      <c r="G1494" s="95">
        <v>0</v>
      </c>
      <c r="H1494" s="95">
        <v>95140</v>
      </c>
    </row>
    <row r="1495" spans="1:8" ht="19.8" customHeight="1" x14ac:dyDescent="0.3">
      <c r="A1495" s="98">
        <f t="shared" si="23"/>
        <v>11</v>
      </c>
      <c r="B1495" s="92" t="s">
        <v>596</v>
      </c>
      <c r="C1495" s="92" t="s">
        <v>597</v>
      </c>
      <c r="D1495" s="95">
        <v>336726.64</v>
      </c>
      <c r="E1495" s="95">
        <v>0</v>
      </c>
      <c r="F1495" s="95">
        <v>336726.64</v>
      </c>
      <c r="G1495" s="95">
        <v>0</v>
      </c>
      <c r="H1495" s="95">
        <v>336726.64</v>
      </c>
    </row>
    <row r="1496" spans="1:8" ht="19.8" customHeight="1" x14ac:dyDescent="0.3">
      <c r="A1496" s="98">
        <f t="shared" si="23"/>
        <v>11</v>
      </c>
      <c r="B1496" s="92" t="s">
        <v>598</v>
      </c>
      <c r="C1496" s="92" t="s">
        <v>599</v>
      </c>
      <c r="D1496" s="95">
        <v>472233.37</v>
      </c>
      <c r="E1496" s="95">
        <v>58367.53</v>
      </c>
      <c r="F1496" s="95">
        <v>413865.84</v>
      </c>
      <c r="G1496" s="95">
        <v>0</v>
      </c>
      <c r="H1496" s="95">
        <v>413865.84</v>
      </c>
    </row>
    <row r="1497" spans="1:8" ht="19.8" customHeight="1" x14ac:dyDescent="0.3">
      <c r="A1497" s="98">
        <f t="shared" si="23"/>
        <v>11</v>
      </c>
      <c r="B1497" s="92" t="s">
        <v>600</v>
      </c>
      <c r="C1497" s="92" t="s">
        <v>601</v>
      </c>
      <c r="D1497" s="95">
        <v>96663.5</v>
      </c>
      <c r="E1497" s="95">
        <v>0</v>
      </c>
      <c r="F1497" s="95">
        <v>96663.5</v>
      </c>
      <c r="G1497" s="95">
        <v>0</v>
      </c>
      <c r="H1497" s="95">
        <v>96663.5</v>
      </c>
    </row>
    <row r="1498" spans="1:8" ht="19.8" customHeight="1" x14ac:dyDescent="0.3">
      <c r="A1498" s="98">
        <f t="shared" si="23"/>
        <v>11</v>
      </c>
      <c r="B1498" s="92" t="s">
        <v>602</v>
      </c>
      <c r="C1498" s="92" t="s">
        <v>603</v>
      </c>
      <c r="D1498" s="95">
        <v>128836.28</v>
      </c>
      <c r="E1498" s="95">
        <v>89067.45</v>
      </c>
      <c r="F1498" s="95">
        <v>39768.83</v>
      </c>
      <c r="G1498" s="95">
        <v>0</v>
      </c>
      <c r="H1498" s="95">
        <v>39768.83</v>
      </c>
    </row>
    <row r="1499" spans="1:8" ht="19.8" customHeight="1" x14ac:dyDescent="0.3">
      <c r="A1499" s="98">
        <f t="shared" si="23"/>
        <v>11</v>
      </c>
      <c r="B1499" s="92" t="s">
        <v>604</v>
      </c>
      <c r="C1499" s="92" t="s">
        <v>605</v>
      </c>
      <c r="D1499" s="95">
        <v>1049235.3999999999</v>
      </c>
      <c r="E1499" s="95">
        <v>0</v>
      </c>
      <c r="F1499" s="95">
        <v>1049235.3999999999</v>
      </c>
      <c r="G1499" s="95">
        <v>0</v>
      </c>
      <c r="H1499" s="95">
        <v>1049235.3999999999</v>
      </c>
    </row>
    <row r="1500" spans="1:8" ht="19.8" customHeight="1" x14ac:dyDescent="0.3">
      <c r="A1500" s="98">
        <f t="shared" si="23"/>
        <v>7</v>
      </c>
      <c r="B1500" s="92" t="s">
        <v>3447</v>
      </c>
      <c r="C1500" s="92" t="s">
        <v>3448</v>
      </c>
      <c r="D1500" s="95">
        <v>904266.22</v>
      </c>
      <c r="E1500" s="95">
        <v>205291.41</v>
      </c>
      <c r="F1500" s="95">
        <v>698974.81</v>
      </c>
      <c r="G1500" s="95">
        <v>0</v>
      </c>
      <c r="H1500" s="95">
        <v>698974.81</v>
      </c>
    </row>
    <row r="1501" spans="1:8" ht="19.8" customHeight="1" x14ac:dyDescent="0.3">
      <c r="A1501" s="98">
        <f t="shared" si="23"/>
        <v>11</v>
      </c>
      <c r="B1501" s="92" t="s">
        <v>606</v>
      </c>
      <c r="C1501" s="92" t="s">
        <v>607</v>
      </c>
      <c r="D1501" s="95">
        <v>31875.87</v>
      </c>
      <c r="E1501" s="95">
        <v>9805.7900000000009</v>
      </c>
      <c r="F1501" s="95">
        <v>22070.080000000002</v>
      </c>
      <c r="G1501" s="95">
        <v>0</v>
      </c>
      <c r="H1501" s="95">
        <v>22070.080000000002</v>
      </c>
    </row>
    <row r="1502" spans="1:8" ht="19.8" customHeight="1" x14ac:dyDescent="0.3">
      <c r="A1502" s="98">
        <f t="shared" si="23"/>
        <v>11</v>
      </c>
      <c r="B1502" s="92" t="s">
        <v>608</v>
      </c>
      <c r="C1502" s="92" t="s">
        <v>609</v>
      </c>
      <c r="D1502" s="95">
        <v>81223.649999999994</v>
      </c>
      <c r="E1502" s="95">
        <v>24540.720000000001</v>
      </c>
      <c r="F1502" s="95">
        <v>56682.93</v>
      </c>
      <c r="G1502" s="95">
        <v>0</v>
      </c>
      <c r="H1502" s="95">
        <v>56682.93</v>
      </c>
    </row>
    <row r="1503" spans="1:8" ht="19.8" customHeight="1" x14ac:dyDescent="0.3">
      <c r="A1503" s="98">
        <f t="shared" si="23"/>
        <v>11</v>
      </c>
      <c r="B1503" s="92" t="s">
        <v>610</v>
      </c>
      <c r="C1503" s="92" t="s">
        <v>611</v>
      </c>
      <c r="D1503" s="95">
        <v>167415.48000000001</v>
      </c>
      <c r="E1503" s="95">
        <v>50224.66</v>
      </c>
      <c r="F1503" s="95">
        <v>117190.82</v>
      </c>
      <c r="G1503" s="95">
        <v>0</v>
      </c>
      <c r="H1503" s="95">
        <v>117190.82</v>
      </c>
    </row>
    <row r="1504" spans="1:8" ht="19.8" customHeight="1" x14ac:dyDescent="0.3">
      <c r="A1504" s="98">
        <f t="shared" si="23"/>
        <v>11</v>
      </c>
      <c r="B1504" s="92" t="s">
        <v>612</v>
      </c>
      <c r="C1504" s="92" t="s">
        <v>613</v>
      </c>
      <c r="D1504" s="95">
        <v>362630.52</v>
      </c>
      <c r="E1504" s="95">
        <v>108789.27</v>
      </c>
      <c r="F1504" s="95">
        <v>253841.25</v>
      </c>
      <c r="G1504" s="95">
        <v>0</v>
      </c>
      <c r="H1504" s="95">
        <v>253841.25</v>
      </c>
    </row>
    <row r="1505" spans="1:8" ht="19.8" customHeight="1" x14ac:dyDescent="0.3">
      <c r="A1505" s="98">
        <f t="shared" si="23"/>
        <v>11</v>
      </c>
      <c r="B1505" s="92" t="s">
        <v>614</v>
      </c>
      <c r="C1505" s="92" t="s">
        <v>615</v>
      </c>
      <c r="D1505" s="95">
        <v>17825.82</v>
      </c>
      <c r="E1505" s="95">
        <v>0</v>
      </c>
      <c r="F1505" s="95">
        <v>17825.82</v>
      </c>
      <c r="G1505" s="95">
        <v>0</v>
      </c>
      <c r="H1505" s="95">
        <v>17825.82</v>
      </c>
    </row>
    <row r="1506" spans="1:8" ht="19.8" customHeight="1" x14ac:dyDescent="0.3">
      <c r="A1506" s="98">
        <f t="shared" si="23"/>
        <v>11</v>
      </c>
      <c r="B1506" s="92" t="s">
        <v>616</v>
      </c>
      <c r="C1506" s="92" t="s">
        <v>617</v>
      </c>
      <c r="D1506" s="95">
        <v>1875.01</v>
      </c>
      <c r="E1506" s="95">
        <v>562.5</v>
      </c>
      <c r="F1506" s="95">
        <v>1312.51</v>
      </c>
      <c r="G1506" s="95">
        <v>0</v>
      </c>
      <c r="H1506" s="95">
        <v>1312.51</v>
      </c>
    </row>
    <row r="1507" spans="1:8" ht="19.8" customHeight="1" x14ac:dyDescent="0.3">
      <c r="A1507" s="98">
        <f t="shared" si="23"/>
        <v>11</v>
      </c>
      <c r="B1507" s="92" t="s">
        <v>618</v>
      </c>
      <c r="C1507" s="92" t="s">
        <v>619</v>
      </c>
      <c r="D1507" s="95">
        <v>29957.5</v>
      </c>
      <c r="E1507" s="95">
        <v>8987.25</v>
      </c>
      <c r="F1507" s="95">
        <v>20970.25</v>
      </c>
      <c r="G1507" s="95">
        <v>0</v>
      </c>
      <c r="H1507" s="95">
        <v>20970.25</v>
      </c>
    </row>
    <row r="1508" spans="1:8" ht="19.8" customHeight="1" x14ac:dyDescent="0.3">
      <c r="A1508" s="98">
        <f t="shared" si="23"/>
        <v>11</v>
      </c>
      <c r="B1508" s="92" t="s">
        <v>620</v>
      </c>
      <c r="C1508" s="92" t="s">
        <v>621</v>
      </c>
      <c r="D1508" s="95">
        <v>2350.0100000000002</v>
      </c>
      <c r="E1508" s="95">
        <v>705</v>
      </c>
      <c r="F1508" s="95">
        <v>1645.01</v>
      </c>
      <c r="G1508" s="95">
        <v>0</v>
      </c>
      <c r="H1508" s="95">
        <v>1645.01</v>
      </c>
    </row>
    <row r="1509" spans="1:8" ht="19.8" customHeight="1" x14ac:dyDescent="0.3">
      <c r="A1509" s="98">
        <f t="shared" si="23"/>
        <v>11</v>
      </c>
      <c r="B1509" s="92" t="s">
        <v>622</v>
      </c>
      <c r="C1509" s="92" t="s">
        <v>623</v>
      </c>
      <c r="D1509" s="95">
        <v>3603.33</v>
      </c>
      <c r="E1509" s="95">
        <v>1081</v>
      </c>
      <c r="F1509" s="95">
        <v>2522.33</v>
      </c>
      <c r="G1509" s="95">
        <v>0</v>
      </c>
      <c r="H1509" s="95">
        <v>2522.33</v>
      </c>
    </row>
    <row r="1510" spans="1:8" ht="19.8" customHeight="1" x14ac:dyDescent="0.3">
      <c r="A1510" s="98">
        <f t="shared" si="23"/>
        <v>11</v>
      </c>
      <c r="B1510" s="92" t="s">
        <v>624</v>
      </c>
      <c r="C1510" s="92" t="s">
        <v>625</v>
      </c>
      <c r="D1510" s="95">
        <v>9805.7900000000009</v>
      </c>
      <c r="E1510" s="95">
        <v>347.18</v>
      </c>
      <c r="F1510" s="95">
        <v>9458.61</v>
      </c>
      <c r="G1510" s="95">
        <v>0</v>
      </c>
      <c r="H1510" s="95">
        <v>9458.61</v>
      </c>
    </row>
    <row r="1511" spans="1:8" ht="19.8" customHeight="1" x14ac:dyDescent="0.3">
      <c r="A1511" s="98">
        <f t="shared" si="23"/>
        <v>11</v>
      </c>
      <c r="B1511" s="92" t="s">
        <v>626</v>
      </c>
      <c r="C1511" s="92" t="s">
        <v>627</v>
      </c>
      <c r="D1511" s="95">
        <v>24540.720000000001</v>
      </c>
      <c r="E1511" s="95">
        <v>248.04</v>
      </c>
      <c r="F1511" s="95">
        <v>24292.68</v>
      </c>
      <c r="G1511" s="95">
        <v>0</v>
      </c>
      <c r="H1511" s="95">
        <v>24292.68</v>
      </c>
    </row>
    <row r="1512" spans="1:8" ht="19.8" customHeight="1" x14ac:dyDescent="0.3">
      <c r="A1512" s="98">
        <f t="shared" si="23"/>
        <v>11</v>
      </c>
      <c r="B1512" s="92" t="s">
        <v>628</v>
      </c>
      <c r="C1512" s="92" t="s">
        <v>629</v>
      </c>
      <c r="D1512" s="95">
        <v>50224.66</v>
      </c>
      <c r="E1512" s="95">
        <v>0</v>
      </c>
      <c r="F1512" s="95">
        <v>50224.66</v>
      </c>
      <c r="G1512" s="95">
        <v>0</v>
      </c>
      <c r="H1512" s="95">
        <v>50224.66</v>
      </c>
    </row>
    <row r="1513" spans="1:8" ht="19.8" customHeight="1" x14ac:dyDescent="0.3">
      <c r="A1513" s="98">
        <f t="shared" si="23"/>
        <v>11</v>
      </c>
      <c r="B1513" s="92" t="s">
        <v>630</v>
      </c>
      <c r="C1513" s="92" t="s">
        <v>631</v>
      </c>
      <c r="D1513" s="95">
        <v>108789.27</v>
      </c>
      <c r="E1513" s="95">
        <v>0</v>
      </c>
      <c r="F1513" s="95">
        <v>108789.27</v>
      </c>
      <c r="G1513" s="95">
        <v>0</v>
      </c>
      <c r="H1513" s="95">
        <v>108789.27</v>
      </c>
    </row>
    <row r="1514" spans="1:8" ht="19.8" customHeight="1" x14ac:dyDescent="0.3">
      <c r="A1514" s="98">
        <f t="shared" si="23"/>
        <v>11</v>
      </c>
      <c r="B1514" s="92" t="s">
        <v>633</v>
      </c>
      <c r="C1514" s="92" t="s">
        <v>634</v>
      </c>
      <c r="D1514" s="95">
        <v>562.5</v>
      </c>
      <c r="E1514" s="95">
        <v>0</v>
      </c>
      <c r="F1514" s="95">
        <v>562.5</v>
      </c>
      <c r="G1514" s="95">
        <v>0</v>
      </c>
      <c r="H1514" s="95">
        <v>562.5</v>
      </c>
    </row>
    <row r="1515" spans="1:8" ht="19.8" customHeight="1" x14ac:dyDescent="0.3">
      <c r="A1515" s="98">
        <f t="shared" si="23"/>
        <v>11</v>
      </c>
      <c r="B1515" s="92" t="s">
        <v>635</v>
      </c>
      <c r="C1515" s="92" t="s">
        <v>636</v>
      </c>
      <c r="D1515" s="95">
        <v>9800.09</v>
      </c>
      <c r="E1515" s="95">
        <v>0</v>
      </c>
      <c r="F1515" s="95">
        <v>9800.09</v>
      </c>
      <c r="G1515" s="95">
        <v>0</v>
      </c>
      <c r="H1515" s="95">
        <v>9800.09</v>
      </c>
    </row>
    <row r="1516" spans="1:8" ht="19.8" customHeight="1" x14ac:dyDescent="0.3">
      <c r="A1516" s="98">
        <f t="shared" si="23"/>
        <v>11</v>
      </c>
      <c r="B1516" s="92" t="s">
        <v>637</v>
      </c>
      <c r="C1516" s="92" t="s">
        <v>638</v>
      </c>
      <c r="D1516" s="95">
        <v>705</v>
      </c>
      <c r="E1516" s="95">
        <v>0</v>
      </c>
      <c r="F1516" s="95">
        <v>705</v>
      </c>
      <c r="G1516" s="95">
        <v>0</v>
      </c>
      <c r="H1516" s="95">
        <v>705</v>
      </c>
    </row>
    <row r="1517" spans="1:8" ht="19.8" customHeight="1" x14ac:dyDescent="0.3">
      <c r="A1517" s="98">
        <f t="shared" si="23"/>
        <v>11</v>
      </c>
      <c r="B1517" s="92" t="s">
        <v>639</v>
      </c>
      <c r="C1517" s="92" t="s">
        <v>640</v>
      </c>
      <c r="D1517" s="95">
        <v>1081</v>
      </c>
      <c r="E1517" s="95">
        <v>0</v>
      </c>
      <c r="F1517" s="95">
        <v>1081</v>
      </c>
      <c r="G1517" s="95">
        <v>0</v>
      </c>
      <c r="H1517" s="95">
        <v>1081</v>
      </c>
    </row>
    <row r="1518" spans="1:8" ht="19.8" customHeight="1" x14ac:dyDescent="0.3">
      <c r="A1518" s="98">
        <f t="shared" si="23"/>
        <v>7</v>
      </c>
      <c r="B1518" s="92" t="s">
        <v>3449</v>
      </c>
      <c r="C1518" s="92" t="s">
        <v>641</v>
      </c>
      <c r="D1518" s="95">
        <v>621413.97</v>
      </c>
      <c r="E1518" s="95">
        <v>0</v>
      </c>
      <c r="F1518" s="95">
        <v>621413.97</v>
      </c>
      <c r="G1518" s="95">
        <v>0</v>
      </c>
      <c r="H1518" s="95">
        <v>621413.97</v>
      </c>
    </row>
    <row r="1519" spans="1:8" ht="19.8" customHeight="1" x14ac:dyDescent="0.3">
      <c r="A1519" s="98">
        <f t="shared" si="23"/>
        <v>11</v>
      </c>
      <c r="B1519" s="92" t="s">
        <v>642</v>
      </c>
      <c r="C1519" s="92" t="s">
        <v>641</v>
      </c>
      <c r="D1519" s="95">
        <v>621413.97</v>
      </c>
      <c r="E1519" s="95">
        <v>0</v>
      </c>
      <c r="F1519" s="95">
        <v>621413.97</v>
      </c>
      <c r="G1519" s="95">
        <v>0</v>
      </c>
      <c r="H1519" s="95">
        <v>621413.97</v>
      </c>
    </row>
    <row r="1520" spans="1:8" ht="19.8" customHeight="1" x14ac:dyDescent="0.3">
      <c r="A1520" s="98">
        <f t="shared" si="23"/>
        <v>7</v>
      </c>
      <c r="B1520" s="92" t="s">
        <v>3450</v>
      </c>
      <c r="C1520" s="92" t="s">
        <v>643</v>
      </c>
      <c r="D1520" s="95">
        <v>1004586.55</v>
      </c>
      <c r="E1520" s="95">
        <v>861.21</v>
      </c>
      <c r="F1520" s="95">
        <v>1003725.34</v>
      </c>
      <c r="G1520" s="95">
        <v>0</v>
      </c>
      <c r="H1520" s="95">
        <v>1003725.34</v>
      </c>
    </row>
    <row r="1521" spans="1:8" ht="19.8" customHeight="1" x14ac:dyDescent="0.3">
      <c r="A1521" s="98">
        <f t="shared" si="23"/>
        <v>11</v>
      </c>
      <c r="B1521" s="92" t="s">
        <v>644</v>
      </c>
      <c r="C1521" s="92" t="s">
        <v>643</v>
      </c>
      <c r="D1521" s="95">
        <v>948059.37</v>
      </c>
      <c r="E1521" s="95">
        <v>861.21</v>
      </c>
      <c r="F1521" s="95">
        <v>947198.16</v>
      </c>
      <c r="G1521" s="95">
        <v>0</v>
      </c>
      <c r="H1521" s="95">
        <v>947198.16</v>
      </c>
    </row>
    <row r="1522" spans="1:8" ht="19.8" customHeight="1" x14ac:dyDescent="0.3">
      <c r="A1522" s="98">
        <f t="shared" si="23"/>
        <v>11</v>
      </c>
      <c r="B1522" s="92" t="s">
        <v>646</v>
      </c>
      <c r="C1522" s="92" t="s">
        <v>647</v>
      </c>
      <c r="D1522" s="95">
        <v>56527.18</v>
      </c>
      <c r="E1522" s="95">
        <v>0</v>
      </c>
      <c r="F1522" s="95">
        <v>56527.18</v>
      </c>
      <c r="G1522" s="95">
        <v>0</v>
      </c>
      <c r="H1522" s="95">
        <v>56527.18</v>
      </c>
    </row>
    <row r="1523" spans="1:8" ht="19.8" customHeight="1" x14ac:dyDescent="0.3">
      <c r="A1523" s="98">
        <f t="shared" si="23"/>
        <v>7</v>
      </c>
      <c r="B1523" s="92" t="s">
        <v>3451</v>
      </c>
      <c r="C1523" s="92" t="s">
        <v>3452</v>
      </c>
      <c r="D1523" s="95">
        <v>685086.84</v>
      </c>
      <c r="E1523" s="95">
        <v>0</v>
      </c>
      <c r="F1523" s="95">
        <v>685086.84</v>
      </c>
      <c r="G1523" s="95">
        <v>0</v>
      </c>
      <c r="H1523" s="95">
        <v>685086.84</v>
      </c>
    </row>
    <row r="1524" spans="1:8" ht="19.8" customHeight="1" x14ac:dyDescent="0.3">
      <c r="A1524" s="98">
        <f t="shared" si="23"/>
        <v>11</v>
      </c>
      <c r="B1524" s="92" t="s">
        <v>648</v>
      </c>
      <c r="C1524" s="92" t="s">
        <v>649</v>
      </c>
      <c r="D1524" s="95">
        <v>685086.84</v>
      </c>
      <c r="E1524" s="95">
        <v>0</v>
      </c>
      <c r="F1524" s="95">
        <v>685086.84</v>
      </c>
      <c r="G1524" s="95">
        <v>0</v>
      </c>
      <c r="H1524" s="95">
        <v>685086.84</v>
      </c>
    </row>
    <row r="1525" spans="1:8" ht="19.8" customHeight="1" x14ac:dyDescent="0.3">
      <c r="A1525" s="98">
        <f t="shared" si="23"/>
        <v>7</v>
      </c>
      <c r="B1525" s="92" t="s">
        <v>3453</v>
      </c>
      <c r="C1525" s="92" t="s">
        <v>3454</v>
      </c>
      <c r="D1525" s="95">
        <v>743171.55</v>
      </c>
      <c r="E1525" s="95">
        <v>58806.27</v>
      </c>
      <c r="F1525" s="95">
        <v>684365.28</v>
      </c>
      <c r="G1525" s="95">
        <v>0</v>
      </c>
      <c r="H1525" s="95">
        <v>684365.28</v>
      </c>
    </row>
    <row r="1526" spans="1:8" ht="19.8" customHeight="1" x14ac:dyDescent="0.3">
      <c r="A1526" s="98">
        <f t="shared" si="23"/>
        <v>11</v>
      </c>
      <c r="B1526" s="92" t="s">
        <v>650</v>
      </c>
      <c r="C1526" s="92" t="s">
        <v>651</v>
      </c>
      <c r="D1526" s="95">
        <v>743171.55</v>
      </c>
      <c r="E1526" s="95">
        <v>58806.27</v>
      </c>
      <c r="F1526" s="95">
        <v>684365.28</v>
      </c>
      <c r="G1526" s="95">
        <v>0</v>
      </c>
      <c r="H1526" s="95">
        <v>684365.28</v>
      </c>
    </row>
    <row r="1527" spans="1:8" ht="19.8" customHeight="1" x14ac:dyDescent="0.3">
      <c r="A1527" s="98">
        <f t="shared" si="23"/>
        <v>7</v>
      </c>
      <c r="B1527" s="92" t="s">
        <v>3455</v>
      </c>
      <c r="C1527" s="92" t="s">
        <v>3432</v>
      </c>
      <c r="D1527" s="95">
        <v>3576323.97</v>
      </c>
      <c r="E1527" s="95">
        <v>1756545.39</v>
      </c>
      <c r="F1527" s="95">
        <v>1819778.58</v>
      </c>
      <c r="G1527" s="95">
        <v>0</v>
      </c>
      <c r="H1527" s="95">
        <v>1819778.58</v>
      </c>
    </row>
    <row r="1528" spans="1:8" ht="19.8" customHeight="1" x14ac:dyDescent="0.3">
      <c r="A1528" s="98">
        <f t="shared" si="23"/>
        <v>11</v>
      </c>
      <c r="B1528" s="92" t="s">
        <v>652</v>
      </c>
      <c r="C1528" s="92" t="s">
        <v>653</v>
      </c>
      <c r="D1528" s="95">
        <v>52710.720000000001</v>
      </c>
      <c r="E1528" s="95">
        <v>0</v>
      </c>
      <c r="F1528" s="95">
        <v>52710.720000000001</v>
      </c>
      <c r="G1528" s="95">
        <v>0</v>
      </c>
      <c r="H1528" s="95">
        <v>52710.720000000001</v>
      </c>
    </row>
    <row r="1529" spans="1:8" ht="19.8" customHeight="1" x14ac:dyDescent="0.3">
      <c r="A1529" s="98">
        <f t="shared" si="23"/>
        <v>11</v>
      </c>
      <c r="B1529" s="92" t="s">
        <v>654</v>
      </c>
      <c r="C1529" s="92" t="s">
        <v>655</v>
      </c>
      <c r="D1529" s="95">
        <v>1492322.37</v>
      </c>
      <c r="E1529" s="95">
        <v>1448313.43</v>
      </c>
      <c r="F1529" s="95">
        <v>44008.94</v>
      </c>
      <c r="G1529" s="95">
        <v>0</v>
      </c>
      <c r="H1529" s="95">
        <v>44008.94</v>
      </c>
    </row>
    <row r="1530" spans="1:8" ht="19.8" customHeight="1" x14ac:dyDescent="0.3">
      <c r="A1530" s="98">
        <f t="shared" si="23"/>
        <v>11</v>
      </c>
      <c r="B1530" s="92" t="s">
        <v>656</v>
      </c>
      <c r="C1530" s="92" t="s">
        <v>657</v>
      </c>
      <c r="D1530" s="95">
        <v>87453.66</v>
      </c>
      <c r="E1530" s="95">
        <v>0</v>
      </c>
      <c r="F1530" s="95">
        <v>87453.66</v>
      </c>
      <c r="G1530" s="95">
        <v>0</v>
      </c>
      <c r="H1530" s="95">
        <v>87453.66</v>
      </c>
    </row>
    <row r="1531" spans="1:8" ht="19.8" customHeight="1" x14ac:dyDescent="0.3">
      <c r="A1531" s="98">
        <f t="shared" si="23"/>
        <v>11</v>
      </c>
      <c r="B1531" s="92" t="s">
        <v>658</v>
      </c>
      <c r="C1531" s="92" t="s">
        <v>659</v>
      </c>
      <c r="D1531" s="95">
        <v>235934.84</v>
      </c>
      <c r="E1531" s="95">
        <v>0</v>
      </c>
      <c r="F1531" s="95">
        <v>235934.84</v>
      </c>
      <c r="G1531" s="95">
        <v>0</v>
      </c>
      <c r="H1531" s="95">
        <v>235934.84</v>
      </c>
    </row>
    <row r="1532" spans="1:8" ht="19.8" customHeight="1" x14ac:dyDescent="0.3">
      <c r="A1532" s="98">
        <f t="shared" si="23"/>
        <v>11</v>
      </c>
      <c r="B1532" s="92" t="s">
        <v>660</v>
      </c>
      <c r="C1532" s="92" t="s">
        <v>661</v>
      </c>
      <c r="D1532" s="95">
        <v>27997.7</v>
      </c>
      <c r="E1532" s="95">
        <v>0</v>
      </c>
      <c r="F1532" s="95">
        <v>27997.7</v>
      </c>
      <c r="G1532" s="95">
        <v>0</v>
      </c>
      <c r="H1532" s="95">
        <v>27997.7</v>
      </c>
    </row>
    <row r="1533" spans="1:8" ht="19.8" customHeight="1" x14ac:dyDescent="0.3">
      <c r="A1533" s="98">
        <f t="shared" si="23"/>
        <v>11</v>
      </c>
      <c r="B1533" s="92" t="s">
        <v>662</v>
      </c>
      <c r="C1533" s="92" t="s">
        <v>663</v>
      </c>
      <c r="D1533" s="95">
        <v>23959.8</v>
      </c>
      <c r="E1533" s="95">
        <v>0</v>
      </c>
      <c r="F1533" s="95">
        <v>23959.8</v>
      </c>
      <c r="G1533" s="95">
        <v>0</v>
      </c>
      <c r="H1533" s="95">
        <v>23959.8</v>
      </c>
    </row>
    <row r="1534" spans="1:8" ht="19.8" customHeight="1" x14ac:dyDescent="0.3">
      <c r="A1534" s="98">
        <f t="shared" si="23"/>
        <v>11</v>
      </c>
      <c r="B1534" s="92" t="s">
        <v>664</v>
      </c>
      <c r="C1534" s="92" t="s">
        <v>665</v>
      </c>
      <c r="D1534" s="95">
        <v>273250</v>
      </c>
      <c r="E1534" s="95">
        <v>0</v>
      </c>
      <c r="F1534" s="95">
        <v>273250</v>
      </c>
      <c r="G1534" s="95">
        <v>0</v>
      </c>
      <c r="H1534" s="95">
        <v>273250</v>
      </c>
    </row>
    <row r="1535" spans="1:8" ht="19.8" customHeight="1" x14ac:dyDescent="0.3">
      <c r="A1535" s="98">
        <f t="shared" si="23"/>
        <v>11</v>
      </c>
      <c r="B1535" s="92" t="s">
        <v>666</v>
      </c>
      <c r="C1535" s="92" t="s">
        <v>667</v>
      </c>
      <c r="D1535" s="95">
        <v>22894.32</v>
      </c>
      <c r="E1535" s="95">
        <v>0</v>
      </c>
      <c r="F1535" s="95">
        <v>22894.32</v>
      </c>
      <c r="G1535" s="95">
        <v>0</v>
      </c>
      <c r="H1535" s="95">
        <v>22894.32</v>
      </c>
    </row>
    <row r="1536" spans="1:8" ht="19.8" customHeight="1" x14ac:dyDescent="0.3">
      <c r="A1536" s="98">
        <f t="shared" si="23"/>
        <v>11</v>
      </c>
      <c r="B1536" s="92" t="s">
        <v>3456</v>
      </c>
      <c r="C1536" s="92" t="s">
        <v>3457</v>
      </c>
      <c r="D1536" s="95">
        <v>23938.14</v>
      </c>
      <c r="E1536" s="95">
        <v>0</v>
      </c>
      <c r="F1536" s="95">
        <v>23938.14</v>
      </c>
      <c r="G1536" s="95">
        <v>0</v>
      </c>
      <c r="H1536" s="95">
        <v>23938.14</v>
      </c>
    </row>
    <row r="1537" spans="1:8" ht="19.8" customHeight="1" x14ac:dyDescent="0.3">
      <c r="A1537" s="98">
        <f t="shared" si="23"/>
        <v>11</v>
      </c>
      <c r="B1537" s="92" t="s">
        <v>668</v>
      </c>
      <c r="C1537" s="92" t="s">
        <v>669</v>
      </c>
      <c r="D1537" s="95">
        <v>784951.08</v>
      </c>
      <c r="E1537" s="95">
        <v>0</v>
      </c>
      <c r="F1537" s="95">
        <v>784951.08</v>
      </c>
      <c r="G1537" s="95">
        <v>0</v>
      </c>
      <c r="H1537" s="95">
        <v>784951.08</v>
      </c>
    </row>
    <row r="1538" spans="1:8" ht="19.8" customHeight="1" x14ac:dyDescent="0.3">
      <c r="A1538" s="98">
        <f t="shared" si="23"/>
        <v>11</v>
      </c>
      <c r="B1538" s="92" t="s">
        <v>670</v>
      </c>
      <c r="C1538" s="92" t="s">
        <v>671</v>
      </c>
      <c r="D1538" s="95">
        <v>531050.87</v>
      </c>
      <c r="E1538" s="95">
        <v>308231.96000000002</v>
      </c>
      <c r="F1538" s="95">
        <v>222818.91</v>
      </c>
      <c r="G1538" s="95">
        <v>0</v>
      </c>
      <c r="H1538" s="95">
        <v>222818.91</v>
      </c>
    </row>
    <row r="1539" spans="1:8" ht="19.8" customHeight="1" x14ac:dyDescent="0.3">
      <c r="A1539" s="98">
        <f t="shared" ref="A1539:A1602" si="24">+LEN(B1539)</f>
        <v>11</v>
      </c>
      <c r="B1539" s="92" t="s">
        <v>672</v>
      </c>
      <c r="C1539" s="92" t="s">
        <v>673</v>
      </c>
      <c r="D1539" s="95">
        <v>19860.47</v>
      </c>
      <c r="E1539" s="95">
        <v>0</v>
      </c>
      <c r="F1539" s="95">
        <v>19860.47</v>
      </c>
      <c r="G1539" s="95">
        <v>0</v>
      </c>
      <c r="H1539" s="95">
        <v>19860.47</v>
      </c>
    </row>
    <row r="1540" spans="1:8" ht="19.8" customHeight="1" x14ac:dyDescent="0.3">
      <c r="A1540" s="98">
        <f t="shared" si="24"/>
        <v>7</v>
      </c>
      <c r="B1540" s="92" t="s">
        <v>3458</v>
      </c>
      <c r="C1540" s="92" t="s">
        <v>3459</v>
      </c>
      <c r="D1540" s="95">
        <v>151181.79999999999</v>
      </c>
      <c r="E1540" s="95">
        <v>2670.04</v>
      </c>
      <c r="F1540" s="95">
        <v>148511.76</v>
      </c>
      <c r="G1540" s="95">
        <v>0</v>
      </c>
      <c r="H1540" s="95">
        <v>148511.76</v>
      </c>
    </row>
    <row r="1541" spans="1:8" ht="19.8" customHeight="1" x14ac:dyDescent="0.3">
      <c r="A1541" s="98">
        <f t="shared" si="24"/>
        <v>11</v>
      </c>
      <c r="B1541" s="92" t="s">
        <v>674</v>
      </c>
      <c r="C1541" s="92" t="s">
        <v>675</v>
      </c>
      <c r="D1541" s="95">
        <v>151181.79999999999</v>
      </c>
      <c r="E1541" s="95">
        <v>2670.04</v>
      </c>
      <c r="F1541" s="95">
        <v>148511.76</v>
      </c>
      <c r="G1541" s="95">
        <v>0</v>
      </c>
      <c r="H1541" s="95">
        <v>148511.76</v>
      </c>
    </row>
    <row r="1542" spans="1:8" ht="19.8" customHeight="1" x14ac:dyDescent="0.3">
      <c r="A1542" s="98">
        <f t="shared" si="24"/>
        <v>7</v>
      </c>
      <c r="B1542" s="92" t="s">
        <v>3460</v>
      </c>
      <c r="C1542" s="92" t="s">
        <v>3387</v>
      </c>
      <c r="D1542" s="95">
        <v>7349560.8700000001</v>
      </c>
      <c r="E1542" s="95">
        <v>27293.3</v>
      </c>
      <c r="F1542" s="95">
        <v>7322267.5700000003</v>
      </c>
      <c r="G1542" s="95">
        <v>0</v>
      </c>
      <c r="H1542" s="95">
        <v>7322267.5700000003</v>
      </c>
    </row>
    <row r="1543" spans="1:8" ht="19.8" customHeight="1" x14ac:dyDescent="0.3">
      <c r="A1543" s="98">
        <f t="shared" si="24"/>
        <v>11</v>
      </c>
      <c r="B1543" s="92" t="s">
        <v>676</v>
      </c>
      <c r="C1543" s="92" t="s">
        <v>677</v>
      </c>
      <c r="D1543" s="95">
        <v>1473418.43</v>
      </c>
      <c r="E1543" s="95">
        <v>0</v>
      </c>
      <c r="F1543" s="95">
        <v>1473418.43</v>
      </c>
      <c r="G1543" s="95">
        <v>0</v>
      </c>
      <c r="H1543" s="95">
        <v>1473418.43</v>
      </c>
    </row>
    <row r="1544" spans="1:8" ht="19.8" customHeight="1" x14ac:dyDescent="0.3">
      <c r="A1544" s="98">
        <f t="shared" si="24"/>
        <v>11</v>
      </c>
      <c r="B1544" s="92" t="s">
        <v>678</v>
      </c>
      <c r="C1544" s="92" t="s">
        <v>488</v>
      </c>
      <c r="D1544" s="95">
        <v>2528257.98</v>
      </c>
      <c r="E1544" s="95">
        <v>0</v>
      </c>
      <c r="F1544" s="95">
        <v>2528257.98</v>
      </c>
      <c r="G1544" s="95">
        <v>0</v>
      </c>
      <c r="H1544" s="95">
        <v>2528257.98</v>
      </c>
    </row>
    <row r="1545" spans="1:8" ht="19.8" customHeight="1" x14ac:dyDescent="0.3">
      <c r="A1545" s="98">
        <f t="shared" si="24"/>
        <v>11</v>
      </c>
      <c r="B1545" s="92" t="s">
        <v>679</v>
      </c>
      <c r="C1545" s="92" t="s">
        <v>436</v>
      </c>
      <c r="D1545" s="95">
        <v>757189.97</v>
      </c>
      <c r="E1545" s="95">
        <v>27293.3</v>
      </c>
      <c r="F1545" s="95">
        <v>729896.67</v>
      </c>
      <c r="G1545" s="95">
        <v>0</v>
      </c>
      <c r="H1545" s="95">
        <v>729896.67</v>
      </c>
    </row>
    <row r="1546" spans="1:8" ht="19.8" customHeight="1" x14ac:dyDescent="0.3">
      <c r="A1546" s="98">
        <f t="shared" si="24"/>
        <v>11</v>
      </c>
      <c r="B1546" s="92" t="s">
        <v>680</v>
      </c>
      <c r="C1546" s="92" t="s">
        <v>437</v>
      </c>
      <c r="D1546" s="95">
        <v>2506466.65</v>
      </c>
      <c r="E1546" s="95">
        <v>0</v>
      </c>
      <c r="F1546" s="95">
        <v>2506466.65</v>
      </c>
      <c r="G1546" s="95">
        <v>0</v>
      </c>
      <c r="H1546" s="95">
        <v>2506466.65</v>
      </c>
    </row>
    <row r="1547" spans="1:8" ht="19.8" customHeight="1" x14ac:dyDescent="0.3">
      <c r="A1547" s="98">
        <f t="shared" si="24"/>
        <v>11</v>
      </c>
      <c r="B1547" s="92" t="s">
        <v>681</v>
      </c>
      <c r="C1547" s="92" t="s">
        <v>438</v>
      </c>
      <c r="D1547" s="95">
        <v>84227.839999999997</v>
      </c>
      <c r="E1547" s="95">
        <v>0</v>
      </c>
      <c r="F1547" s="95">
        <v>84227.839999999997</v>
      </c>
      <c r="G1547" s="95">
        <v>0</v>
      </c>
      <c r="H1547" s="95">
        <v>84227.839999999997</v>
      </c>
    </row>
    <row r="1548" spans="1:8" ht="19.8" customHeight="1" x14ac:dyDescent="0.3">
      <c r="A1548" s="98">
        <f t="shared" si="24"/>
        <v>3</v>
      </c>
      <c r="B1548" s="92" t="s">
        <v>246</v>
      </c>
      <c r="C1548" s="92" t="s">
        <v>417</v>
      </c>
      <c r="D1548" s="95">
        <v>4481353</v>
      </c>
      <c r="E1548" s="95">
        <v>5367419</v>
      </c>
      <c r="F1548" s="95">
        <v>0</v>
      </c>
      <c r="G1548" s="95">
        <v>886066</v>
      </c>
      <c r="H1548" s="95">
        <v>-886066</v>
      </c>
    </row>
    <row r="1549" spans="1:8" ht="19.8" customHeight="1" x14ac:dyDescent="0.3">
      <c r="A1549" s="98">
        <f t="shared" si="24"/>
        <v>7</v>
      </c>
      <c r="B1549" s="92" t="s">
        <v>3461</v>
      </c>
      <c r="C1549" s="92" t="s">
        <v>3422</v>
      </c>
      <c r="D1549" s="95">
        <v>4481353</v>
      </c>
      <c r="E1549" s="95">
        <v>5367419</v>
      </c>
      <c r="F1549" s="95">
        <v>0</v>
      </c>
      <c r="G1549" s="95">
        <v>886066</v>
      </c>
      <c r="H1549" s="95">
        <v>-886066</v>
      </c>
    </row>
    <row r="1550" spans="1:8" ht="19.8" customHeight="1" x14ac:dyDescent="0.3">
      <c r="A1550" s="98">
        <f t="shared" si="24"/>
        <v>11</v>
      </c>
      <c r="B1550" s="92" t="s">
        <v>682</v>
      </c>
      <c r="C1550" s="92" t="s">
        <v>417</v>
      </c>
      <c r="D1550" s="95">
        <v>2602366</v>
      </c>
      <c r="E1550" s="95">
        <v>2602366</v>
      </c>
      <c r="F1550" s="95">
        <v>0</v>
      </c>
      <c r="G1550" s="95">
        <v>0</v>
      </c>
      <c r="H1550" s="95">
        <v>0</v>
      </c>
    </row>
    <row r="1551" spans="1:8" ht="19.8" customHeight="1" x14ac:dyDescent="0.3">
      <c r="A1551" s="98">
        <f t="shared" si="24"/>
        <v>11</v>
      </c>
      <c r="B1551" s="92" t="s">
        <v>683</v>
      </c>
      <c r="C1551" s="92" t="s">
        <v>684</v>
      </c>
      <c r="D1551" s="95">
        <v>1878987</v>
      </c>
      <c r="E1551" s="95">
        <v>2765053</v>
      </c>
      <c r="F1551" s="95">
        <v>0</v>
      </c>
      <c r="G1551" s="95">
        <v>886066</v>
      </c>
      <c r="H1551" s="95">
        <v>-886066</v>
      </c>
    </row>
    <row r="1552" spans="1:8" ht="19.8" customHeight="1" x14ac:dyDescent="0.3">
      <c r="A1552" s="98">
        <f t="shared" si="24"/>
        <v>3</v>
      </c>
      <c r="B1552" s="92" t="s">
        <v>421</v>
      </c>
      <c r="C1552" s="92" t="s">
        <v>422</v>
      </c>
      <c r="D1552" s="95">
        <v>164862329.08000001</v>
      </c>
      <c r="E1552" s="95">
        <v>128984.57</v>
      </c>
      <c r="F1552" s="95">
        <v>164733344.50999999</v>
      </c>
      <c r="G1552" s="95">
        <v>0</v>
      </c>
      <c r="H1552" s="95">
        <v>164733344.50999999</v>
      </c>
    </row>
    <row r="1553" spans="1:8" ht="19.8" customHeight="1" x14ac:dyDescent="0.3">
      <c r="A1553" s="98">
        <f t="shared" si="24"/>
        <v>7</v>
      </c>
      <c r="B1553" s="92" t="s">
        <v>3462</v>
      </c>
      <c r="C1553" s="92" t="s">
        <v>3463</v>
      </c>
      <c r="D1553" s="95">
        <v>158341283.47999999</v>
      </c>
      <c r="E1553" s="95">
        <v>128984.57</v>
      </c>
      <c r="F1553" s="95">
        <v>158212298.91</v>
      </c>
      <c r="G1553" s="95">
        <v>0</v>
      </c>
      <c r="H1553" s="95">
        <v>158212298.91</v>
      </c>
    </row>
    <row r="1554" spans="1:8" ht="19.8" customHeight="1" x14ac:dyDescent="0.3">
      <c r="A1554" s="98">
        <f t="shared" si="24"/>
        <v>11</v>
      </c>
      <c r="B1554" s="92" t="s">
        <v>3464</v>
      </c>
      <c r="C1554" s="92" t="s">
        <v>3463</v>
      </c>
      <c r="D1554" s="95">
        <v>158341283.47999999</v>
      </c>
      <c r="E1554" s="95">
        <v>128984.57</v>
      </c>
      <c r="F1554" s="95">
        <v>158212298.91</v>
      </c>
      <c r="G1554" s="95">
        <v>0</v>
      </c>
      <c r="H1554" s="95">
        <v>158212298.91</v>
      </c>
    </row>
    <row r="1555" spans="1:8" ht="19.8" customHeight="1" x14ac:dyDescent="0.3">
      <c r="A1555" s="98">
        <f t="shared" si="24"/>
        <v>7</v>
      </c>
      <c r="B1555" s="92" t="s">
        <v>3465</v>
      </c>
      <c r="C1555" s="92" t="s">
        <v>2385</v>
      </c>
      <c r="D1555" s="95">
        <v>6521045.5999999996</v>
      </c>
      <c r="E1555" s="95">
        <v>0</v>
      </c>
      <c r="F1555" s="95">
        <v>6521045.5999999996</v>
      </c>
      <c r="G1555" s="95">
        <v>0</v>
      </c>
      <c r="H1555" s="95">
        <v>6521045.5999999996</v>
      </c>
    </row>
    <row r="1556" spans="1:8" ht="19.8" customHeight="1" x14ac:dyDescent="0.3">
      <c r="A1556" s="98">
        <f t="shared" si="24"/>
        <v>11</v>
      </c>
      <c r="B1556" s="92" t="s">
        <v>3466</v>
      </c>
      <c r="C1556" s="92" t="s">
        <v>2385</v>
      </c>
      <c r="D1556" s="95">
        <v>6521045.5999999996</v>
      </c>
      <c r="E1556" s="95">
        <v>0</v>
      </c>
      <c r="F1556" s="95">
        <v>6521045.5999999996</v>
      </c>
      <c r="G1556" s="95">
        <v>0</v>
      </c>
      <c r="H1556" s="95">
        <v>6521045.5999999996</v>
      </c>
    </row>
    <row r="1557" spans="1:8" ht="19.8" customHeight="1" x14ac:dyDescent="0.3">
      <c r="A1557" s="98">
        <f t="shared" si="24"/>
        <v>3</v>
      </c>
      <c r="B1557" s="92" t="s">
        <v>247</v>
      </c>
      <c r="C1557" s="92" t="s">
        <v>364</v>
      </c>
      <c r="D1557" s="95">
        <v>943871081.48000002</v>
      </c>
      <c r="E1557" s="95">
        <v>43418129.899999999</v>
      </c>
      <c r="F1557" s="95">
        <v>900452951.58000004</v>
      </c>
      <c r="G1557" s="95">
        <v>0</v>
      </c>
      <c r="H1557" s="95">
        <v>900452951.58000004</v>
      </c>
    </row>
    <row r="1558" spans="1:8" ht="19.8" customHeight="1" x14ac:dyDescent="0.3">
      <c r="A1558" s="98">
        <f t="shared" si="24"/>
        <v>7</v>
      </c>
      <c r="B1558" s="92" t="s">
        <v>3467</v>
      </c>
      <c r="C1558" s="92" t="s">
        <v>3468</v>
      </c>
      <c r="D1558" s="95">
        <v>58904505.509999998</v>
      </c>
      <c r="E1558" s="95">
        <v>7732520.5199999996</v>
      </c>
      <c r="F1558" s="95">
        <v>51171984.990000002</v>
      </c>
      <c r="G1558" s="95">
        <v>0</v>
      </c>
      <c r="H1558" s="95">
        <v>51171984.990000002</v>
      </c>
    </row>
    <row r="1559" spans="1:8" ht="19.8" customHeight="1" x14ac:dyDescent="0.3">
      <c r="A1559" s="98">
        <f t="shared" si="24"/>
        <v>11</v>
      </c>
      <c r="B1559" s="92" t="s">
        <v>3469</v>
      </c>
      <c r="C1559" s="92" t="s">
        <v>3470</v>
      </c>
      <c r="D1559" s="95">
        <v>57425641.509999998</v>
      </c>
      <c r="E1559" s="95">
        <v>7527056.4000000004</v>
      </c>
      <c r="F1559" s="95">
        <v>49898585.109999999</v>
      </c>
      <c r="G1559" s="95">
        <v>0</v>
      </c>
      <c r="H1559" s="95">
        <v>49898585.109999999</v>
      </c>
    </row>
    <row r="1560" spans="1:8" ht="19.8" customHeight="1" x14ac:dyDescent="0.3">
      <c r="A1560" s="98">
        <f t="shared" si="24"/>
        <v>11</v>
      </c>
      <c r="B1560" s="92" t="s">
        <v>685</v>
      </c>
      <c r="C1560" s="92" t="s">
        <v>686</v>
      </c>
      <c r="D1560" s="95">
        <v>1259900</v>
      </c>
      <c r="E1560" s="95">
        <v>0</v>
      </c>
      <c r="F1560" s="95">
        <v>1259900</v>
      </c>
      <c r="G1560" s="95">
        <v>0</v>
      </c>
      <c r="H1560" s="95">
        <v>1259900</v>
      </c>
    </row>
    <row r="1561" spans="1:8" ht="19.8" customHeight="1" x14ac:dyDescent="0.3">
      <c r="A1561" s="98">
        <f t="shared" si="24"/>
        <v>11</v>
      </c>
      <c r="B1561" s="92" t="s">
        <v>687</v>
      </c>
      <c r="C1561" s="92" t="s">
        <v>688</v>
      </c>
      <c r="D1561" s="95">
        <v>218964</v>
      </c>
      <c r="E1561" s="95">
        <v>205464.12</v>
      </c>
      <c r="F1561" s="95">
        <v>13499.88</v>
      </c>
      <c r="G1561" s="95">
        <v>0</v>
      </c>
      <c r="H1561" s="95">
        <v>13499.88</v>
      </c>
    </row>
    <row r="1562" spans="1:8" ht="19.8" customHeight="1" x14ac:dyDescent="0.3">
      <c r="A1562" s="98">
        <f t="shared" si="24"/>
        <v>7</v>
      </c>
      <c r="B1562" s="92" t="s">
        <v>3471</v>
      </c>
      <c r="C1562" s="92" t="s">
        <v>3472</v>
      </c>
      <c r="D1562" s="95">
        <v>187899980.47</v>
      </c>
      <c r="E1562" s="95">
        <v>10675660.619999999</v>
      </c>
      <c r="F1562" s="95">
        <v>177224319.84999999</v>
      </c>
      <c r="G1562" s="95">
        <v>0</v>
      </c>
      <c r="H1562" s="95">
        <v>177224319.84999999</v>
      </c>
    </row>
    <row r="1563" spans="1:8" ht="19.8" customHeight="1" x14ac:dyDescent="0.3">
      <c r="A1563" s="98">
        <f t="shared" si="24"/>
        <v>11</v>
      </c>
      <c r="B1563" s="92" t="s">
        <v>3473</v>
      </c>
      <c r="C1563" s="92" t="s">
        <v>3474</v>
      </c>
      <c r="D1563" s="95">
        <v>1800000</v>
      </c>
      <c r="E1563" s="95">
        <v>0</v>
      </c>
      <c r="F1563" s="95">
        <v>1800000</v>
      </c>
      <c r="G1563" s="95">
        <v>0</v>
      </c>
      <c r="H1563" s="95">
        <v>1800000</v>
      </c>
    </row>
    <row r="1564" spans="1:8" ht="19.8" customHeight="1" x14ac:dyDescent="0.3">
      <c r="A1564" s="98">
        <f t="shared" si="24"/>
        <v>11</v>
      </c>
      <c r="B1564" s="92" t="s">
        <v>3475</v>
      </c>
      <c r="C1564" s="92" t="s">
        <v>3476</v>
      </c>
      <c r="D1564" s="95">
        <v>249921.12</v>
      </c>
      <c r="E1564" s="95">
        <v>1377.74</v>
      </c>
      <c r="F1564" s="95">
        <v>248543.38</v>
      </c>
      <c r="G1564" s="95">
        <v>0</v>
      </c>
      <c r="H1564" s="95">
        <v>248543.38</v>
      </c>
    </row>
    <row r="1565" spans="1:8" ht="19.8" customHeight="1" x14ac:dyDescent="0.3">
      <c r="A1565" s="98">
        <f t="shared" si="24"/>
        <v>11</v>
      </c>
      <c r="B1565" s="92" t="s">
        <v>3477</v>
      </c>
      <c r="C1565" s="92" t="s">
        <v>3478</v>
      </c>
      <c r="D1565" s="95">
        <v>4549870.33</v>
      </c>
      <c r="E1565" s="95">
        <v>0</v>
      </c>
      <c r="F1565" s="95">
        <v>4549870.33</v>
      </c>
      <c r="G1565" s="95">
        <v>0</v>
      </c>
      <c r="H1565" s="95">
        <v>4549870.33</v>
      </c>
    </row>
    <row r="1566" spans="1:8" ht="19.8" customHeight="1" x14ac:dyDescent="0.3">
      <c r="A1566" s="98">
        <f t="shared" si="24"/>
        <v>11</v>
      </c>
      <c r="B1566" s="92" t="s">
        <v>689</v>
      </c>
      <c r="C1566" s="92" t="s">
        <v>690</v>
      </c>
      <c r="D1566" s="95">
        <v>3465805.82</v>
      </c>
      <c r="E1566" s="95">
        <v>0</v>
      </c>
      <c r="F1566" s="95">
        <v>3465805.82</v>
      </c>
      <c r="G1566" s="95">
        <v>0</v>
      </c>
      <c r="H1566" s="95">
        <v>3465805.82</v>
      </c>
    </row>
    <row r="1567" spans="1:8" ht="19.8" customHeight="1" x14ac:dyDescent="0.3">
      <c r="A1567" s="98">
        <f t="shared" si="24"/>
        <v>11</v>
      </c>
      <c r="B1567" s="92" t="s">
        <v>691</v>
      </c>
      <c r="C1567" s="92" t="s">
        <v>692</v>
      </c>
      <c r="D1567" s="95">
        <v>192899.63</v>
      </c>
      <c r="E1567" s="95">
        <v>0</v>
      </c>
      <c r="F1567" s="95">
        <v>192899.63</v>
      </c>
      <c r="G1567" s="95">
        <v>0</v>
      </c>
      <c r="H1567" s="95">
        <v>192899.63</v>
      </c>
    </row>
    <row r="1568" spans="1:8" ht="19.8" customHeight="1" x14ac:dyDescent="0.3">
      <c r="A1568" s="98">
        <f t="shared" si="24"/>
        <v>11</v>
      </c>
      <c r="B1568" s="92" t="s">
        <v>693</v>
      </c>
      <c r="C1568" s="92" t="s">
        <v>694</v>
      </c>
      <c r="D1568" s="95">
        <v>51914832.619999997</v>
      </c>
      <c r="E1568" s="95">
        <v>0</v>
      </c>
      <c r="F1568" s="95">
        <v>51914832.619999997</v>
      </c>
      <c r="G1568" s="95">
        <v>0</v>
      </c>
      <c r="H1568" s="95">
        <v>51914832.619999997</v>
      </c>
    </row>
    <row r="1569" spans="1:8" ht="19.8" customHeight="1" x14ac:dyDescent="0.3">
      <c r="A1569" s="98">
        <f t="shared" si="24"/>
        <v>11</v>
      </c>
      <c r="B1569" s="92" t="s">
        <v>695</v>
      </c>
      <c r="C1569" s="92" t="s">
        <v>696</v>
      </c>
      <c r="D1569" s="95">
        <v>11015202.039999999</v>
      </c>
      <c r="E1569" s="95">
        <v>762.36</v>
      </c>
      <c r="F1569" s="95">
        <v>11014439.68</v>
      </c>
      <c r="G1569" s="95">
        <v>0</v>
      </c>
      <c r="H1569" s="95">
        <v>11014439.68</v>
      </c>
    </row>
    <row r="1570" spans="1:8" ht="19.8" customHeight="1" x14ac:dyDescent="0.3">
      <c r="A1570" s="98">
        <f t="shared" si="24"/>
        <v>11</v>
      </c>
      <c r="B1570" s="92" t="s">
        <v>697</v>
      </c>
      <c r="C1570" s="92" t="s">
        <v>698</v>
      </c>
      <c r="D1570" s="95">
        <v>1423936.15</v>
      </c>
      <c r="E1570" s="95">
        <v>0</v>
      </c>
      <c r="F1570" s="95">
        <v>1423936.15</v>
      </c>
      <c r="G1570" s="95">
        <v>0</v>
      </c>
      <c r="H1570" s="95">
        <v>1423936.15</v>
      </c>
    </row>
    <row r="1571" spans="1:8" ht="19.8" customHeight="1" x14ac:dyDescent="0.3">
      <c r="A1571" s="98">
        <f t="shared" si="24"/>
        <v>11</v>
      </c>
      <c r="B1571" s="92" t="s">
        <v>3479</v>
      </c>
      <c r="C1571" s="92" t="s">
        <v>3480</v>
      </c>
      <c r="D1571" s="95">
        <v>1011965.15</v>
      </c>
      <c r="E1571" s="95">
        <v>0</v>
      </c>
      <c r="F1571" s="95">
        <v>1011965.15</v>
      </c>
      <c r="G1571" s="95">
        <v>0</v>
      </c>
      <c r="H1571" s="95">
        <v>1011965.15</v>
      </c>
    </row>
    <row r="1572" spans="1:8" ht="19.8" customHeight="1" x14ac:dyDescent="0.3">
      <c r="A1572" s="98">
        <f t="shared" si="24"/>
        <v>11</v>
      </c>
      <c r="B1572" s="92" t="s">
        <v>699</v>
      </c>
      <c r="C1572" s="92" t="s">
        <v>700</v>
      </c>
      <c r="D1572" s="95">
        <v>5460779.25</v>
      </c>
      <c r="E1572" s="95">
        <v>0</v>
      </c>
      <c r="F1572" s="95">
        <v>5460779.25</v>
      </c>
      <c r="G1572" s="95">
        <v>0</v>
      </c>
      <c r="H1572" s="95">
        <v>5460779.25</v>
      </c>
    </row>
    <row r="1573" spans="1:8" ht="19.8" customHeight="1" x14ac:dyDescent="0.3">
      <c r="A1573" s="98">
        <f t="shared" si="24"/>
        <v>11</v>
      </c>
      <c r="B1573" s="92" t="s">
        <v>701</v>
      </c>
      <c r="C1573" s="92" t="s">
        <v>702</v>
      </c>
      <c r="D1573" s="95">
        <v>227036.83</v>
      </c>
      <c r="E1573" s="95">
        <v>0</v>
      </c>
      <c r="F1573" s="95">
        <v>227036.83</v>
      </c>
      <c r="G1573" s="95">
        <v>0</v>
      </c>
      <c r="H1573" s="95">
        <v>227036.83</v>
      </c>
    </row>
    <row r="1574" spans="1:8" ht="19.8" customHeight="1" x14ac:dyDescent="0.3">
      <c r="A1574" s="98">
        <f t="shared" si="24"/>
        <v>11</v>
      </c>
      <c r="B1574" s="92" t="s">
        <v>703</v>
      </c>
      <c r="C1574" s="92" t="s">
        <v>704</v>
      </c>
      <c r="D1574" s="95">
        <v>1901720</v>
      </c>
      <c r="E1574" s="95">
        <v>0</v>
      </c>
      <c r="F1574" s="95">
        <v>1901720</v>
      </c>
      <c r="G1574" s="95">
        <v>0</v>
      </c>
      <c r="H1574" s="95">
        <v>1901720</v>
      </c>
    </row>
    <row r="1575" spans="1:8" ht="19.8" customHeight="1" x14ac:dyDescent="0.3">
      <c r="A1575" s="98">
        <f t="shared" si="24"/>
        <v>11</v>
      </c>
      <c r="B1575" s="92" t="s">
        <v>705</v>
      </c>
      <c r="C1575" s="92" t="s">
        <v>706</v>
      </c>
      <c r="D1575" s="95">
        <v>563277.64</v>
      </c>
      <c r="E1575" s="95">
        <v>0</v>
      </c>
      <c r="F1575" s="95">
        <v>563277.64</v>
      </c>
      <c r="G1575" s="95">
        <v>0</v>
      </c>
      <c r="H1575" s="95">
        <v>563277.64</v>
      </c>
    </row>
    <row r="1576" spans="1:8" ht="19.8" customHeight="1" x14ac:dyDescent="0.3">
      <c r="A1576" s="98">
        <f t="shared" si="24"/>
        <v>11</v>
      </c>
      <c r="B1576" s="92" t="s">
        <v>707</v>
      </c>
      <c r="C1576" s="92" t="s">
        <v>708</v>
      </c>
      <c r="D1576" s="95">
        <v>593622.73</v>
      </c>
      <c r="E1576" s="95">
        <v>0</v>
      </c>
      <c r="F1576" s="95">
        <v>593622.73</v>
      </c>
      <c r="G1576" s="95">
        <v>0</v>
      </c>
      <c r="H1576" s="95">
        <v>593622.73</v>
      </c>
    </row>
    <row r="1577" spans="1:8" ht="19.8" customHeight="1" x14ac:dyDescent="0.3">
      <c r="A1577" s="98">
        <f t="shared" si="24"/>
        <v>11</v>
      </c>
      <c r="B1577" s="92" t="s">
        <v>3481</v>
      </c>
      <c r="C1577" s="92" t="s">
        <v>3482</v>
      </c>
      <c r="D1577" s="95">
        <v>20075</v>
      </c>
      <c r="E1577" s="95">
        <v>0</v>
      </c>
      <c r="F1577" s="95">
        <v>20075</v>
      </c>
      <c r="G1577" s="95">
        <v>0</v>
      </c>
      <c r="H1577" s="95">
        <v>20075</v>
      </c>
    </row>
    <row r="1578" spans="1:8" ht="19.8" customHeight="1" x14ac:dyDescent="0.3">
      <c r="A1578" s="98">
        <f t="shared" si="24"/>
        <v>11</v>
      </c>
      <c r="B1578" s="92" t="s">
        <v>709</v>
      </c>
      <c r="C1578" s="92" t="s">
        <v>710</v>
      </c>
      <c r="D1578" s="95">
        <v>119747.82</v>
      </c>
      <c r="E1578" s="95">
        <v>0</v>
      </c>
      <c r="F1578" s="95">
        <v>119747.82</v>
      </c>
      <c r="G1578" s="95">
        <v>0</v>
      </c>
      <c r="H1578" s="95">
        <v>119747.82</v>
      </c>
    </row>
    <row r="1579" spans="1:8" ht="19.8" customHeight="1" x14ac:dyDescent="0.3">
      <c r="A1579" s="98">
        <f t="shared" si="24"/>
        <v>11</v>
      </c>
      <c r="B1579" s="92" t="s">
        <v>711</v>
      </c>
      <c r="C1579" s="92" t="s">
        <v>712</v>
      </c>
      <c r="D1579" s="95">
        <v>1157412.6399999999</v>
      </c>
      <c r="E1579" s="95">
        <v>0</v>
      </c>
      <c r="F1579" s="95">
        <v>1157412.6399999999</v>
      </c>
      <c r="G1579" s="95">
        <v>0</v>
      </c>
      <c r="H1579" s="95">
        <v>1157412.6399999999</v>
      </c>
    </row>
    <row r="1580" spans="1:8" ht="19.8" customHeight="1" x14ac:dyDescent="0.3">
      <c r="A1580" s="98">
        <f t="shared" si="24"/>
        <v>11</v>
      </c>
      <c r="B1580" s="92" t="s">
        <v>3483</v>
      </c>
      <c r="C1580" s="92" t="s">
        <v>3484</v>
      </c>
      <c r="D1580" s="95">
        <v>307000</v>
      </c>
      <c r="E1580" s="95">
        <v>0</v>
      </c>
      <c r="F1580" s="95">
        <v>307000</v>
      </c>
      <c r="G1580" s="95">
        <v>0</v>
      </c>
      <c r="H1580" s="95">
        <v>307000</v>
      </c>
    </row>
    <row r="1581" spans="1:8" ht="19.8" customHeight="1" x14ac:dyDescent="0.3">
      <c r="A1581" s="98">
        <f t="shared" si="24"/>
        <v>11</v>
      </c>
      <c r="B1581" s="92" t="s">
        <v>3485</v>
      </c>
      <c r="C1581" s="92" t="s">
        <v>3486</v>
      </c>
      <c r="D1581" s="95">
        <v>616619.57999999996</v>
      </c>
      <c r="E1581" s="95">
        <v>0.21</v>
      </c>
      <c r="F1581" s="95">
        <v>616619.37</v>
      </c>
      <c r="G1581" s="95">
        <v>0</v>
      </c>
      <c r="H1581" s="95">
        <v>616619.37</v>
      </c>
    </row>
    <row r="1582" spans="1:8" ht="19.8" customHeight="1" x14ac:dyDescent="0.3">
      <c r="A1582" s="98">
        <f t="shared" si="24"/>
        <v>11</v>
      </c>
      <c r="B1582" s="92" t="s">
        <v>713</v>
      </c>
      <c r="C1582" s="92" t="s">
        <v>714</v>
      </c>
      <c r="D1582" s="95">
        <v>435000</v>
      </c>
      <c r="E1582" s="95">
        <v>0</v>
      </c>
      <c r="F1582" s="95">
        <v>435000</v>
      </c>
      <c r="G1582" s="95">
        <v>0</v>
      </c>
      <c r="H1582" s="95">
        <v>435000</v>
      </c>
    </row>
    <row r="1583" spans="1:8" ht="19.8" customHeight="1" x14ac:dyDescent="0.3">
      <c r="A1583" s="98">
        <f t="shared" si="24"/>
        <v>11</v>
      </c>
      <c r="B1583" s="92" t="s">
        <v>3487</v>
      </c>
      <c r="C1583" s="92" t="s">
        <v>3488</v>
      </c>
      <c r="D1583" s="95">
        <v>15743257.01</v>
      </c>
      <c r="E1583" s="95">
        <v>0</v>
      </c>
      <c r="F1583" s="95">
        <v>15743257.01</v>
      </c>
      <c r="G1583" s="95">
        <v>0</v>
      </c>
      <c r="H1583" s="95">
        <v>15743257.01</v>
      </c>
    </row>
    <row r="1584" spans="1:8" ht="19.8" customHeight="1" x14ac:dyDescent="0.3">
      <c r="A1584" s="98">
        <f t="shared" si="24"/>
        <v>11</v>
      </c>
      <c r="B1584" s="92" t="s">
        <v>715</v>
      </c>
      <c r="C1584" s="92" t="s">
        <v>716</v>
      </c>
      <c r="D1584" s="95">
        <v>1840000</v>
      </c>
      <c r="E1584" s="95">
        <v>580000</v>
      </c>
      <c r="F1584" s="95">
        <v>1260000</v>
      </c>
      <c r="G1584" s="95">
        <v>0</v>
      </c>
      <c r="H1584" s="95">
        <v>1260000</v>
      </c>
    </row>
    <row r="1585" spans="1:8" ht="19.8" customHeight="1" x14ac:dyDescent="0.3">
      <c r="A1585" s="98">
        <f t="shared" si="24"/>
        <v>11</v>
      </c>
      <c r="B1585" s="92" t="s">
        <v>717</v>
      </c>
      <c r="C1585" s="92" t="s">
        <v>718</v>
      </c>
      <c r="D1585" s="95">
        <v>783000</v>
      </c>
      <c r="E1585" s="95">
        <v>0</v>
      </c>
      <c r="F1585" s="95">
        <v>783000</v>
      </c>
      <c r="G1585" s="95">
        <v>0</v>
      </c>
      <c r="H1585" s="95">
        <v>783000</v>
      </c>
    </row>
    <row r="1586" spans="1:8" ht="19.8" customHeight="1" x14ac:dyDescent="0.3">
      <c r="A1586" s="98">
        <f t="shared" si="24"/>
        <v>11</v>
      </c>
      <c r="B1586" s="92" t="s">
        <v>3489</v>
      </c>
      <c r="C1586" s="92" t="s">
        <v>3490</v>
      </c>
      <c r="D1586" s="95">
        <v>306835.06</v>
      </c>
      <c r="E1586" s="95">
        <v>271275</v>
      </c>
      <c r="F1586" s="95">
        <v>35560.06</v>
      </c>
      <c r="G1586" s="95">
        <v>0</v>
      </c>
      <c r="H1586" s="95">
        <v>35560.06</v>
      </c>
    </row>
    <row r="1587" spans="1:8" ht="19.8" customHeight="1" x14ac:dyDescent="0.3">
      <c r="A1587" s="98">
        <f t="shared" si="24"/>
        <v>11</v>
      </c>
      <c r="B1587" s="92" t="s">
        <v>719</v>
      </c>
      <c r="C1587" s="92" t="s">
        <v>720</v>
      </c>
      <c r="D1587" s="95">
        <v>396000</v>
      </c>
      <c r="E1587" s="95">
        <v>0</v>
      </c>
      <c r="F1587" s="95">
        <v>396000</v>
      </c>
      <c r="G1587" s="95">
        <v>0</v>
      </c>
      <c r="H1587" s="95">
        <v>396000</v>
      </c>
    </row>
    <row r="1588" spans="1:8" ht="19.8" customHeight="1" x14ac:dyDescent="0.3">
      <c r="A1588" s="98">
        <f t="shared" si="24"/>
        <v>11</v>
      </c>
      <c r="B1588" s="92" t="s">
        <v>721</v>
      </c>
      <c r="C1588" s="92" t="s">
        <v>722</v>
      </c>
      <c r="D1588" s="95">
        <v>51000</v>
      </c>
      <c r="E1588" s="95">
        <v>0</v>
      </c>
      <c r="F1588" s="95">
        <v>51000</v>
      </c>
      <c r="G1588" s="95">
        <v>0</v>
      </c>
      <c r="H1588" s="95">
        <v>51000</v>
      </c>
    </row>
    <row r="1589" spans="1:8" ht="19.8" customHeight="1" x14ac:dyDescent="0.3">
      <c r="A1589" s="98">
        <f t="shared" si="24"/>
        <v>11</v>
      </c>
      <c r="B1589" s="92" t="s">
        <v>723</v>
      </c>
      <c r="C1589" s="92" t="s">
        <v>724</v>
      </c>
      <c r="D1589" s="95">
        <v>41250</v>
      </c>
      <c r="E1589" s="95">
        <v>0</v>
      </c>
      <c r="F1589" s="95">
        <v>41250</v>
      </c>
      <c r="G1589" s="95">
        <v>0</v>
      </c>
      <c r="H1589" s="95">
        <v>41250</v>
      </c>
    </row>
    <row r="1590" spans="1:8" ht="19.8" customHeight="1" x14ac:dyDescent="0.3">
      <c r="A1590" s="98">
        <f t="shared" si="24"/>
        <v>11</v>
      </c>
      <c r="B1590" s="92" t="s">
        <v>725</v>
      </c>
      <c r="C1590" s="92" t="s">
        <v>726</v>
      </c>
      <c r="D1590" s="95">
        <v>192000</v>
      </c>
      <c r="E1590" s="95">
        <v>0</v>
      </c>
      <c r="F1590" s="95">
        <v>192000</v>
      </c>
      <c r="G1590" s="95">
        <v>0</v>
      </c>
      <c r="H1590" s="95">
        <v>192000</v>
      </c>
    </row>
    <row r="1591" spans="1:8" ht="19.8" customHeight="1" x14ac:dyDescent="0.3">
      <c r="A1591" s="98">
        <f t="shared" si="24"/>
        <v>11</v>
      </c>
      <c r="B1591" s="92" t="s">
        <v>727</v>
      </c>
      <c r="C1591" s="92" t="s">
        <v>728</v>
      </c>
      <c r="D1591" s="95">
        <v>1904110.15</v>
      </c>
      <c r="E1591" s="95">
        <v>0</v>
      </c>
      <c r="F1591" s="95">
        <v>1904110.15</v>
      </c>
      <c r="G1591" s="95">
        <v>0</v>
      </c>
      <c r="H1591" s="95">
        <v>1904110.15</v>
      </c>
    </row>
    <row r="1592" spans="1:8" ht="19.8" customHeight="1" x14ac:dyDescent="0.3">
      <c r="A1592" s="98">
        <f t="shared" si="24"/>
        <v>11</v>
      </c>
      <c r="B1592" s="92" t="s">
        <v>729</v>
      </c>
      <c r="C1592" s="92" t="s">
        <v>730</v>
      </c>
      <c r="D1592" s="95">
        <v>3025617.84</v>
      </c>
      <c r="E1592" s="95">
        <v>1488.27</v>
      </c>
      <c r="F1592" s="95">
        <v>3024129.57</v>
      </c>
      <c r="G1592" s="95">
        <v>0</v>
      </c>
      <c r="H1592" s="95">
        <v>3024129.57</v>
      </c>
    </row>
    <row r="1593" spans="1:8" ht="19.8" customHeight="1" x14ac:dyDescent="0.3">
      <c r="A1593" s="98">
        <f t="shared" si="24"/>
        <v>11</v>
      </c>
      <c r="B1593" s="92" t="s">
        <v>731</v>
      </c>
      <c r="C1593" s="92" t="s">
        <v>732</v>
      </c>
      <c r="D1593" s="95">
        <v>6074643.4000000004</v>
      </c>
      <c r="E1593" s="95">
        <v>10000</v>
      </c>
      <c r="F1593" s="95">
        <v>6064643.4000000004</v>
      </c>
      <c r="G1593" s="95">
        <v>0</v>
      </c>
      <c r="H1593" s="95">
        <v>6064643.4000000004</v>
      </c>
    </row>
    <row r="1594" spans="1:8" ht="19.8" customHeight="1" x14ac:dyDescent="0.3">
      <c r="A1594" s="98">
        <f t="shared" si="24"/>
        <v>11</v>
      </c>
      <c r="B1594" s="92" t="s">
        <v>733</v>
      </c>
      <c r="C1594" s="92" t="s">
        <v>436</v>
      </c>
      <c r="D1594" s="95">
        <v>2806527.34</v>
      </c>
      <c r="E1594" s="95">
        <v>59803.31</v>
      </c>
      <c r="F1594" s="95">
        <v>2746724.03</v>
      </c>
      <c r="G1594" s="95">
        <v>0</v>
      </c>
      <c r="H1594" s="95">
        <v>2746724.03</v>
      </c>
    </row>
    <row r="1595" spans="1:8" ht="19.8" customHeight="1" x14ac:dyDescent="0.3">
      <c r="A1595" s="98">
        <f t="shared" si="24"/>
        <v>11</v>
      </c>
      <c r="B1595" s="92" t="s">
        <v>3491</v>
      </c>
      <c r="C1595" s="92" t="s">
        <v>437</v>
      </c>
      <c r="D1595" s="95">
        <v>234569.52</v>
      </c>
      <c r="E1595" s="95">
        <v>0</v>
      </c>
      <c r="F1595" s="95">
        <v>234569.52</v>
      </c>
      <c r="G1595" s="95">
        <v>0</v>
      </c>
      <c r="H1595" s="95">
        <v>234569.52</v>
      </c>
    </row>
    <row r="1596" spans="1:8" ht="19.8" customHeight="1" x14ac:dyDescent="0.3">
      <c r="A1596" s="98">
        <f t="shared" si="24"/>
        <v>11</v>
      </c>
      <c r="B1596" s="92" t="s">
        <v>734</v>
      </c>
      <c r="C1596" s="92" t="s">
        <v>438</v>
      </c>
      <c r="D1596" s="95">
        <v>716276.56</v>
      </c>
      <c r="E1596" s="95">
        <v>0</v>
      </c>
      <c r="F1596" s="95">
        <v>716276.56</v>
      </c>
      <c r="G1596" s="95">
        <v>0</v>
      </c>
      <c r="H1596" s="95">
        <v>716276.56</v>
      </c>
    </row>
    <row r="1597" spans="1:8" ht="19.8" customHeight="1" x14ac:dyDescent="0.3">
      <c r="A1597" s="98">
        <f t="shared" si="24"/>
        <v>11</v>
      </c>
      <c r="B1597" s="92" t="s">
        <v>3492</v>
      </c>
      <c r="C1597" s="92" t="s">
        <v>439</v>
      </c>
      <c r="D1597" s="95">
        <v>346525.81</v>
      </c>
      <c r="E1597" s="95">
        <v>0</v>
      </c>
      <c r="F1597" s="95">
        <v>346525.81</v>
      </c>
      <c r="G1597" s="95">
        <v>0</v>
      </c>
      <c r="H1597" s="95">
        <v>346525.81</v>
      </c>
    </row>
    <row r="1598" spans="1:8" ht="19.8" customHeight="1" x14ac:dyDescent="0.3">
      <c r="A1598" s="98">
        <f t="shared" si="24"/>
        <v>11</v>
      </c>
      <c r="B1598" s="92" t="s">
        <v>735</v>
      </c>
      <c r="C1598" s="92" t="s">
        <v>517</v>
      </c>
      <c r="D1598" s="95">
        <v>34257703.380000003</v>
      </c>
      <c r="E1598" s="95">
        <v>0</v>
      </c>
      <c r="F1598" s="95">
        <v>34257703.380000003</v>
      </c>
      <c r="G1598" s="95">
        <v>0</v>
      </c>
      <c r="H1598" s="95">
        <v>34257703.380000003</v>
      </c>
    </row>
    <row r="1599" spans="1:8" ht="19.8" customHeight="1" x14ac:dyDescent="0.3">
      <c r="A1599" s="98">
        <f t="shared" si="24"/>
        <v>11</v>
      </c>
      <c r="B1599" s="92" t="s">
        <v>736</v>
      </c>
      <c r="C1599" s="92" t="s">
        <v>519</v>
      </c>
      <c r="D1599" s="95">
        <v>469706.74</v>
      </c>
      <c r="E1599" s="95">
        <v>0</v>
      </c>
      <c r="F1599" s="95">
        <v>469706.74</v>
      </c>
      <c r="G1599" s="95">
        <v>0</v>
      </c>
      <c r="H1599" s="95">
        <v>469706.74</v>
      </c>
    </row>
    <row r="1600" spans="1:8" ht="19.8" customHeight="1" x14ac:dyDescent="0.3">
      <c r="A1600" s="98">
        <f t="shared" si="24"/>
        <v>11</v>
      </c>
      <c r="B1600" s="92" t="s">
        <v>737</v>
      </c>
      <c r="C1600" s="92" t="s">
        <v>522</v>
      </c>
      <c r="D1600" s="95">
        <v>16482707.810000001</v>
      </c>
      <c r="E1600" s="95">
        <v>8528971.6699999999</v>
      </c>
      <c r="F1600" s="95">
        <v>7953736.1399999997</v>
      </c>
      <c r="G1600" s="95">
        <v>0</v>
      </c>
      <c r="H1600" s="95">
        <v>7953736.1399999997</v>
      </c>
    </row>
    <row r="1601" spans="1:8" ht="19.8" customHeight="1" x14ac:dyDescent="0.3">
      <c r="A1601" s="98">
        <f t="shared" si="24"/>
        <v>11</v>
      </c>
      <c r="B1601" s="92" t="s">
        <v>738</v>
      </c>
      <c r="C1601" s="92" t="s">
        <v>524</v>
      </c>
      <c r="D1601" s="95">
        <v>6385346.5300000003</v>
      </c>
      <c r="E1601" s="95">
        <v>275851.05</v>
      </c>
      <c r="F1601" s="95">
        <v>6109495.4800000004</v>
      </c>
      <c r="G1601" s="95">
        <v>0</v>
      </c>
      <c r="H1601" s="95">
        <v>6109495.4800000004</v>
      </c>
    </row>
    <row r="1602" spans="1:8" ht="19.8" customHeight="1" x14ac:dyDescent="0.3">
      <c r="A1602" s="98">
        <f t="shared" si="24"/>
        <v>11</v>
      </c>
      <c r="B1602" s="92" t="s">
        <v>739</v>
      </c>
      <c r="C1602" s="92" t="s">
        <v>526</v>
      </c>
      <c r="D1602" s="95">
        <v>2430910.29</v>
      </c>
      <c r="E1602" s="95">
        <v>0</v>
      </c>
      <c r="F1602" s="95">
        <v>2430910.29</v>
      </c>
      <c r="G1602" s="95">
        <v>0</v>
      </c>
      <c r="H1602" s="95">
        <v>2430910.29</v>
      </c>
    </row>
    <row r="1603" spans="1:8" ht="19.8" customHeight="1" x14ac:dyDescent="0.3">
      <c r="A1603" s="98">
        <f t="shared" ref="A1603:A1666" si="25">+LEN(B1603)</f>
        <v>11</v>
      </c>
      <c r="B1603" s="92" t="s">
        <v>740</v>
      </c>
      <c r="C1603" s="92" t="s">
        <v>528</v>
      </c>
      <c r="D1603" s="95">
        <v>613779.11</v>
      </c>
      <c r="E1603" s="95">
        <v>0</v>
      </c>
      <c r="F1603" s="95">
        <v>613779.11</v>
      </c>
      <c r="G1603" s="95">
        <v>0</v>
      </c>
      <c r="H1603" s="95">
        <v>613779.11</v>
      </c>
    </row>
    <row r="1604" spans="1:8" ht="19.8" customHeight="1" x14ac:dyDescent="0.3">
      <c r="A1604" s="98">
        <f t="shared" si="25"/>
        <v>11</v>
      </c>
      <c r="B1604" s="92" t="s">
        <v>741</v>
      </c>
      <c r="C1604" s="92" t="s">
        <v>530</v>
      </c>
      <c r="D1604" s="95">
        <v>386285.72</v>
      </c>
      <c r="E1604" s="95">
        <v>0</v>
      </c>
      <c r="F1604" s="95">
        <v>386285.72</v>
      </c>
      <c r="G1604" s="95">
        <v>0</v>
      </c>
      <c r="H1604" s="95">
        <v>386285.72</v>
      </c>
    </row>
    <row r="1605" spans="1:8" ht="19.8" customHeight="1" x14ac:dyDescent="0.3">
      <c r="A1605" s="98">
        <f t="shared" si="25"/>
        <v>11</v>
      </c>
      <c r="B1605" s="92" t="s">
        <v>742</v>
      </c>
      <c r="C1605" s="92" t="s">
        <v>555</v>
      </c>
      <c r="D1605" s="95">
        <v>3640905.86</v>
      </c>
      <c r="E1605" s="95">
        <v>946131.01</v>
      </c>
      <c r="F1605" s="95">
        <v>2694774.85</v>
      </c>
      <c r="G1605" s="95">
        <v>0</v>
      </c>
      <c r="H1605" s="95">
        <v>2694774.85</v>
      </c>
    </row>
    <row r="1606" spans="1:8" ht="19.8" customHeight="1" x14ac:dyDescent="0.3">
      <c r="A1606" s="98">
        <f t="shared" si="25"/>
        <v>11</v>
      </c>
      <c r="B1606" s="92" t="s">
        <v>743</v>
      </c>
      <c r="C1606" s="92" t="s">
        <v>532</v>
      </c>
      <c r="D1606" s="95">
        <v>622155.80000000005</v>
      </c>
      <c r="E1606" s="95">
        <v>0</v>
      </c>
      <c r="F1606" s="95">
        <v>622155.80000000005</v>
      </c>
      <c r="G1606" s="95">
        <v>0</v>
      </c>
      <c r="H1606" s="95">
        <v>622155.80000000005</v>
      </c>
    </row>
    <row r="1607" spans="1:8" ht="19.8" customHeight="1" x14ac:dyDescent="0.3">
      <c r="A1607" s="98">
        <f t="shared" si="25"/>
        <v>11</v>
      </c>
      <c r="B1607" s="92" t="s">
        <v>744</v>
      </c>
      <c r="C1607" s="92" t="s">
        <v>534</v>
      </c>
      <c r="D1607" s="95">
        <v>201753.73</v>
      </c>
      <c r="E1607" s="95">
        <v>0</v>
      </c>
      <c r="F1607" s="95">
        <v>201753.73</v>
      </c>
      <c r="G1607" s="95">
        <v>0</v>
      </c>
      <c r="H1607" s="95">
        <v>201753.73</v>
      </c>
    </row>
    <row r="1608" spans="1:8" ht="19.8" customHeight="1" x14ac:dyDescent="0.3">
      <c r="A1608" s="98">
        <f t="shared" si="25"/>
        <v>11</v>
      </c>
      <c r="B1608" s="92" t="s">
        <v>745</v>
      </c>
      <c r="C1608" s="92" t="s">
        <v>536</v>
      </c>
      <c r="D1608" s="95">
        <v>178455.51</v>
      </c>
      <c r="E1608" s="95">
        <v>0</v>
      </c>
      <c r="F1608" s="95">
        <v>178455.51</v>
      </c>
      <c r="G1608" s="95">
        <v>0</v>
      </c>
      <c r="H1608" s="95">
        <v>178455.51</v>
      </c>
    </row>
    <row r="1609" spans="1:8" ht="19.8" customHeight="1" x14ac:dyDescent="0.3">
      <c r="A1609" s="98">
        <f t="shared" si="25"/>
        <v>11</v>
      </c>
      <c r="B1609" s="92" t="s">
        <v>746</v>
      </c>
      <c r="C1609" s="92" t="s">
        <v>560</v>
      </c>
      <c r="D1609" s="95">
        <v>199357.95</v>
      </c>
      <c r="E1609" s="95">
        <v>0</v>
      </c>
      <c r="F1609" s="95">
        <v>199357.95</v>
      </c>
      <c r="G1609" s="95">
        <v>0</v>
      </c>
      <c r="H1609" s="95">
        <v>199357.95</v>
      </c>
    </row>
    <row r="1610" spans="1:8" ht="19.8" customHeight="1" x14ac:dyDescent="0.3">
      <c r="A1610" s="98">
        <f t="shared" si="25"/>
        <v>11</v>
      </c>
      <c r="B1610" s="92" t="s">
        <v>3493</v>
      </c>
      <c r="C1610" s="92" t="s">
        <v>3494</v>
      </c>
      <c r="D1610" s="95">
        <v>542575</v>
      </c>
      <c r="E1610" s="95">
        <v>0</v>
      </c>
      <c r="F1610" s="95">
        <v>542575</v>
      </c>
      <c r="G1610" s="95">
        <v>0</v>
      </c>
      <c r="H1610" s="95">
        <v>542575</v>
      </c>
    </row>
    <row r="1611" spans="1:8" ht="19.8" customHeight="1" x14ac:dyDescent="0.3">
      <c r="A1611" s="98">
        <f t="shared" si="25"/>
        <v>7</v>
      </c>
      <c r="B1611" s="92" t="s">
        <v>3495</v>
      </c>
      <c r="C1611" s="92" t="s">
        <v>3496</v>
      </c>
      <c r="D1611" s="95">
        <v>310838544.56999999</v>
      </c>
      <c r="E1611" s="95">
        <v>13984626.449999999</v>
      </c>
      <c r="F1611" s="95">
        <v>296853918.12</v>
      </c>
      <c r="G1611" s="95">
        <v>0</v>
      </c>
      <c r="H1611" s="95">
        <v>296853918.12</v>
      </c>
    </row>
    <row r="1612" spans="1:8" ht="19.8" customHeight="1" x14ac:dyDescent="0.3">
      <c r="A1612" s="98">
        <f t="shared" si="25"/>
        <v>11</v>
      </c>
      <c r="B1612" s="92" t="s">
        <v>3497</v>
      </c>
      <c r="C1612" s="92" t="s">
        <v>589</v>
      </c>
      <c r="D1612" s="95">
        <v>3491128.99</v>
      </c>
      <c r="E1612" s="95">
        <v>40310.15</v>
      </c>
      <c r="F1612" s="95">
        <v>3450818.84</v>
      </c>
      <c r="G1612" s="95">
        <v>0</v>
      </c>
      <c r="H1612" s="95">
        <v>3450818.84</v>
      </c>
    </row>
    <row r="1613" spans="1:8" ht="19.8" customHeight="1" x14ac:dyDescent="0.3">
      <c r="A1613" s="98">
        <f t="shared" si="25"/>
        <v>11</v>
      </c>
      <c r="B1613" s="92" t="s">
        <v>3498</v>
      </c>
      <c r="C1613" s="92" t="s">
        <v>595</v>
      </c>
      <c r="D1613" s="95">
        <v>676808.82</v>
      </c>
      <c r="E1613" s="95">
        <v>296954.96000000002</v>
      </c>
      <c r="F1613" s="95">
        <v>379853.86</v>
      </c>
      <c r="G1613" s="95">
        <v>0</v>
      </c>
      <c r="H1613" s="95">
        <v>379853.86</v>
      </c>
    </row>
    <row r="1614" spans="1:8" ht="19.8" customHeight="1" x14ac:dyDescent="0.3">
      <c r="A1614" s="98">
        <f t="shared" si="25"/>
        <v>11</v>
      </c>
      <c r="B1614" s="92" t="s">
        <v>3499</v>
      </c>
      <c r="C1614" s="92" t="s">
        <v>586</v>
      </c>
      <c r="D1614" s="95">
        <v>257400</v>
      </c>
      <c r="E1614" s="95">
        <v>0</v>
      </c>
      <c r="F1614" s="95">
        <v>257400</v>
      </c>
      <c r="G1614" s="95">
        <v>0</v>
      </c>
      <c r="H1614" s="95">
        <v>257400</v>
      </c>
    </row>
    <row r="1615" spans="1:8" ht="19.8" customHeight="1" x14ac:dyDescent="0.3">
      <c r="A1615" s="98">
        <f t="shared" si="25"/>
        <v>11</v>
      </c>
      <c r="B1615" s="92" t="s">
        <v>3500</v>
      </c>
      <c r="C1615" s="92" t="s">
        <v>591</v>
      </c>
      <c r="D1615" s="95">
        <v>2912992.49</v>
      </c>
      <c r="E1615" s="95">
        <v>512977.72</v>
      </c>
      <c r="F1615" s="95">
        <v>2400014.77</v>
      </c>
      <c r="G1615" s="95">
        <v>0</v>
      </c>
      <c r="H1615" s="95">
        <v>2400014.77</v>
      </c>
    </row>
    <row r="1616" spans="1:8" ht="19.8" customHeight="1" x14ac:dyDescent="0.3">
      <c r="A1616" s="98">
        <f t="shared" si="25"/>
        <v>11</v>
      </c>
      <c r="B1616" s="92" t="s">
        <v>3501</v>
      </c>
      <c r="C1616" s="92" t="s">
        <v>3502</v>
      </c>
      <c r="D1616" s="95">
        <v>1537029.89</v>
      </c>
      <c r="E1616" s="95">
        <v>2274.1799999999998</v>
      </c>
      <c r="F1616" s="95">
        <v>1534755.71</v>
      </c>
      <c r="G1616" s="95">
        <v>0</v>
      </c>
      <c r="H1616" s="95">
        <v>1534755.71</v>
      </c>
    </row>
    <row r="1617" spans="1:8" ht="19.8" customHeight="1" x14ac:dyDescent="0.3">
      <c r="A1617" s="98">
        <f t="shared" si="25"/>
        <v>11</v>
      </c>
      <c r="B1617" s="92" t="s">
        <v>3503</v>
      </c>
      <c r="C1617" s="92" t="s">
        <v>3504</v>
      </c>
      <c r="D1617" s="95">
        <v>63385.53</v>
      </c>
      <c r="E1617" s="95">
        <v>0</v>
      </c>
      <c r="F1617" s="95">
        <v>63385.53</v>
      </c>
      <c r="G1617" s="95">
        <v>0</v>
      </c>
      <c r="H1617" s="95">
        <v>63385.53</v>
      </c>
    </row>
    <row r="1618" spans="1:8" ht="19.8" customHeight="1" x14ac:dyDescent="0.3">
      <c r="A1618" s="98">
        <f t="shared" si="25"/>
        <v>11</v>
      </c>
      <c r="B1618" s="92" t="s">
        <v>3505</v>
      </c>
      <c r="C1618" s="92" t="s">
        <v>671</v>
      </c>
      <c r="D1618" s="95">
        <v>54483.33</v>
      </c>
      <c r="E1618" s="95">
        <v>0</v>
      </c>
      <c r="F1618" s="95">
        <v>54483.33</v>
      </c>
      <c r="G1618" s="95">
        <v>0</v>
      </c>
      <c r="H1618" s="95">
        <v>54483.33</v>
      </c>
    </row>
    <row r="1619" spans="1:8" ht="19.8" customHeight="1" x14ac:dyDescent="0.3">
      <c r="A1619" s="98">
        <f t="shared" si="25"/>
        <v>11</v>
      </c>
      <c r="B1619" s="92" t="s">
        <v>3506</v>
      </c>
      <c r="C1619" s="92" t="s">
        <v>3507</v>
      </c>
      <c r="D1619" s="95">
        <v>169730</v>
      </c>
      <c r="E1619" s="95">
        <v>0</v>
      </c>
      <c r="F1619" s="95">
        <v>169730</v>
      </c>
      <c r="G1619" s="95">
        <v>0</v>
      </c>
      <c r="H1619" s="95">
        <v>169730</v>
      </c>
    </row>
    <row r="1620" spans="1:8" ht="19.8" customHeight="1" x14ac:dyDescent="0.3">
      <c r="A1620" s="98">
        <f t="shared" si="25"/>
        <v>11</v>
      </c>
      <c r="B1620" s="92" t="s">
        <v>3508</v>
      </c>
      <c r="C1620" s="92" t="s">
        <v>3509</v>
      </c>
      <c r="D1620" s="95">
        <v>98660</v>
      </c>
      <c r="E1620" s="95">
        <v>0</v>
      </c>
      <c r="F1620" s="95">
        <v>98660</v>
      </c>
      <c r="G1620" s="95">
        <v>0</v>
      </c>
      <c r="H1620" s="95">
        <v>98660</v>
      </c>
    </row>
    <row r="1621" spans="1:8" ht="19.8" customHeight="1" x14ac:dyDescent="0.3">
      <c r="A1621" s="98">
        <f t="shared" si="25"/>
        <v>11</v>
      </c>
      <c r="B1621" s="92" t="s">
        <v>3510</v>
      </c>
      <c r="C1621" s="92" t="s">
        <v>651</v>
      </c>
      <c r="D1621" s="95">
        <v>924776.16</v>
      </c>
      <c r="E1621" s="95">
        <v>105590.22</v>
      </c>
      <c r="F1621" s="95">
        <v>819185.94</v>
      </c>
      <c r="G1621" s="95">
        <v>0</v>
      </c>
      <c r="H1621" s="95">
        <v>819185.94</v>
      </c>
    </row>
    <row r="1622" spans="1:8" ht="19.8" customHeight="1" x14ac:dyDescent="0.3">
      <c r="A1622" s="98">
        <f t="shared" si="25"/>
        <v>11</v>
      </c>
      <c r="B1622" s="92" t="s">
        <v>3511</v>
      </c>
      <c r="C1622" s="92" t="s">
        <v>3512</v>
      </c>
      <c r="D1622" s="95">
        <v>80079.95</v>
      </c>
      <c r="E1622" s="95">
        <v>300</v>
      </c>
      <c r="F1622" s="95">
        <v>79779.95</v>
      </c>
      <c r="G1622" s="95">
        <v>0</v>
      </c>
      <c r="H1622" s="95">
        <v>79779.95</v>
      </c>
    </row>
    <row r="1623" spans="1:8" ht="19.8" customHeight="1" x14ac:dyDescent="0.3">
      <c r="A1623" s="98">
        <f t="shared" si="25"/>
        <v>11</v>
      </c>
      <c r="B1623" s="92" t="s">
        <v>3513</v>
      </c>
      <c r="C1623" s="92" t="s">
        <v>3452</v>
      </c>
      <c r="D1623" s="95">
        <v>63389.33</v>
      </c>
      <c r="E1623" s="95">
        <v>0</v>
      </c>
      <c r="F1623" s="95">
        <v>63389.33</v>
      </c>
      <c r="G1623" s="95">
        <v>0</v>
      </c>
      <c r="H1623" s="95">
        <v>63389.33</v>
      </c>
    </row>
    <row r="1624" spans="1:8" ht="19.8" customHeight="1" x14ac:dyDescent="0.3">
      <c r="A1624" s="98">
        <f t="shared" si="25"/>
        <v>11</v>
      </c>
      <c r="B1624" s="92" t="s">
        <v>3514</v>
      </c>
      <c r="C1624" s="92" t="s">
        <v>669</v>
      </c>
      <c r="D1624" s="95">
        <v>1053237.55</v>
      </c>
      <c r="E1624" s="95">
        <v>0</v>
      </c>
      <c r="F1624" s="95">
        <v>1053237.55</v>
      </c>
      <c r="G1624" s="95">
        <v>0</v>
      </c>
      <c r="H1624" s="95">
        <v>1053237.55</v>
      </c>
    </row>
    <row r="1625" spans="1:8" ht="19.8" customHeight="1" x14ac:dyDescent="0.3">
      <c r="A1625" s="98">
        <f t="shared" si="25"/>
        <v>11</v>
      </c>
      <c r="B1625" s="92" t="s">
        <v>3515</v>
      </c>
      <c r="C1625" s="92" t="s">
        <v>653</v>
      </c>
      <c r="D1625" s="95">
        <v>164953.56</v>
      </c>
      <c r="E1625" s="95">
        <v>0</v>
      </c>
      <c r="F1625" s="95">
        <v>164953.56</v>
      </c>
      <c r="G1625" s="95">
        <v>0</v>
      </c>
      <c r="H1625" s="95">
        <v>164953.56</v>
      </c>
    </row>
    <row r="1626" spans="1:8" ht="19.8" customHeight="1" x14ac:dyDescent="0.3">
      <c r="A1626" s="98">
        <f t="shared" si="25"/>
        <v>11</v>
      </c>
      <c r="B1626" s="92" t="s">
        <v>3516</v>
      </c>
      <c r="C1626" s="92" t="s">
        <v>655</v>
      </c>
      <c r="D1626" s="95">
        <v>902043.58</v>
      </c>
      <c r="E1626" s="95">
        <v>855066.76</v>
      </c>
      <c r="F1626" s="95">
        <v>46976.82</v>
      </c>
      <c r="G1626" s="95">
        <v>0</v>
      </c>
      <c r="H1626" s="95">
        <v>46976.82</v>
      </c>
    </row>
    <row r="1627" spans="1:8" ht="19.8" customHeight="1" x14ac:dyDescent="0.3">
      <c r="A1627" s="98">
        <f t="shared" si="25"/>
        <v>11</v>
      </c>
      <c r="B1627" s="92" t="s">
        <v>3517</v>
      </c>
      <c r="C1627" s="92" t="s">
        <v>571</v>
      </c>
      <c r="D1627" s="95">
        <v>1794750.23</v>
      </c>
      <c r="E1627" s="95">
        <v>1650347.54</v>
      </c>
      <c r="F1627" s="95">
        <v>144402.69</v>
      </c>
      <c r="G1627" s="95">
        <v>0</v>
      </c>
      <c r="H1627" s="95">
        <v>144402.69</v>
      </c>
    </row>
    <row r="1628" spans="1:8" ht="19.8" customHeight="1" x14ac:dyDescent="0.3">
      <c r="A1628" s="98">
        <f t="shared" si="25"/>
        <v>11</v>
      </c>
      <c r="B1628" s="92" t="s">
        <v>3518</v>
      </c>
      <c r="C1628" s="92" t="s">
        <v>747</v>
      </c>
      <c r="D1628" s="95">
        <v>3262036.14</v>
      </c>
      <c r="E1628" s="95">
        <v>0</v>
      </c>
      <c r="F1628" s="95">
        <v>3262036.14</v>
      </c>
      <c r="G1628" s="95">
        <v>0</v>
      </c>
      <c r="H1628" s="95">
        <v>3262036.14</v>
      </c>
    </row>
    <row r="1629" spans="1:8" ht="19.8" customHeight="1" x14ac:dyDescent="0.3">
      <c r="A1629" s="98">
        <f t="shared" si="25"/>
        <v>11</v>
      </c>
      <c r="B1629" s="92" t="s">
        <v>3519</v>
      </c>
      <c r="C1629" s="92" t="s">
        <v>597</v>
      </c>
      <c r="D1629" s="95">
        <v>144149.85999999999</v>
      </c>
      <c r="E1629" s="95">
        <v>0</v>
      </c>
      <c r="F1629" s="95">
        <v>144149.85999999999</v>
      </c>
      <c r="G1629" s="95">
        <v>0</v>
      </c>
      <c r="H1629" s="95">
        <v>144149.85999999999</v>
      </c>
    </row>
    <row r="1630" spans="1:8" ht="19.8" customHeight="1" x14ac:dyDescent="0.3">
      <c r="A1630" s="98">
        <f t="shared" si="25"/>
        <v>11</v>
      </c>
      <c r="B1630" s="92" t="s">
        <v>3520</v>
      </c>
      <c r="C1630" s="92" t="s">
        <v>3521</v>
      </c>
      <c r="D1630" s="95">
        <v>6433.66</v>
      </c>
      <c r="E1630" s="95">
        <v>0</v>
      </c>
      <c r="F1630" s="95">
        <v>6433.66</v>
      </c>
      <c r="G1630" s="95">
        <v>0</v>
      </c>
      <c r="H1630" s="95">
        <v>6433.66</v>
      </c>
    </row>
    <row r="1631" spans="1:8" ht="19.8" customHeight="1" x14ac:dyDescent="0.3">
      <c r="A1631" s="98">
        <f t="shared" si="25"/>
        <v>11</v>
      </c>
      <c r="B1631" s="92" t="s">
        <v>3522</v>
      </c>
      <c r="C1631" s="92" t="s">
        <v>3523</v>
      </c>
      <c r="D1631" s="95">
        <v>936563.23</v>
      </c>
      <c r="E1631" s="95">
        <v>2947.96</v>
      </c>
      <c r="F1631" s="95">
        <v>933615.27</v>
      </c>
      <c r="G1631" s="95">
        <v>0</v>
      </c>
      <c r="H1631" s="95">
        <v>933615.27</v>
      </c>
    </row>
    <row r="1632" spans="1:8" ht="19.8" customHeight="1" x14ac:dyDescent="0.3">
      <c r="A1632" s="98">
        <f t="shared" si="25"/>
        <v>11</v>
      </c>
      <c r="B1632" s="92" t="s">
        <v>3524</v>
      </c>
      <c r="C1632" s="92" t="s">
        <v>3525</v>
      </c>
      <c r="D1632" s="95">
        <v>4911.95</v>
      </c>
      <c r="E1632" s="95">
        <v>0</v>
      </c>
      <c r="F1632" s="95">
        <v>4911.95</v>
      </c>
      <c r="G1632" s="95">
        <v>0</v>
      </c>
      <c r="H1632" s="95">
        <v>4911.95</v>
      </c>
    </row>
    <row r="1633" spans="1:8" ht="19.8" customHeight="1" x14ac:dyDescent="0.3">
      <c r="A1633" s="98">
        <f t="shared" si="25"/>
        <v>11</v>
      </c>
      <c r="B1633" s="92" t="s">
        <v>3526</v>
      </c>
      <c r="C1633" s="92" t="s">
        <v>3527</v>
      </c>
      <c r="D1633" s="95">
        <v>127561.2</v>
      </c>
      <c r="E1633" s="95">
        <v>0</v>
      </c>
      <c r="F1633" s="95">
        <v>127561.2</v>
      </c>
      <c r="G1633" s="95">
        <v>0</v>
      </c>
      <c r="H1633" s="95">
        <v>127561.2</v>
      </c>
    </row>
    <row r="1634" spans="1:8" ht="19.8" customHeight="1" x14ac:dyDescent="0.3">
      <c r="A1634" s="98">
        <f t="shared" si="25"/>
        <v>11</v>
      </c>
      <c r="B1634" s="92" t="s">
        <v>3528</v>
      </c>
      <c r="C1634" s="92" t="s">
        <v>599</v>
      </c>
      <c r="D1634" s="95">
        <v>2636294.84</v>
      </c>
      <c r="E1634" s="95">
        <v>141380.42000000001</v>
      </c>
      <c r="F1634" s="95">
        <v>2494914.42</v>
      </c>
      <c r="G1634" s="95">
        <v>0</v>
      </c>
      <c r="H1634" s="95">
        <v>2494914.42</v>
      </c>
    </row>
    <row r="1635" spans="1:8" ht="19.8" customHeight="1" x14ac:dyDescent="0.3">
      <c r="A1635" s="98">
        <f t="shared" si="25"/>
        <v>11</v>
      </c>
      <c r="B1635" s="92" t="s">
        <v>3529</v>
      </c>
      <c r="C1635" s="92" t="s">
        <v>3530</v>
      </c>
      <c r="D1635" s="95">
        <v>651753.18000000005</v>
      </c>
      <c r="E1635" s="95">
        <v>0</v>
      </c>
      <c r="F1635" s="95">
        <v>651753.18000000005</v>
      </c>
      <c r="G1635" s="95">
        <v>0</v>
      </c>
      <c r="H1635" s="95">
        <v>651753.18000000005</v>
      </c>
    </row>
    <row r="1636" spans="1:8" ht="19.8" customHeight="1" x14ac:dyDescent="0.3">
      <c r="A1636" s="98">
        <f t="shared" si="25"/>
        <v>11</v>
      </c>
      <c r="B1636" s="92" t="s">
        <v>3531</v>
      </c>
      <c r="C1636" s="92" t="s">
        <v>3532</v>
      </c>
      <c r="D1636" s="95">
        <v>146312.57999999999</v>
      </c>
      <c r="E1636" s="95">
        <v>0</v>
      </c>
      <c r="F1636" s="95">
        <v>146312.57999999999</v>
      </c>
      <c r="G1636" s="95">
        <v>0</v>
      </c>
      <c r="H1636" s="95">
        <v>146312.57999999999</v>
      </c>
    </row>
    <row r="1637" spans="1:8" ht="19.8" customHeight="1" x14ac:dyDescent="0.3">
      <c r="A1637" s="98">
        <f t="shared" si="25"/>
        <v>11</v>
      </c>
      <c r="B1637" s="92" t="s">
        <v>3533</v>
      </c>
      <c r="C1637" s="92" t="s">
        <v>3534</v>
      </c>
      <c r="D1637" s="95">
        <v>1077341.58</v>
      </c>
      <c r="E1637" s="95">
        <v>7407.59</v>
      </c>
      <c r="F1637" s="95">
        <v>1069933.99</v>
      </c>
      <c r="G1637" s="95">
        <v>0</v>
      </c>
      <c r="H1637" s="95">
        <v>1069933.99</v>
      </c>
    </row>
    <row r="1638" spans="1:8" ht="19.8" customHeight="1" x14ac:dyDescent="0.3">
      <c r="A1638" s="98">
        <f t="shared" si="25"/>
        <v>11</v>
      </c>
      <c r="B1638" s="92" t="s">
        <v>3535</v>
      </c>
      <c r="C1638" s="92" t="s">
        <v>3536</v>
      </c>
      <c r="D1638" s="95">
        <v>4490568.95</v>
      </c>
      <c r="E1638" s="95">
        <v>0</v>
      </c>
      <c r="F1638" s="95">
        <v>4490568.95</v>
      </c>
      <c r="G1638" s="95">
        <v>0</v>
      </c>
      <c r="H1638" s="95">
        <v>4490568.95</v>
      </c>
    </row>
    <row r="1639" spans="1:8" ht="19.8" customHeight="1" x14ac:dyDescent="0.3">
      <c r="A1639" s="98">
        <f t="shared" si="25"/>
        <v>11</v>
      </c>
      <c r="B1639" s="92" t="s">
        <v>3537</v>
      </c>
      <c r="C1639" s="92" t="s">
        <v>3538</v>
      </c>
      <c r="D1639" s="95">
        <v>96496.99</v>
      </c>
      <c r="E1639" s="95">
        <v>0</v>
      </c>
      <c r="F1639" s="95">
        <v>96496.99</v>
      </c>
      <c r="G1639" s="95">
        <v>0</v>
      </c>
      <c r="H1639" s="95">
        <v>96496.99</v>
      </c>
    </row>
    <row r="1640" spans="1:8" ht="19.8" customHeight="1" x14ac:dyDescent="0.3">
      <c r="A1640" s="98">
        <f t="shared" si="25"/>
        <v>11</v>
      </c>
      <c r="B1640" s="92" t="s">
        <v>3539</v>
      </c>
      <c r="C1640" s="92" t="s">
        <v>3540</v>
      </c>
      <c r="D1640" s="95">
        <v>82387.98</v>
      </c>
      <c r="E1640" s="95">
        <v>0</v>
      </c>
      <c r="F1640" s="95">
        <v>82387.98</v>
      </c>
      <c r="G1640" s="95">
        <v>0</v>
      </c>
      <c r="H1640" s="95">
        <v>82387.98</v>
      </c>
    </row>
    <row r="1641" spans="1:8" ht="19.8" customHeight="1" x14ac:dyDescent="0.3">
      <c r="A1641" s="98">
        <f t="shared" si="25"/>
        <v>11</v>
      </c>
      <c r="B1641" s="92" t="s">
        <v>3541</v>
      </c>
      <c r="C1641" s="92" t="s">
        <v>3542</v>
      </c>
      <c r="D1641" s="95">
        <v>15493124.960000001</v>
      </c>
      <c r="E1641" s="95">
        <v>0</v>
      </c>
      <c r="F1641" s="95">
        <v>15493124.960000001</v>
      </c>
      <c r="G1641" s="95">
        <v>0</v>
      </c>
      <c r="H1641" s="95">
        <v>15493124.960000001</v>
      </c>
    </row>
    <row r="1642" spans="1:8" ht="19.8" customHeight="1" x14ac:dyDescent="0.3">
      <c r="A1642" s="98">
        <f t="shared" si="25"/>
        <v>11</v>
      </c>
      <c r="B1642" s="92" t="s">
        <v>3543</v>
      </c>
      <c r="C1642" s="92" t="s">
        <v>3544</v>
      </c>
      <c r="D1642" s="95">
        <v>8835617.7699999996</v>
      </c>
      <c r="E1642" s="95">
        <v>0</v>
      </c>
      <c r="F1642" s="95">
        <v>8835617.7699999996</v>
      </c>
      <c r="G1642" s="95">
        <v>0</v>
      </c>
      <c r="H1642" s="95">
        <v>8835617.7699999996</v>
      </c>
    </row>
    <row r="1643" spans="1:8" ht="19.8" customHeight="1" x14ac:dyDescent="0.3">
      <c r="A1643" s="98">
        <f t="shared" si="25"/>
        <v>11</v>
      </c>
      <c r="B1643" s="92" t="s">
        <v>3545</v>
      </c>
      <c r="C1643" s="92" t="s">
        <v>3546</v>
      </c>
      <c r="D1643" s="95">
        <v>32471714.629999999</v>
      </c>
      <c r="E1643" s="95">
        <v>828643.58</v>
      </c>
      <c r="F1643" s="95">
        <v>31643071.050000001</v>
      </c>
      <c r="G1643" s="95">
        <v>0</v>
      </c>
      <c r="H1643" s="95">
        <v>31643071.050000001</v>
      </c>
    </row>
    <row r="1644" spans="1:8" ht="19.8" customHeight="1" x14ac:dyDescent="0.3">
      <c r="A1644" s="98">
        <f t="shared" si="25"/>
        <v>11</v>
      </c>
      <c r="B1644" s="92" t="s">
        <v>3547</v>
      </c>
      <c r="C1644" s="92" t="s">
        <v>3548</v>
      </c>
      <c r="D1644" s="95">
        <v>4725897.72</v>
      </c>
      <c r="E1644" s="95">
        <v>0</v>
      </c>
      <c r="F1644" s="95">
        <v>4725897.72</v>
      </c>
      <c r="G1644" s="95">
        <v>0</v>
      </c>
      <c r="H1644" s="95">
        <v>4725897.72</v>
      </c>
    </row>
    <row r="1645" spans="1:8" ht="19.8" customHeight="1" x14ac:dyDescent="0.3">
      <c r="A1645" s="98">
        <f t="shared" si="25"/>
        <v>11</v>
      </c>
      <c r="B1645" s="92" t="s">
        <v>3549</v>
      </c>
      <c r="C1645" s="92" t="s">
        <v>3550</v>
      </c>
      <c r="D1645" s="95">
        <v>27435933.27</v>
      </c>
      <c r="E1645" s="95">
        <v>4700647.58</v>
      </c>
      <c r="F1645" s="95">
        <v>22735285.690000001</v>
      </c>
      <c r="G1645" s="95">
        <v>0</v>
      </c>
      <c r="H1645" s="95">
        <v>22735285.690000001</v>
      </c>
    </row>
    <row r="1646" spans="1:8" ht="19.8" customHeight="1" x14ac:dyDescent="0.3">
      <c r="A1646" s="98">
        <f t="shared" si="25"/>
        <v>11</v>
      </c>
      <c r="B1646" s="92" t="s">
        <v>3551</v>
      </c>
      <c r="C1646" s="92" t="s">
        <v>3552</v>
      </c>
      <c r="D1646" s="95">
        <v>63846.71</v>
      </c>
      <c r="E1646" s="95">
        <v>0</v>
      </c>
      <c r="F1646" s="95">
        <v>63846.71</v>
      </c>
      <c r="G1646" s="95">
        <v>0</v>
      </c>
      <c r="H1646" s="95">
        <v>63846.71</v>
      </c>
    </row>
    <row r="1647" spans="1:8" ht="19.8" customHeight="1" x14ac:dyDescent="0.3">
      <c r="A1647" s="98">
        <f t="shared" si="25"/>
        <v>11</v>
      </c>
      <c r="B1647" s="92" t="s">
        <v>3553</v>
      </c>
      <c r="C1647" s="92" t="s">
        <v>3554</v>
      </c>
      <c r="D1647" s="95">
        <v>157915.20000000001</v>
      </c>
      <c r="E1647" s="95">
        <v>0</v>
      </c>
      <c r="F1647" s="95">
        <v>157915.20000000001</v>
      </c>
      <c r="G1647" s="95">
        <v>0</v>
      </c>
      <c r="H1647" s="95">
        <v>157915.20000000001</v>
      </c>
    </row>
    <row r="1648" spans="1:8" ht="19.8" customHeight="1" x14ac:dyDescent="0.3">
      <c r="A1648" s="98">
        <f t="shared" si="25"/>
        <v>11</v>
      </c>
      <c r="B1648" s="92" t="s">
        <v>3555</v>
      </c>
      <c r="C1648" s="92" t="s">
        <v>3556</v>
      </c>
      <c r="D1648" s="95">
        <v>905460.5</v>
      </c>
      <c r="E1648" s="95">
        <v>30722</v>
      </c>
      <c r="F1648" s="95">
        <v>874738.5</v>
      </c>
      <c r="G1648" s="95">
        <v>0</v>
      </c>
      <c r="H1648" s="95">
        <v>874738.5</v>
      </c>
    </row>
    <row r="1649" spans="1:8" ht="19.8" customHeight="1" x14ac:dyDescent="0.3">
      <c r="A1649" s="98">
        <f t="shared" si="25"/>
        <v>11</v>
      </c>
      <c r="B1649" s="92" t="s">
        <v>3557</v>
      </c>
      <c r="C1649" s="92" t="s">
        <v>3558</v>
      </c>
      <c r="D1649" s="95">
        <v>6336714.9500000002</v>
      </c>
      <c r="E1649" s="95">
        <v>687034.44</v>
      </c>
      <c r="F1649" s="95">
        <v>5649680.5099999998</v>
      </c>
      <c r="G1649" s="95">
        <v>0</v>
      </c>
      <c r="H1649" s="95">
        <v>5649680.5099999998</v>
      </c>
    </row>
    <row r="1650" spans="1:8" ht="19.8" customHeight="1" x14ac:dyDescent="0.3">
      <c r="A1650" s="98">
        <f t="shared" si="25"/>
        <v>11</v>
      </c>
      <c r="B1650" s="92" t="s">
        <v>3559</v>
      </c>
      <c r="C1650" s="92" t="s">
        <v>3560</v>
      </c>
      <c r="D1650" s="95">
        <v>6977471.5199999996</v>
      </c>
      <c r="E1650" s="95">
        <v>1273787</v>
      </c>
      <c r="F1650" s="95">
        <v>5703684.5199999996</v>
      </c>
      <c r="G1650" s="95">
        <v>0</v>
      </c>
      <c r="H1650" s="95">
        <v>5703684.5199999996</v>
      </c>
    </row>
    <row r="1651" spans="1:8" ht="19.8" customHeight="1" x14ac:dyDescent="0.3">
      <c r="A1651" s="98">
        <f t="shared" si="25"/>
        <v>11</v>
      </c>
      <c r="B1651" s="92" t="s">
        <v>3561</v>
      </c>
      <c r="C1651" s="92" t="s">
        <v>3562</v>
      </c>
      <c r="D1651" s="95">
        <v>5532.75</v>
      </c>
      <c r="E1651" s="95">
        <v>1639.12</v>
      </c>
      <c r="F1651" s="95">
        <v>3893.63</v>
      </c>
      <c r="G1651" s="95">
        <v>0</v>
      </c>
      <c r="H1651" s="95">
        <v>3893.63</v>
      </c>
    </row>
    <row r="1652" spans="1:8" ht="19.8" customHeight="1" x14ac:dyDescent="0.3">
      <c r="A1652" s="98">
        <f t="shared" si="25"/>
        <v>11</v>
      </c>
      <c r="B1652" s="92" t="s">
        <v>3563</v>
      </c>
      <c r="C1652" s="92" t="s">
        <v>3564</v>
      </c>
      <c r="D1652" s="95">
        <v>1272759.6000000001</v>
      </c>
      <c r="E1652" s="95">
        <v>197980</v>
      </c>
      <c r="F1652" s="95">
        <v>1074779.6000000001</v>
      </c>
      <c r="G1652" s="95">
        <v>0</v>
      </c>
      <c r="H1652" s="95">
        <v>1074779.6000000001</v>
      </c>
    </row>
    <row r="1653" spans="1:8" ht="19.8" customHeight="1" x14ac:dyDescent="0.3">
      <c r="A1653" s="98">
        <f t="shared" si="25"/>
        <v>11</v>
      </c>
      <c r="B1653" s="92" t="s">
        <v>3565</v>
      </c>
      <c r="C1653" s="92" t="s">
        <v>3566</v>
      </c>
      <c r="D1653" s="95">
        <v>148247.66</v>
      </c>
      <c r="E1653" s="95">
        <v>0</v>
      </c>
      <c r="F1653" s="95">
        <v>148247.66</v>
      </c>
      <c r="G1653" s="95">
        <v>0</v>
      </c>
      <c r="H1653" s="95">
        <v>148247.66</v>
      </c>
    </row>
    <row r="1654" spans="1:8" ht="19.8" customHeight="1" x14ac:dyDescent="0.3">
      <c r="A1654" s="98">
        <f t="shared" si="25"/>
        <v>11</v>
      </c>
      <c r="B1654" s="92" t="s">
        <v>3567</v>
      </c>
      <c r="C1654" s="92" t="s">
        <v>3568</v>
      </c>
      <c r="D1654" s="95">
        <v>352084.53</v>
      </c>
      <c r="E1654" s="95">
        <v>25700</v>
      </c>
      <c r="F1654" s="95">
        <v>326384.53000000003</v>
      </c>
      <c r="G1654" s="95">
        <v>0</v>
      </c>
      <c r="H1654" s="95">
        <v>326384.53000000003</v>
      </c>
    </row>
    <row r="1655" spans="1:8" ht="19.8" customHeight="1" x14ac:dyDescent="0.3">
      <c r="A1655" s="98">
        <f t="shared" si="25"/>
        <v>11</v>
      </c>
      <c r="B1655" s="92" t="s">
        <v>3569</v>
      </c>
      <c r="C1655" s="92" t="s">
        <v>3570</v>
      </c>
      <c r="D1655" s="95">
        <v>1249398.3999999999</v>
      </c>
      <c r="E1655" s="95">
        <v>0</v>
      </c>
      <c r="F1655" s="95">
        <v>1249398.3999999999</v>
      </c>
      <c r="G1655" s="95">
        <v>0</v>
      </c>
      <c r="H1655" s="95">
        <v>1249398.3999999999</v>
      </c>
    </row>
    <row r="1656" spans="1:8" ht="19.8" customHeight="1" x14ac:dyDescent="0.3">
      <c r="A1656" s="98">
        <f t="shared" si="25"/>
        <v>11</v>
      </c>
      <c r="B1656" s="92" t="s">
        <v>748</v>
      </c>
      <c r="C1656" s="92" t="s">
        <v>663</v>
      </c>
      <c r="D1656" s="95">
        <v>2348.7800000000002</v>
      </c>
      <c r="E1656" s="95">
        <v>0</v>
      </c>
      <c r="F1656" s="95">
        <v>2348.7800000000002</v>
      </c>
      <c r="G1656" s="95">
        <v>0</v>
      </c>
      <c r="H1656" s="95">
        <v>2348.7800000000002</v>
      </c>
    </row>
    <row r="1657" spans="1:8" ht="19.8" customHeight="1" x14ac:dyDescent="0.3">
      <c r="A1657" s="98">
        <f t="shared" si="25"/>
        <v>11</v>
      </c>
      <c r="B1657" s="92" t="s">
        <v>749</v>
      </c>
      <c r="C1657" s="92" t="s">
        <v>750</v>
      </c>
      <c r="D1657" s="95">
        <v>3569.72</v>
      </c>
      <c r="E1657" s="95">
        <v>0</v>
      </c>
      <c r="F1657" s="95">
        <v>3569.72</v>
      </c>
      <c r="G1657" s="95">
        <v>0</v>
      </c>
      <c r="H1657" s="95">
        <v>3569.72</v>
      </c>
    </row>
    <row r="1658" spans="1:8" ht="19.8" customHeight="1" x14ac:dyDescent="0.3">
      <c r="A1658" s="98">
        <f t="shared" si="25"/>
        <v>11</v>
      </c>
      <c r="B1658" s="92" t="s">
        <v>3571</v>
      </c>
      <c r="C1658" s="92" t="s">
        <v>3572</v>
      </c>
      <c r="D1658" s="95">
        <v>7798339.4400000004</v>
      </c>
      <c r="E1658" s="95">
        <v>214844.55</v>
      </c>
      <c r="F1658" s="95">
        <v>7583494.8899999997</v>
      </c>
      <c r="G1658" s="95">
        <v>0</v>
      </c>
      <c r="H1658" s="95">
        <v>7583494.8899999997</v>
      </c>
    </row>
    <row r="1659" spans="1:8" ht="19.8" customHeight="1" x14ac:dyDescent="0.3">
      <c r="A1659" s="98">
        <f t="shared" si="25"/>
        <v>11</v>
      </c>
      <c r="B1659" s="92" t="s">
        <v>3573</v>
      </c>
      <c r="C1659" s="92" t="s">
        <v>3574</v>
      </c>
      <c r="D1659" s="95">
        <v>761960.14</v>
      </c>
      <c r="E1659" s="95">
        <v>25776</v>
      </c>
      <c r="F1659" s="95">
        <v>736184.14</v>
      </c>
      <c r="G1659" s="95">
        <v>0</v>
      </c>
      <c r="H1659" s="95">
        <v>736184.14</v>
      </c>
    </row>
    <row r="1660" spans="1:8" ht="19.8" customHeight="1" x14ac:dyDescent="0.3">
      <c r="A1660" s="98">
        <f t="shared" si="25"/>
        <v>11</v>
      </c>
      <c r="B1660" s="92" t="s">
        <v>3575</v>
      </c>
      <c r="C1660" s="92" t="s">
        <v>751</v>
      </c>
      <c r="D1660" s="95">
        <v>883934.71</v>
      </c>
      <c r="E1660" s="95">
        <v>0</v>
      </c>
      <c r="F1660" s="95">
        <v>883934.71</v>
      </c>
      <c r="G1660" s="95">
        <v>0</v>
      </c>
      <c r="H1660" s="95">
        <v>883934.71</v>
      </c>
    </row>
    <row r="1661" spans="1:8" ht="19.8" customHeight="1" x14ac:dyDescent="0.3">
      <c r="A1661" s="98">
        <f t="shared" si="25"/>
        <v>11</v>
      </c>
      <c r="B1661" s="92" t="s">
        <v>3576</v>
      </c>
      <c r="C1661" s="92" t="s">
        <v>437</v>
      </c>
      <c r="D1661" s="95">
        <v>12704241.07</v>
      </c>
      <c r="E1661" s="95">
        <v>539</v>
      </c>
      <c r="F1661" s="95">
        <v>12703702.07</v>
      </c>
      <c r="G1661" s="95">
        <v>0</v>
      </c>
      <c r="H1661" s="95">
        <v>12703702.07</v>
      </c>
    </row>
    <row r="1662" spans="1:8" ht="19.8" customHeight="1" x14ac:dyDescent="0.3">
      <c r="A1662" s="98">
        <f t="shared" si="25"/>
        <v>11</v>
      </c>
      <c r="B1662" s="92" t="s">
        <v>3577</v>
      </c>
      <c r="C1662" s="92" t="s">
        <v>438</v>
      </c>
      <c r="D1662" s="95">
        <v>55294.53</v>
      </c>
      <c r="E1662" s="95">
        <v>0</v>
      </c>
      <c r="F1662" s="95">
        <v>55294.53</v>
      </c>
      <c r="G1662" s="95">
        <v>0</v>
      </c>
      <c r="H1662" s="95">
        <v>55294.53</v>
      </c>
    </row>
    <row r="1663" spans="1:8" ht="19.8" customHeight="1" x14ac:dyDescent="0.3">
      <c r="A1663" s="98">
        <f t="shared" si="25"/>
        <v>11</v>
      </c>
      <c r="B1663" s="92" t="s">
        <v>3578</v>
      </c>
      <c r="C1663" s="92" t="s">
        <v>3579</v>
      </c>
      <c r="D1663" s="95">
        <v>8177104.1100000003</v>
      </c>
      <c r="E1663" s="95">
        <v>0</v>
      </c>
      <c r="F1663" s="95">
        <v>8177104.1100000003</v>
      </c>
      <c r="G1663" s="95">
        <v>0</v>
      </c>
      <c r="H1663" s="95">
        <v>8177104.1100000003</v>
      </c>
    </row>
    <row r="1664" spans="1:8" ht="19.8" customHeight="1" x14ac:dyDescent="0.3">
      <c r="A1664" s="98">
        <f t="shared" si="25"/>
        <v>11</v>
      </c>
      <c r="B1664" s="92" t="s">
        <v>3580</v>
      </c>
      <c r="C1664" s="92" t="s">
        <v>2443</v>
      </c>
      <c r="D1664" s="95">
        <v>36519.980000000003</v>
      </c>
      <c r="E1664" s="95">
        <v>0</v>
      </c>
      <c r="F1664" s="95">
        <v>36519.980000000003</v>
      </c>
      <c r="G1664" s="95">
        <v>0</v>
      </c>
      <c r="H1664" s="95">
        <v>36519.980000000003</v>
      </c>
    </row>
    <row r="1665" spans="1:8" ht="19.8" customHeight="1" x14ac:dyDescent="0.3">
      <c r="A1665" s="98">
        <f t="shared" si="25"/>
        <v>11</v>
      </c>
      <c r="B1665" s="92" t="s">
        <v>3581</v>
      </c>
      <c r="C1665" s="92" t="s">
        <v>439</v>
      </c>
      <c r="D1665" s="95">
        <v>11734801.01</v>
      </c>
      <c r="E1665" s="95">
        <v>0</v>
      </c>
      <c r="F1665" s="95">
        <v>11734801.01</v>
      </c>
      <c r="G1665" s="95">
        <v>0</v>
      </c>
      <c r="H1665" s="95">
        <v>11734801.01</v>
      </c>
    </row>
    <row r="1666" spans="1:8" ht="19.8" customHeight="1" x14ac:dyDescent="0.3">
      <c r="A1666" s="98">
        <f t="shared" si="25"/>
        <v>11</v>
      </c>
      <c r="B1666" s="92" t="s">
        <v>3582</v>
      </c>
      <c r="C1666" s="92" t="s">
        <v>3583</v>
      </c>
      <c r="D1666" s="95">
        <v>85000</v>
      </c>
      <c r="E1666" s="95">
        <v>0</v>
      </c>
      <c r="F1666" s="95">
        <v>85000</v>
      </c>
      <c r="G1666" s="95">
        <v>0</v>
      </c>
      <c r="H1666" s="95">
        <v>85000</v>
      </c>
    </row>
    <row r="1667" spans="1:8" ht="19.8" customHeight="1" x14ac:dyDescent="0.3">
      <c r="A1667" s="98">
        <f t="shared" ref="A1667:A1730" si="26">+LEN(B1667)</f>
        <v>11</v>
      </c>
      <c r="B1667" s="92" t="s">
        <v>3584</v>
      </c>
      <c r="C1667" s="92" t="s">
        <v>3585</v>
      </c>
      <c r="D1667" s="95">
        <v>1631572.33</v>
      </c>
      <c r="E1667" s="95">
        <v>608382.30000000005</v>
      </c>
      <c r="F1667" s="95">
        <v>1023190.03</v>
      </c>
      <c r="G1667" s="95">
        <v>0</v>
      </c>
      <c r="H1667" s="95">
        <v>1023190.03</v>
      </c>
    </row>
    <row r="1668" spans="1:8" ht="19.8" customHeight="1" x14ac:dyDescent="0.3">
      <c r="A1668" s="98">
        <f t="shared" si="26"/>
        <v>11</v>
      </c>
      <c r="B1668" s="92" t="s">
        <v>3586</v>
      </c>
      <c r="C1668" s="92" t="s">
        <v>3587</v>
      </c>
      <c r="D1668" s="95">
        <v>688922.73</v>
      </c>
      <c r="E1668" s="95">
        <v>516642.68</v>
      </c>
      <c r="F1668" s="95">
        <v>172280.05</v>
      </c>
      <c r="G1668" s="95">
        <v>0</v>
      </c>
      <c r="H1668" s="95">
        <v>172280.05</v>
      </c>
    </row>
    <row r="1669" spans="1:8" ht="19.8" customHeight="1" x14ac:dyDescent="0.3">
      <c r="A1669" s="98">
        <f t="shared" si="26"/>
        <v>11</v>
      </c>
      <c r="B1669" s="92" t="s">
        <v>3588</v>
      </c>
      <c r="C1669" s="92" t="s">
        <v>577</v>
      </c>
      <c r="D1669" s="95">
        <v>185287.78</v>
      </c>
      <c r="E1669" s="95">
        <v>531.36</v>
      </c>
      <c r="F1669" s="95">
        <v>184756.42</v>
      </c>
      <c r="G1669" s="95">
        <v>0</v>
      </c>
      <c r="H1669" s="95">
        <v>184756.42</v>
      </c>
    </row>
    <row r="1670" spans="1:8" ht="19.8" customHeight="1" x14ac:dyDescent="0.3">
      <c r="A1670" s="98">
        <f t="shared" si="26"/>
        <v>11</v>
      </c>
      <c r="B1670" s="92" t="s">
        <v>3589</v>
      </c>
      <c r="C1670" s="92" t="s">
        <v>580</v>
      </c>
      <c r="D1670" s="95">
        <v>236347.7</v>
      </c>
      <c r="E1670" s="95">
        <v>0</v>
      </c>
      <c r="F1670" s="95">
        <v>236347.7</v>
      </c>
      <c r="G1670" s="95">
        <v>0</v>
      </c>
      <c r="H1670" s="95">
        <v>236347.7</v>
      </c>
    </row>
    <row r="1671" spans="1:8" ht="19.8" customHeight="1" x14ac:dyDescent="0.3">
      <c r="A1671" s="98">
        <f t="shared" si="26"/>
        <v>11</v>
      </c>
      <c r="B1671" s="92" t="s">
        <v>3590</v>
      </c>
      <c r="C1671" s="92" t="s">
        <v>582</v>
      </c>
      <c r="D1671" s="95">
        <v>22040.28</v>
      </c>
      <c r="E1671" s="95">
        <v>0</v>
      </c>
      <c r="F1671" s="95">
        <v>22040.28</v>
      </c>
      <c r="G1671" s="95">
        <v>0</v>
      </c>
      <c r="H1671" s="95">
        <v>22040.28</v>
      </c>
    </row>
    <row r="1672" spans="1:8" ht="19.8" customHeight="1" x14ac:dyDescent="0.3">
      <c r="A1672" s="98">
        <f t="shared" si="26"/>
        <v>11</v>
      </c>
      <c r="B1672" s="92" t="s">
        <v>3591</v>
      </c>
      <c r="C1672" s="92" t="s">
        <v>517</v>
      </c>
      <c r="D1672" s="95">
        <v>79391568.400000006</v>
      </c>
      <c r="E1672" s="95">
        <v>748346.33</v>
      </c>
      <c r="F1672" s="95">
        <v>78643222.069999993</v>
      </c>
      <c r="G1672" s="95">
        <v>0</v>
      </c>
      <c r="H1672" s="95">
        <v>78643222.069999993</v>
      </c>
    </row>
    <row r="1673" spans="1:8" ht="19.8" customHeight="1" x14ac:dyDescent="0.3">
      <c r="A1673" s="98">
        <f t="shared" si="26"/>
        <v>11</v>
      </c>
      <c r="B1673" s="92" t="s">
        <v>3592</v>
      </c>
      <c r="C1673" s="92" t="s">
        <v>519</v>
      </c>
      <c r="D1673" s="95">
        <v>1186360.79</v>
      </c>
      <c r="E1673" s="95">
        <v>0</v>
      </c>
      <c r="F1673" s="95">
        <v>1186360.79</v>
      </c>
      <c r="G1673" s="95">
        <v>0</v>
      </c>
      <c r="H1673" s="95">
        <v>1186360.79</v>
      </c>
    </row>
    <row r="1674" spans="1:8" ht="19.8" customHeight="1" x14ac:dyDescent="0.3">
      <c r="A1674" s="98">
        <f t="shared" si="26"/>
        <v>11</v>
      </c>
      <c r="B1674" s="92" t="s">
        <v>3593</v>
      </c>
      <c r="C1674" s="92" t="s">
        <v>522</v>
      </c>
      <c r="D1674" s="95">
        <v>6219286.6100000003</v>
      </c>
      <c r="E1674" s="95">
        <v>51473.11</v>
      </c>
      <c r="F1674" s="95">
        <v>6167813.5</v>
      </c>
      <c r="G1674" s="95">
        <v>0</v>
      </c>
      <c r="H1674" s="95">
        <v>6167813.5</v>
      </c>
    </row>
    <row r="1675" spans="1:8" ht="19.8" customHeight="1" x14ac:dyDescent="0.3">
      <c r="A1675" s="98">
        <f t="shared" si="26"/>
        <v>11</v>
      </c>
      <c r="B1675" s="92" t="s">
        <v>3594</v>
      </c>
      <c r="C1675" s="92" t="s">
        <v>524</v>
      </c>
      <c r="D1675" s="95">
        <v>18944423.969999999</v>
      </c>
      <c r="E1675" s="95">
        <v>195209.08</v>
      </c>
      <c r="F1675" s="95">
        <v>18749214.890000001</v>
      </c>
      <c r="G1675" s="95">
        <v>0</v>
      </c>
      <c r="H1675" s="95">
        <v>18749214.890000001</v>
      </c>
    </row>
    <row r="1676" spans="1:8" ht="19.8" customHeight="1" x14ac:dyDescent="0.3">
      <c r="A1676" s="98">
        <f t="shared" si="26"/>
        <v>11</v>
      </c>
      <c r="B1676" s="92" t="s">
        <v>3595</v>
      </c>
      <c r="C1676" s="92" t="s">
        <v>526</v>
      </c>
      <c r="D1676" s="95">
        <v>677002.33</v>
      </c>
      <c r="E1676" s="95">
        <v>0</v>
      </c>
      <c r="F1676" s="95">
        <v>677002.33</v>
      </c>
      <c r="G1676" s="95">
        <v>0</v>
      </c>
      <c r="H1676" s="95">
        <v>677002.33</v>
      </c>
    </row>
    <row r="1677" spans="1:8" ht="19.8" customHeight="1" x14ac:dyDescent="0.3">
      <c r="A1677" s="98">
        <f t="shared" si="26"/>
        <v>11</v>
      </c>
      <c r="B1677" s="92" t="s">
        <v>3596</v>
      </c>
      <c r="C1677" s="92" t="s">
        <v>528</v>
      </c>
      <c r="D1677" s="95">
        <v>1847993.04</v>
      </c>
      <c r="E1677" s="95">
        <v>19044.8</v>
      </c>
      <c r="F1677" s="95">
        <v>1828948.24</v>
      </c>
      <c r="G1677" s="95">
        <v>0</v>
      </c>
      <c r="H1677" s="95">
        <v>1828948.24</v>
      </c>
    </row>
    <row r="1678" spans="1:8" ht="19.8" customHeight="1" x14ac:dyDescent="0.3">
      <c r="A1678" s="98">
        <f t="shared" si="26"/>
        <v>11</v>
      </c>
      <c r="B1678" s="92" t="s">
        <v>3597</v>
      </c>
      <c r="C1678" s="92" t="s">
        <v>530</v>
      </c>
      <c r="D1678" s="95">
        <v>465982.59</v>
      </c>
      <c r="E1678" s="95">
        <v>3776.91</v>
      </c>
      <c r="F1678" s="95">
        <v>462205.68</v>
      </c>
      <c r="G1678" s="95">
        <v>0</v>
      </c>
      <c r="H1678" s="95">
        <v>462205.68</v>
      </c>
    </row>
    <row r="1679" spans="1:8" ht="19.8" customHeight="1" x14ac:dyDescent="0.3">
      <c r="A1679" s="98">
        <f t="shared" si="26"/>
        <v>11</v>
      </c>
      <c r="B1679" s="92" t="s">
        <v>3598</v>
      </c>
      <c r="C1679" s="92" t="s">
        <v>555</v>
      </c>
      <c r="D1679" s="95">
        <v>4578446.82</v>
      </c>
      <c r="E1679" s="95">
        <v>363.64</v>
      </c>
      <c r="F1679" s="95">
        <v>4578083.18</v>
      </c>
      <c r="G1679" s="95">
        <v>0</v>
      </c>
      <c r="H1679" s="95">
        <v>4578083.18</v>
      </c>
    </row>
    <row r="1680" spans="1:8" ht="19.8" customHeight="1" x14ac:dyDescent="0.3">
      <c r="A1680" s="98">
        <f t="shared" si="26"/>
        <v>11</v>
      </c>
      <c r="B1680" s="92" t="s">
        <v>3599</v>
      </c>
      <c r="C1680" s="92" t="s">
        <v>532</v>
      </c>
      <c r="D1680" s="95">
        <v>3624624.04</v>
      </c>
      <c r="E1680" s="95">
        <v>85565.86</v>
      </c>
      <c r="F1680" s="95">
        <v>3539058.18</v>
      </c>
      <c r="G1680" s="95">
        <v>0</v>
      </c>
      <c r="H1680" s="95">
        <v>3539058.18</v>
      </c>
    </row>
    <row r="1681" spans="1:8" ht="19.8" customHeight="1" x14ac:dyDescent="0.3">
      <c r="A1681" s="98">
        <f t="shared" si="26"/>
        <v>11</v>
      </c>
      <c r="B1681" s="92" t="s">
        <v>3600</v>
      </c>
      <c r="C1681" s="92" t="s">
        <v>534</v>
      </c>
      <c r="D1681" s="95">
        <v>441266.26</v>
      </c>
      <c r="E1681" s="95">
        <v>0</v>
      </c>
      <c r="F1681" s="95">
        <v>441266.26</v>
      </c>
      <c r="G1681" s="95">
        <v>0</v>
      </c>
      <c r="H1681" s="95">
        <v>441266.26</v>
      </c>
    </row>
    <row r="1682" spans="1:8" ht="19.8" customHeight="1" x14ac:dyDescent="0.3">
      <c r="A1682" s="98">
        <f t="shared" si="26"/>
        <v>11</v>
      </c>
      <c r="B1682" s="92" t="s">
        <v>3601</v>
      </c>
      <c r="C1682" s="92" t="s">
        <v>536</v>
      </c>
      <c r="D1682" s="95">
        <v>13794067.880000001</v>
      </c>
      <c r="E1682" s="95">
        <v>152419.60999999999</v>
      </c>
      <c r="F1682" s="95">
        <v>13641648.27</v>
      </c>
      <c r="G1682" s="95">
        <v>0</v>
      </c>
      <c r="H1682" s="95">
        <v>13641648.27</v>
      </c>
    </row>
    <row r="1683" spans="1:8" ht="19.8" customHeight="1" x14ac:dyDescent="0.3">
      <c r="A1683" s="98">
        <f t="shared" si="26"/>
        <v>11</v>
      </c>
      <c r="B1683" s="92" t="s">
        <v>3602</v>
      </c>
      <c r="C1683" s="92" t="s">
        <v>2385</v>
      </c>
      <c r="D1683" s="95">
        <v>320855.81</v>
      </c>
      <c r="E1683" s="95">
        <v>0</v>
      </c>
      <c r="F1683" s="95">
        <v>320855.81</v>
      </c>
      <c r="G1683" s="95">
        <v>0</v>
      </c>
      <c r="H1683" s="95">
        <v>320855.81</v>
      </c>
    </row>
    <row r="1684" spans="1:8" ht="19.8" customHeight="1" x14ac:dyDescent="0.3">
      <c r="A1684" s="98">
        <f t="shared" si="26"/>
        <v>7</v>
      </c>
      <c r="B1684" s="92" t="s">
        <v>3603</v>
      </c>
      <c r="C1684" s="92" t="s">
        <v>3604</v>
      </c>
      <c r="D1684" s="95">
        <v>357797662.01999998</v>
      </c>
      <c r="E1684" s="95">
        <v>9748193.2799999993</v>
      </c>
      <c r="F1684" s="95">
        <v>348049468.74000001</v>
      </c>
      <c r="G1684" s="95">
        <v>0</v>
      </c>
      <c r="H1684" s="95">
        <v>348049468.74000001</v>
      </c>
    </row>
    <row r="1685" spans="1:8" ht="19.8" customHeight="1" x14ac:dyDescent="0.3">
      <c r="A1685" s="98">
        <f t="shared" si="26"/>
        <v>11</v>
      </c>
      <c r="B1685" s="92" t="s">
        <v>3605</v>
      </c>
      <c r="C1685" s="92" t="s">
        <v>3606</v>
      </c>
      <c r="D1685" s="95">
        <v>91274882.549999997</v>
      </c>
      <c r="E1685" s="95">
        <v>3871272.32</v>
      </c>
      <c r="F1685" s="95">
        <v>87403610.230000004</v>
      </c>
      <c r="G1685" s="95">
        <v>0</v>
      </c>
      <c r="H1685" s="95">
        <v>87403610.230000004</v>
      </c>
    </row>
    <row r="1686" spans="1:8" ht="19.8" customHeight="1" x14ac:dyDescent="0.3">
      <c r="A1686" s="98">
        <f t="shared" si="26"/>
        <v>11</v>
      </c>
      <c r="B1686" s="92" t="s">
        <v>3607</v>
      </c>
      <c r="C1686" s="92" t="s">
        <v>3608</v>
      </c>
      <c r="D1686" s="95">
        <v>4901434.2300000004</v>
      </c>
      <c r="E1686" s="95">
        <v>0</v>
      </c>
      <c r="F1686" s="95">
        <v>4901434.2300000004</v>
      </c>
      <c r="G1686" s="95">
        <v>0</v>
      </c>
      <c r="H1686" s="95">
        <v>4901434.2300000004</v>
      </c>
    </row>
    <row r="1687" spans="1:8" ht="19.8" customHeight="1" x14ac:dyDescent="0.3">
      <c r="A1687" s="98">
        <f t="shared" si="26"/>
        <v>11</v>
      </c>
      <c r="B1687" s="92" t="s">
        <v>3609</v>
      </c>
      <c r="C1687" s="92" t="s">
        <v>3610</v>
      </c>
      <c r="D1687" s="95">
        <v>65829.600000000006</v>
      </c>
      <c r="E1687" s="95">
        <v>0</v>
      </c>
      <c r="F1687" s="95">
        <v>65829.600000000006</v>
      </c>
      <c r="G1687" s="95">
        <v>0</v>
      </c>
      <c r="H1687" s="95">
        <v>65829.600000000006</v>
      </c>
    </row>
    <row r="1688" spans="1:8" ht="19.8" customHeight="1" x14ac:dyDescent="0.3">
      <c r="A1688" s="98">
        <f t="shared" si="26"/>
        <v>11</v>
      </c>
      <c r="B1688" s="92" t="s">
        <v>3611</v>
      </c>
      <c r="C1688" s="92" t="s">
        <v>3612</v>
      </c>
      <c r="D1688" s="95">
        <v>1962888.89</v>
      </c>
      <c r="E1688" s="95">
        <v>0</v>
      </c>
      <c r="F1688" s="95">
        <v>1962888.89</v>
      </c>
      <c r="G1688" s="95">
        <v>0</v>
      </c>
      <c r="H1688" s="95">
        <v>1962888.89</v>
      </c>
    </row>
    <row r="1689" spans="1:8" ht="19.8" customHeight="1" x14ac:dyDescent="0.3">
      <c r="A1689" s="98">
        <f t="shared" si="26"/>
        <v>11</v>
      </c>
      <c r="B1689" s="92" t="s">
        <v>3613</v>
      </c>
      <c r="C1689" s="92" t="s">
        <v>3614</v>
      </c>
      <c r="D1689" s="95">
        <v>85994563.269999996</v>
      </c>
      <c r="E1689" s="95">
        <v>965544.39</v>
      </c>
      <c r="F1689" s="95">
        <v>85029018.879999995</v>
      </c>
      <c r="G1689" s="95">
        <v>0</v>
      </c>
      <c r="H1689" s="95">
        <v>85029018.879999995</v>
      </c>
    </row>
    <row r="1690" spans="1:8" ht="19.8" customHeight="1" x14ac:dyDescent="0.3">
      <c r="A1690" s="98">
        <f t="shared" si="26"/>
        <v>11</v>
      </c>
      <c r="B1690" s="92" t="s">
        <v>3615</v>
      </c>
      <c r="C1690" s="92" t="s">
        <v>3616</v>
      </c>
      <c r="D1690" s="95">
        <v>96907.27</v>
      </c>
      <c r="E1690" s="95">
        <v>0</v>
      </c>
      <c r="F1690" s="95">
        <v>96907.27</v>
      </c>
      <c r="G1690" s="95">
        <v>0</v>
      </c>
      <c r="H1690" s="95">
        <v>96907.27</v>
      </c>
    </row>
    <row r="1691" spans="1:8" ht="19.8" customHeight="1" x14ac:dyDescent="0.3">
      <c r="A1691" s="98">
        <f t="shared" si="26"/>
        <v>11</v>
      </c>
      <c r="B1691" s="92" t="s">
        <v>3617</v>
      </c>
      <c r="C1691" s="92" t="s">
        <v>3618</v>
      </c>
      <c r="D1691" s="95">
        <v>3269824.79</v>
      </c>
      <c r="E1691" s="95">
        <v>94691.72</v>
      </c>
      <c r="F1691" s="95">
        <v>3175133.07</v>
      </c>
      <c r="G1691" s="95">
        <v>0</v>
      </c>
      <c r="H1691" s="95">
        <v>3175133.07</v>
      </c>
    </row>
    <row r="1692" spans="1:8" ht="19.8" customHeight="1" x14ac:dyDescent="0.3">
      <c r="A1692" s="98">
        <f t="shared" si="26"/>
        <v>11</v>
      </c>
      <c r="B1692" s="92" t="s">
        <v>3619</v>
      </c>
      <c r="C1692" s="92" t="s">
        <v>3620</v>
      </c>
      <c r="D1692" s="95">
        <v>18187170.379999999</v>
      </c>
      <c r="E1692" s="95">
        <v>890069.1</v>
      </c>
      <c r="F1692" s="95">
        <v>17297101.280000001</v>
      </c>
      <c r="G1692" s="95">
        <v>0</v>
      </c>
      <c r="H1692" s="95">
        <v>17297101.280000001</v>
      </c>
    </row>
    <row r="1693" spans="1:8" ht="19.8" customHeight="1" x14ac:dyDescent="0.3">
      <c r="A1693" s="98">
        <f t="shared" si="26"/>
        <v>11</v>
      </c>
      <c r="B1693" s="92" t="s">
        <v>3621</v>
      </c>
      <c r="C1693" s="92" t="s">
        <v>3174</v>
      </c>
      <c r="D1693" s="95">
        <v>2101276.29</v>
      </c>
      <c r="E1693" s="95">
        <v>104253.87</v>
      </c>
      <c r="F1693" s="95">
        <v>1997022.42</v>
      </c>
      <c r="G1693" s="95">
        <v>0</v>
      </c>
      <c r="H1693" s="95">
        <v>1997022.42</v>
      </c>
    </row>
    <row r="1694" spans="1:8" ht="19.8" customHeight="1" x14ac:dyDescent="0.3">
      <c r="A1694" s="98">
        <f t="shared" si="26"/>
        <v>11</v>
      </c>
      <c r="B1694" s="92" t="s">
        <v>3622</v>
      </c>
      <c r="C1694" s="92" t="s">
        <v>3623</v>
      </c>
      <c r="D1694" s="95">
        <v>22012612.059999999</v>
      </c>
      <c r="E1694" s="95">
        <v>185833.96</v>
      </c>
      <c r="F1694" s="95">
        <v>21826778.100000001</v>
      </c>
      <c r="G1694" s="95">
        <v>0</v>
      </c>
      <c r="H1694" s="95">
        <v>21826778.100000001</v>
      </c>
    </row>
    <row r="1695" spans="1:8" ht="19.8" customHeight="1" x14ac:dyDescent="0.3">
      <c r="A1695" s="98">
        <f t="shared" si="26"/>
        <v>11</v>
      </c>
      <c r="B1695" s="92" t="s">
        <v>3624</v>
      </c>
      <c r="C1695" s="92" t="s">
        <v>3250</v>
      </c>
      <c r="D1695" s="95">
        <v>33041.67</v>
      </c>
      <c r="E1695" s="95">
        <v>0</v>
      </c>
      <c r="F1695" s="95">
        <v>33041.67</v>
      </c>
      <c r="G1695" s="95">
        <v>0</v>
      </c>
      <c r="H1695" s="95">
        <v>33041.67</v>
      </c>
    </row>
    <row r="1696" spans="1:8" ht="19.8" customHeight="1" x14ac:dyDescent="0.3">
      <c r="A1696" s="98">
        <f t="shared" si="26"/>
        <v>11</v>
      </c>
      <c r="B1696" s="92" t="s">
        <v>3625</v>
      </c>
      <c r="C1696" s="92" t="s">
        <v>3626</v>
      </c>
      <c r="D1696" s="95">
        <v>767559.77</v>
      </c>
      <c r="E1696" s="95">
        <v>12651.32</v>
      </c>
      <c r="F1696" s="95">
        <v>754908.45</v>
      </c>
      <c r="G1696" s="95">
        <v>0</v>
      </c>
      <c r="H1696" s="95">
        <v>754908.45</v>
      </c>
    </row>
    <row r="1697" spans="1:8" ht="19.8" customHeight="1" x14ac:dyDescent="0.3">
      <c r="A1697" s="98">
        <f t="shared" si="26"/>
        <v>11</v>
      </c>
      <c r="B1697" s="92" t="s">
        <v>3627</v>
      </c>
      <c r="C1697" s="92" t="s">
        <v>3628</v>
      </c>
      <c r="D1697" s="95">
        <v>282408.68</v>
      </c>
      <c r="E1697" s="95">
        <v>15000</v>
      </c>
      <c r="F1697" s="95">
        <v>267408.68</v>
      </c>
      <c r="G1697" s="95">
        <v>0</v>
      </c>
      <c r="H1697" s="95">
        <v>267408.68</v>
      </c>
    </row>
    <row r="1698" spans="1:8" ht="19.8" customHeight="1" x14ac:dyDescent="0.3">
      <c r="A1698" s="98">
        <f t="shared" si="26"/>
        <v>11</v>
      </c>
      <c r="B1698" s="92" t="s">
        <v>3629</v>
      </c>
      <c r="C1698" s="92" t="s">
        <v>3630</v>
      </c>
      <c r="D1698" s="95">
        <v>419469.93</v>
      </c>
      <c r="E1698" s="95">
        <v>86323.62</v>
      </c>
      <c r="F1698" s="95">
        <v>333146.31</v>
      </c>
      <c r="G1698" s="95">
        <v>0</v>
      </c>
      <c r="H1698" s="95">
        <v>333146.31</v>
      </c>
    </row>
    <row r="1699" spans="1:8" ht="19.8" customHeight="1" x14ac:dyDescent="0.3">
      <c r="A1699" s="98">
        <f t="shared" si="26"/>
        <v>11</v>
      </c>
      <c r="B1699" s="92" t="s">
        <v>3631</v>
      </c>
      <c r="C1699" s="92" t="s">
        <v>3632</v>
      </c>
      <c r="D1699" s="95">
        <v>140934.41</v>
      </c>
      <c r="E1699" s="95">
        <v>82775</v>
      </c>
      <c r="F1699" s="95">
        <v>58159.41</v>
      </c>
      <c r="G1699" s="95">
        <v>0</v>
      </c>
      <c r="H1699" s="95">
        <v>58159.41</v>
      </c>
    </row>
    <row r="1700" spans="1:8" ht="19.8" customHeight="1" x14ac:dyDescent="0.3">
      <c r="A1700" s="98">
        <f t="shared" si="26"/>
        <v>11</v>
      </c>
      <c r="B1700" s="92" t="s">
        <v>3633</v>
      </c>
      <c r="C1700" s="92" t="s">
        <v>3634</v>
      </c>
      <c r="D1700" s="95">
        <v>2636609.66</v>
      </c>
      <c r="E1700" s="95">
        <v>428.05</v>
      </c>
      <c r="F1700" s="95">
        <v>2636181.61</v>
      </c>
      <c r="G1700" s="95">
        <v>0</v>
      </c>
      <c r="H1700" s="95">
        <v>2636181.61</v>
      </c>
    </row>
    <row r="1701" spans="1:8" ht="19.8" customHeight="1" x14ac:dyDescent="0.3">
      <c r="A1701" s="98">
        <f t="shared" si="26"/>
        <v>11</v>
      </c>
      <c r="B1701" s="92" t="s">
        <v>3635</v>
      </c>
      <c r="C1701" s="92" t="s">
        <v>3636</v>
      </c>
      <c r="D1701" s="95">
        <v>5724827.6200000001</v>
      </c>
      <c r="E1701" s="95">
        <v>3207803.24</v>
      </c>
      <c r="F1701" s="95">
        <v>2517024.38</v>
      </c>
      <c r="G1701" s="95">
        <v>0</v>
      </c>
      <c r="H1701" s="95">
        <v>2517024.38</v>
      </c>
    </row>
    <row r="1702" spans="1:8" ht="19.8" customHeight="1" x14ac:dyDescent="0.3">
      <c r="A1702" s="98">
        <f t="shared" si="26"/>
        <v>11</v>
      </c>
      <c r="B1702" s="92" t="s">
        <v>3637</v>
      </c>
      <c r="C1702" s="92" t="s">
        <v>3638</v>
      </c>
      <c r="D1702" s="95">
        <v>40000</v>
      </c>
      <c r="E1702" s="95">
        <v>0</v>
      </c>
      <c r="F1702" s="95">
        <v>40000</v>
      </c>
      <c r="G1702" s="95">
        <v>0</v>
      </c>
      <c r="H1702" s="95">
        <v>40000</v>
      </c>
    </row>
    <row r="1703" spans="1:8" ht="19.8" customHeight="1" x14ac:dyDescent="0.3">
      <c r="A1703" s="98">
        <f t="shared" si="26"/>
        <v>11</v>
      </c>
      <c r="B1703" s="92" t="s">
        <v>3639</v>
      </c>
      <c r="C1703" s="92" t="s">
        <v>3640</v>
      </c>
      <c r="D1703" s="95">
        <v>4265260.37</v>
      </c>
      <c r="E1703" s="95">
        <v>0</v>
      </c>
      <c r="F1703" s="95">
        <v>4265260.37</v>
      </c>
      <c r="G1703" s="95">
        <v>0</v>
      </c>
      <c r="H1703" s="95">
        <v>4265260.37</v>
      </c>
    </row>
    <row r="1704" spans="1:8" ht="19.8" customHeight="1" x14ac:dyDescent="0.3">
      <c r="A1704" s="98">
        <f t="shared" si="26"/>
        <v>11</v>
      </c>
      <c r="B1704" s="92" t="s">
        <v>3641</v>
      </c>
      <c r="C1704" s="92" t="s">
        <v>3642</v>
      </c>
      <c r="D1704" s="95">
        <v>43116995.509999998</v>
      </c>
      <c r="E1704" s="95">
        <v>68586.960000000006</v>
      </c>
      <c r="F1704" s="95">
        <v>43048408.549999997</v>
      </c>
      <c r="G1704" s="95">
        <v>0</v>
      </c>
      <c r="H1704" s="95">
        <v>43048408.549999997</v>
      </c>
    </row>
    <row r="1705" spans="1:8" ht="19.8" customHeight="1" x14ac:dyDescent="0.3">
      <c r="A1705" s="98">
        <f t="shared" si="26"/>
        <v>11</v>
      </c>
      <c r="B1705" s="92" t="s">
        <v>3643</v>
      </c>
      <c r="C1705" s="92" t="s">
        <v>3644</v>
      </c>
      <c r="D1705" s="95">
        <v>12884956.84</v>
      </c>
      <c r="E1705" s="95">
        <v>0</v>
      </c>
      <c r="F1705" s="95">
        <v>12884956.84</v>
      </c>
      <c r="G1705" s="95">
        <v>0</v>
      </c>
      <c r="H1705" s="95">
        <v>12884956.84</v>
      </c>
    </row>
    <row r="1706" spans="1:8" ht="19.8" customHeight="1" x14ac:dyDescent="0.3">
      <c r="A1706" s="98">
        <f t="shared" si="26"/>
        <v>11</v>
      </c>
      <c r="B1706" s="92" t="s">
        <v>3645</v>
      </c>
      <c r="C1706" s="92" t="s">
        <v>3646</v>
      </c>
      <c r="D1706" s="95">
        <v>22482164.109999999</v>
      </c>
      <c r="E1706" s="95">
        <v>0</v>
      </c>
      <c r="F1706" s="95">
        <v>22482164.109999999</v>
      </c>
      <c r="G1706" s="95">
        <v>0</v>
      </c>
      <c r="H1706" s="95">
        <v>22482164.109999999</v>
      </c>
    </row>
    <row r="1707" spans="1:8" ht="19.8" customHeight="1" x14ac:dyDescent="0.3">
      <c r="A1707" s="98">
        <f t="shared" si="26"/>
        <v>11</v>
      </c>
      <c r="B1707" s="92" t="s">
        <v>3647</v>
      </c>
      <c r="C1707" s="92" t="s">
        <v>3648</v>
      </c>
      <c r="D1707" s="95">
        <v>426147.84000000003</v>
      </c>
      <c r="E1707" s="95">
        <v>0</v>
      </c>
      <c r="F1707" s="95">
        <v>426147.84000000003</v>
      </c>
      <c r="G1707" s="95">
        <v>0</v>
      </c>
      <c r="H1707" s="95">
        <v>426147.84000000003</v>
      </c>
    </row>
    <row r="1708" spans="1:8" ht="19.8" customHeight="1" x14ac:dyDescent="0.3">
      <c r="A1708" s="98">
        <f t="shared" si="26"/>
        <v>11</v>
      </c>
      <c r="B1708" s="92" t="s">
        <v>3649</v>
      </c>
      <c r="C1708" s="92" t="s">
        <v>3650</v>
      </c>
      <c r="D1708" s="95">
        <v>464886.9</v>
      </c>
      <c r="E1708" s="95">
        <v>0</v>
      </c>
      <c r="F1708" s="95">
        <v>464886.9</v>
      </c>
      <c r="G1708" s="95">
        <v>0</v>
      </c>
      <c r="H1708" s="95">
        <v>464886.9</v>
      </c>
    </row>
    <row r="1709" spans="1:8" ht="19.8" customHeight="1" x14ac:dyDescent="0.3">
      <c r="A1709" s="98">
        <f t="shared" si="26"/>
        <v>11</v>
      </c>
      <c r="B1709" s="92" t="s">
        <v>3651</v>
      </c>
      <c r="C1709" s="92" t="s">
        <v>3652</v>
      </c>
      <c r="D1709" s="95">
        <v>356041.42</v>
      </c>
      <c r="E1709" s="95">
        <v>0</v>
      </c>
      <c r="F1709" s="95">
        <v>356041.42</v>
      </c>
      <c r="G1709" s="95">
        <v>0</v>
      </c>
      <c r="H1709" s="95">
        <v>356041.42</v>
      </c>
    </row>
    <row r="1710" spans="1:8" ht="19.8" customHeight="1" x14ac:dyDescent="0.3">
      <c r="A1710" s="98">
        <f t="shared" si="26"/>
        <v>11</v>
      </c>
      <c r="B1710" s="92" t="s">
        <v>3653</v>
      </c>
      <c r="C1710" s="92" t="s">
        <v>3654</v>
      </c>
      <c r="D1710" s="95">
        <v>2086643.3</v>
      </c>
      <c r="E1710" s="95">
        <v>0</v>
      </c>
      <c r="F1710" s="95">
        <v>2086643.3</v>
      </c>
      <c r="G1710" s="95">
        <v>0</v>
      </c>
      <c r="H1710" s="95">
        <v>2086643.3</v>
      </c>
    </row>
    <row r="1711" spans="1:8" ht="19.8" customHeight="1" x14ac:dyDescent="0.3">
      <c r="A1711" s="98">
        <f t="shared" si="26"/>
        <v>11</v>
      </c>
      <c r="B1711" s="92" t="s">
        <v>3655</v>
      </c>
      <c r="C1711" s="92" t="s">
        <v>3656</v>
      </c>
      <c r="D1711" s="95">
        <v>405989.96</v>
      </c>
      <c r="E1711" s="95">
        <v>0</v>
      </c>
      <c r="F1711" s="95">
        <v>405989.96</v>
      </c>
      <c r="G1711" s="95">
        <v>0</v>
      </c>
      <c r="H1711" s="95">
        <v>405989.96</v>
      </c>
    </row>
    <row r="1712" spans="1:8" ht="19.8" customHeight="1" x14ac:dyDescent="0.3">
      <c r="A1712" s="98">
        <f t="shared" si="26"/>
        <v>11</v>
      </c>
      <c r="B1712" s="92" t="s">
        <v>3657</v>
      </c>
      <c r="C1712" s="92" t="s">
        <v>3658</v>
      </c>
      <c r="D1712" s="95">
        <v>1840323.2</v>
      </c>
      <c r="E1712" s="95">
        <v>42.44</v>
      </c>
      <c r="F1712" s="95">
        <v>1840280.76</v>
      </c>
      <c r="G1712" s="95">
        <v>0</v>
      </c>
      <c r="H1712" s="95">
        <v>1840280.76</v>
      </c>
    </row>
    <row r="1713" spans="1:8" ht="19.8" customHeight="1" x14ac:dyDescent="0.3">
      <c r="A1713" s="98">
        <f t="shared" si="26"/>
        <v>11</v>
      </c>
      <c r="B1713" s="92" t="s">
        <v>3659</v>
      </c>
      <c r="C1713" s="92" t="s">
        <v>3660</v>
      </c>
      <c r="D1713" s="95">
        <v>5715939.8700000001</v>
      </c>
      <c r="E1713" s="95">
        <v>0</v>
      </c>
      <c r="F1713" s="95">
        <v>5715939.8700000001</v>
      </c>
      <c r="G1713" s="95">
        <v>0</v>
      </c>
      <c r="H1713" s="95">
        <v>5715939.8700000001</v>
      </c>
    </row>
    <row r="1714" spans="1:8" ht="19.8" customHeight="1" x14ac:dyDescent="0.3">
      <c r="A1714" s="98">
        <f t="shared" si="26"/>
        <v>11</v>
      </c>
      <c r="B1714" s="92" t="s">
        <v>3661</v>
      </c>
      <c r="C1714" s="92" t="s">
        <v>3662</v>
      </c>
      <c r="D1714" s="95">
        <v>2012384.72</v>
      </c>
      <c r="E1714" s="95">
        <v>0</v>
      </c>
      <c r="F1714" s="95">
        <v>2012384.72</v>
      </c>
      <c r="G1714" s="95">
        <v>0</v>
      </c>
      <c r="H1714" s="95">
        <v>2012384.72</v>
      </c>
    </row>
    <row r="1715" spans="1:8" ht="19.8" customHeight="1" x14ac:dyDescent="0.3">
      <c r="A1715" s="98">
        <f t="shared" si="26"/>
        <v>11</v>
      </c>
      <c r="B1715" s="92" t="s">
        <v>3663</v>
      </c>
      <c r="C1715" s="92" t="s">
        <v>3664</v>
      </c>
      <c r="D1715" s="95">
        <v>1193130.01</v>
      </c>
      <c r="E1715" s="95">
        <v>0</v>
      </c>
      <c r="F1715" s="95">
        <v>1193130.01</v>
      </c>
      <c r="G1715" s="95">
        <v>0</v>
      </c>
      <c r="H1715" s="95">
        <v>1193130.01</v>
      </c>
    </row>
    <row r="1716" spans="1:8" ht="19.8" customHeight="1" x14ac:dyDescent="0.3">
      <c r="A1716" s="98">
        <f t="shared" si="26"/>
        <v>11</v>
      </c>
      <c r="B1716" s="92" t="s">
        <v>3665</v>
      </c>
      <c r="C1716" s="92" t="s">
        <v>3666</v>
      </c>
      <c r="D1716" s="95">
        <v>6062.73</v>
      </c>
      <c r="E1716" s="95">
        <v>1131.81</v>
      </c>
      <c r="F1716" s="95">
        <v>4930.92</v>
      </c>
      <c r="G1716" s="95">
        <v>0</v>
      </c>
      <c r="H1716" s="95">
        <v>4930.92</v>
      </c>
    </row>
    <row r="1717" spans="1:8" ht="19.8" customHeight="1" x14ac:dyDescent="0.3">
      <c r="A1717" s="98">
        <f t="shared" si="26"/>
        <v>11</v>
      </c>
      <c r="B1717" s="92" t="s">
        <v>3667</v>
      </c>
      <c r="C1717" s="92" t="s">
        <v>3668</v>
      </c>
      <c r="D1717" s="95">
        <v>207564.5</v>
      </c>
      <c r="E1717" s="95">
        <v>35149.910000000003</v>
      </c>
      <c r="F1717" s="95">
        <v>172414.59</v>
      </c>
      <c r="G1717" s="95">
        <v>0</v>
      </c>
      <c r="H1717" s="95">
        <v>172414.59</v>
      </c>
    </row>
    <row r="1718" spans="1:8" ht="19.8" customHeight="1" x14ac:dyDescent="0.3">
      <c r="A1718" s="98">
        <f t="shared" si="26"/>
        <v>11</v>
      </c>
      <c r="B1718" s="92" t="s">
        <v>3669</v>
      </c>
      <c r="C1718" s="92" t="s">
        <v>3670</v>
      </c>
      <c r="D1718" s="95">
        <v>530.59</v>
      </c>
      <c r="E1718" s="95">
        <v>530.59</v>
      </c>
      <c r="F1718" s="95">
        <v>0</v>
      </c>
      <c r="G1718" s="95">
        <v>0</v>
      </c>
      <c r="H1718" s="95">
        <v>0</v>
      </c>
    </row>
    <row r="1719" spans="1:8" ht="19.8" customHeight="1" x14ac:dyDescent="0.3">
      <c r="A1719" s="98">
        <f t="shared" si="26"/>
        <v>11</v>
      </c>
      <c r="B1719" s="92" t="s">
        <v>3671</v>
      </c>
      <c r="C1719" s="92" t="s">
        <v>3672</v>
      </c>
      <c r="D1719" s="95">
        <v>94500</v>
      </c>
      <c r="E1719" s="95">
        <v>0</v>
      </c>
      <c r="F1719" s="95">
        <v>94500</v>
      </c>
      <c r="G1719" s="95">
        <v>0</v>
      </c>
      <c r="H1719" s="95">
        <v>94500</v>
      </c>
    </row>
    <row r="1720" spans="1:8" ht="19.8" customHeight="1" x14ac:dyDescent="0.3">
      <c r="A1720" s="98">
        <f t="shared" si="26"/>
        <v>11</v>
      </c>
      <c r="B1720" s="92" t="s">
        <v>3673</v>
      </c>
      <c r="C1720" s="92" t="s">
        <v>3674</v>
      </c>
      <c r="D1720" s="95">
        <v>14586939.75</v>
      </c>
      <c r="E1720" s="95">
        <v>22328.68</v>
      </c>
      <c r="F1720" s="95">
        <v>14564611.07</v>
      </c>
      <c r="G1720" s="95">
        <v>0</v>
      </c>
      <c r="H1720" s="95">
        <v>14564611.07</v>
      </c>
    </row>
    <row r="1721" spans="1:8" ht="19.8" customHeight="1" x14ac:dyDescent="0.3">
      <c r="A1721" s="98">
        <f t="shared" si="26"/>
        <v>11</v>
      </c>
      <c r="B1721" s="92" t="s">
        <v>3675</v>
      </c>
      <c r="C1721" s="92" t="s">
        <v>3676</v>
      </c>
      <c r="D1721" s="95">
        <v>704322.44</v>
      </c>
      <c r="E1721" s="95">
        <v>0</v>
      </c>
      <c r="F1721" s="95">
        <v>704322.44</v>
      </c>
      <c r="G1721" s="95">
        <v>0</v>
      </c>
      <c r="H1721" s="95">
        <v>704322.44</v>
      </c>
    </row>
    <row r="1722" spans="1:8" ht="19.8" customHeight="1" x14ac:dyDescent="0.3">
      <c r="A1722" s="98">
        <f t="shared" si="26"/>
        <v>11</v>
      </c>
      <c r="B1722" s="92" t="s">
        <v>3677</v>
      </c>
      <c r="C1722" s="92" t="s">
        <v>2659</v>
      </c>
      <c r="D1722" s="95">
        <v>1828934.44</v>
      </c>
      <c r="E1722" s="95">
        <v>0</v>
      </c>
      <c r="F1722" s="95">
        <v>1828934.44</v>
      </c>
      <c r="G1722" s="95">
        <v>0</v>
      </c>
      <c r="H1722" s="95">
        <v>1828934.44</v>
      </c>
    </row>
    <row r="1723" spans="1:8" ht="19.8" customHeight="1" x14ac:dyDescent="0.3">
      <c r="A1723" s="98">
        <f t="shared" si="26"/>
        <v>11</v>
      </c>
      <c r="B1723" s="92" t="s">
        <v>3678</v>
      </c>
      <c r="C1723" s="92" t="s">
        <v>3679</v>
      </c>
      <c r="D1723" s="95">
        <v>259870.71</v>
      </c>
      <c r="E1723" s="95">
        <v>0</v>
      </c>
      <c r="F1723" s="95">
        <v>259870.71</v>
      </c>
      <c r="G1723" s="95">
        <v>0</v>
      </c>
      <c r="H1723" s="95">
        <v>259870.71</v>
      </c>
    </row>
    <row r="1724" spans="1:8" ht="19.8" customHeight="1" x14ac:dyDescent="0.3">
      <c r="A1724" s="98">
        <f t="shared" si="26"/>
        <v>11</v>
      </c>
      <c r="B1724" s="92" t="s">
        <v>3680</v>
      </c>
      <c r="C1724" s="92" t="s">
        <v>3681</v>
      </c>
      <c r="D1724" s="95">
        <v>1284.57</v>
      </c>
      <c r="E1724" s="95">
        <v>0</v>
      </c>
      <c r="F1724" s="95">
        <v>1284.57</v>
      </c>
      <c r="G1724" s="95">
        <v>0</v>
      </c>
      <c r="H1724" s="95">
        <v>1284.57</v>
      </c>
    </row>
    <row r="1725" spans="1:8" ht="19.8" customHeight="1" x14ac:dyDescent="0.3">
      <c r="A1725" s="98">
        <f t="shared" si="26"/>
        <v>11</v>
      </c>
      <c r="B1725" s="92" t="s">
        <v>3682</v>
      </c>
      <c r="C1725" s="92" t="s">
        <v>3683</v>
      </c>
      <c r="D1725" s="95">
        <v>59556.39</v>
      </c>
      <c r="E1725" s="95">
        <v>0</v>
      </c>
      <c r="F1725" s="95">
        <v>59556.39</v>
      </c>
      <c r="G1725" s="95">
        <v>0</v>
      </c>
      <c r="H1725" s="95">
        <v>59556.39</v>
      </c>
    </row>
    <row r="1726" spans="1:8" ht="19.8" customHeight="1" x14ac:dyDescent="0.3">
      <c r="A1726" s="98">
        <f t="shared" si="26"/>
        <v>11</v>
      </c>
      <c r="B1726" s="92" t="s">
        <v>3684</v>
      </c>
      <c r="C1726" s="92" t="s">
        <v>3685</v>
      </c>
      <c r="D1726" s="95">
        <v>8667.8700000000008</v>
      </c>
      <c r="E1726" s="95">
        <v>0</v>
      </c>
      <c r="F1726" s="95">
        <v>8667.8700000000008</v>
      </c>
      <c r="G1726" s="95">
        <v>0</v>
      </c>
      <c r="H1726" s="95">
        <v>8667.8700000000008</v>
      </c>
    </row>
    <row r="1727" spans="1:8" ht="19.8" customHeight="1" x14ac:dyDescent="0.3">
      <c r="A1727" s="98">
        <f t="shared" si="26"/>
        <v>11</v>
      </c>
      <c r="B1727" s="92" t="s">
        <v>3686</v>
      </c>
      <c r="C1727" s="92" t="s">
        <v>3687</v>
      </c>
      <c r="D1727" s="95">
        <v>935.76</v>
      </c>
      <c r="E1727" s="95">
        <v>0</v>
      </c>
      <c r="F1727" s="95">
        <v>935.76</v>
      </c>
      <c r="G1727" s="95">
        <v>0</v>
      </c>
      <c r="H1727" s="95">
        <v>935.76</v>
      </c>
    </row>
    <row r="1728" spans="1:8" ht="19.8" customHeight="1" x14ac:dyDescent="0.3">
      <c r="A1728" s="98">
        <f t="shared" si="26"/>
        <v>11</v>
      </c>
      <c r="B1728" s="92" t="s">
        <v>3688</v>
      </c>
      <c r="C1728" s="92" t="s">
        <v>3689</v>
      </c>
      <c r="D1728" s="95">
        <v>4494.25</v>
      </c>
      <c r="E1728" s="95">
        <v>0</v>
      </c>
      <c r="F1728" s="95">
        <v>4494.25</v>
      </c>
      <c r="G1728" s="95">
        <v>0</v>
      </c>
      <c r="H1728" s="95">
        <v>4494.25</v>
      </c>
    </row>
    <row r="1729" spans="1:8" ht="19.8" customHeight="1" x14ac:dyDescent="0.3">
      <c r="A1729" s="98">
        <f t="shared" si="26"/>
        <v>11</v>
      </c>
      <c r="B1729" s="92" t="s">
        <v>3690</v>
      </c>
      <c r="C1729" s="92" t="s">
        <v>3691</v>
      </c>
      <c r="D1729" s="95">
        <v>66974.42</v>
      </c>
      <c r="E1729" s="95">
        <v>0</v>
      </c>
      <c r="F1729" s="95">
        <v>66974.42</v>
      </c>
      <c r="G1729" s="95">
        <v>0</v>
      </c>
      <c r="H1729" s="95">
        <v>66974.42</v>
      </c>
    </row>
    <row r="1730" spans="1:8" ht="19.8" customHeight="1" x14ac:dyDescent="0.3">
      <c r="A1730" s="98">
        <f t="shared" si="26"/>
        <v>11</v>
      </c>
      <c r="B1730" s="92" t="s">
        <v>3692</v>
      </c>
      <c r="C1730" s="92" t="s">
        <v>3693</v>
      </c>
      <c r="D1730" s="95">
        <v>2569.2399999999998</v>
      </c>
      <c r="E1730" s="95">
        <v>0</v>
      </c>
      <c r="F1730" s="95">
        <v>2569.2399999999998</v>
      </c>
      <c r="G1730" s="95">
        <v>0</v>
      </c>
      <c r="H1730" s="95">
        <v>2569.2399999999998</v>
      </c>
    </row>
    <row r="1731" spans="1:8" ht="19.8" customHeight="1" x14ac:dyDescent="0.3">
      <c r="A1731" s="98">
        <f t="shared" ref="A1731:A1794" si="27">+LEN(B1731)</f>
        <v>11</v>
      </c>
      <c r="B1731" s="92" t="s">
        <v>3694</v>
      </c>
      <c r="C1731" s="92" t="s">
        <v>3695</v>
      </c>
      <c r="D1731" s="95">
        <v>1711.7</v>
      </c>
      <c r="E1731" s="95">
        <v>0</v>
      </c>
      <c r="F1731" s="95">
        <v>1711.7</v>
      </c>
      <c r="G1731" s="95">
        <v>0</v>
      </c>
      <c r="H1731" s="95">
        <v>1711.7</v>
      </c>
    </row>
    <row r="1732" spans="1:8" ht="19.8" customHeight="1" x14ac:dyDescent="0.3">
      <c r="A1732" s="98">
        <f t="shared" si="27"/>
        <v>11</v>
      </c>
      <c r="B1732" s="92" t="s">
        <v>3696</v>
      </c>
      <c r="C1732" s="92" t="s">
        <v>3697</v>
      </c>
      <c r="D1732" s="95">
        <v>169914.13</v>
      </c>
      <c r="E1732" s="95">
        <v>101131.86</v>
      </c>
      <c r="F1732" s="95">
        <v>68782.27</v>
      </c>
      <c r="G1732" s="95">
        <v>0</v>
      </c>
      <c r="H1732" s="95">
        <v>68782.27</v>
      </c>
    </row>
    <row r="1733" spans="1:8" ht="19.8" customHeight="1" x14ac:dyDescent="0.3">
      <c r="A1733" s="98">
        <f t="shared" si="27"/>
        <v>11</v>
      </c>
      <c r="B1733" s="92" t="s">
        <v>3698</v>
      </c>
      <c r="C1733" s="92" t="s">
        <v>3699</v>
      </c>
      <c r="D1733" s="95">
        <v>2627118.9700000002</v>
      </c>
      <c r="E1733" s="95">
        <v>40</v>
      </c>
      <c r="F1733" s="95">
        <v>2627078.9700000002</v>
      </c>
      <c r="G1733" s="95">
        <v>0</v>
      </c>
      <c r="H1733" s="95">
        <v>2627078.9700000002</v>
      </c>
    </row>
    <row r="1734" spans="1:8" ht="19.8" customHeight="1" x14ac:dyDescent="0.3">
      <c r="A1734" s="98">
        <f t="shared" si="27"/>
        <v>11</v>
      </c>
      <c r="B1734" s="92" t="s">
        <v>3700</v>
      </c>
      <c r="C1734" s="92" t="s">
        <v>3701</v>
      </c>
      <c r="D1734" s="95">
        <v>2604.44</v>
      </c>
      <c r="E1734" s="95">
        <v>2604.44</v>
      </c>
      <c r="F1734" s="95">
        <v>0</v>
      </c>
      <c r="G1734" s="95">
        <v>0</v>
      </c>
      <c r="H1734" s="95">
        <v>0</v>
      </c>
    </row>
    <row r="1735" spans="1:8" ht="19.8" customHeight="1" x14ac:dyDescent="0.3">
      <c r="A1735" s="98">
        <f t="shared" si="27"/>
        <v>7</v>
      </c>
      <c r="B1735" s="92" t="s">
        <v>3702</v>
      </c>
      <c r="C1735" s="92" t="s">
        <v>3703</v>
      </c>
      <c r="D1735" s="95">
        <v>352006.68</v>
      </c>
      <c r="E1735" s="95">
        <v>80</v>
      </c>
      <c r="F1735" s="95">
        <v>351926.68</v>
      </c>
      <c r="G1735" s="95">
        <v>0</v>
      </c>
      <c r="H1735" s="95">
        <v>351926.68</v>
      </c>
    </row>
    <row r="1736" spans="1:8" ht="19.8" customHeight="1" x14ac:dyDescent="0.3">
      <c r="A1736" s="98">
        <f t="shared" si="27"/>
        <v>11</v>
      </c>
      <c r="B1736" s="92" t="s">
        <v>3704</v>
      </c>
      <c r="C1736" s="92" t="s">
        <v>3705</v>
      </c>
      <c r="D1736" s="95">
        <v>352006.68</v>
      </c>
      <c r="E1736" s="95">
        <v>80</v>
      </c>
      <c r="F1736" s="95">
        <v>351926.68</v>
      </c>
      <c r="G1736" s="95">
        <v>0</v>
      </c>
      <c r="H1736" s="95">
        <v>351926.68</v>
      </c>
    </row>
    <row r="1737" spans="1:8" ht="19.8" customHeight="1" x14ac:dyDescent="0.3">
      <c r="A1737" s="98">
        <f t="shared" si="27"/>
        <v>7</v>
      </c>
      <c r="B1737" s="92" t="s">
        <v>3706</v>
      </c>
      <c r="C1737" s="92" t="s">
        <v>3707</v>
      </c>
      <c r="D1737" s="95">
        <v>163422.15</v>
      </c>
      <c r="E1737" s="95">
        <v>0</v>
      </c>
      <c r="F1737" s="95">
        <v>163422.15</v>
      </c>
      <c r="G1737" s="95">
        <v>0</v>
      </c>
      <c r="H1737" s="95">
        <v>163422.15</v>
      </c>
    </row>
    <row r="1738" spans="1:8" ht="19.8" customHeight="1" x14ac:dyDescent="0.3">
      <c r="A1738" s="98">
        <f t="shared" si="27"/>
        <v>11</v>
      </c>
      <c r="B1738" s="92" t="s">
        <v>752</v>
      </c>
      <c r="C1738" s="92" t="s">
        <v>665</v>
      </c>
      <c r="D1738" s="95">
        <v>163422.15</v>
      </c>
      <c r="E1738" s="95">
        <v>0</v>
      </c>
      <c r="F1738" s="95">
        <v>163422.15</v>
      </c>
      <c r="G1738" s="95">
        <v>0</v>
      </c>
      <c r="H1738" s="95">
        <v>163422.15</v>
      </c>
    </row>
    <row r="1739" spans="1:8" ht="19.8" customHeight="1" x14ac:dyDescent="0.3">
      <c r="A1739" s="98">
        <f t="shared" si="27"/>
        <v>7</v>
      </c>
      <c r="B1739" s="92" t="s">
        <v>3708</v>
      </c>
      <c r="C1739" s="92" t="s">
        <v>3448</v>
      </c>
      <c r="D1739" s="95">
        <v>6161842.3600000003</v>
      </c>
      <c r="E1739" s="95">
        <v>1206541.05</v>
      </c>
      <c r="F1739" s="95">
        <v>4955301.3099999996</v>
      </c>
      <c r="G1739" s="95">
        <v>0</v>
      </c>
      <c r="H1739" s="95">
        <v>4955301.3099999996</v>
      </c>
    </row>
    <row r="1740" spans="1:8" ht="19.8" customHeight="1" x14ac:dyDescent="0.3">
      <c r="A1740" s="98">
        <f t="shared" si="27"/>
        <v>11</v>
      </c>
      <c r="B1740" s="92" t="s">
        <v>753</v>
      </c>
      <c r="C1740" s="92" t="s">
        <v>607</v>
      </c>
      <c r="D1740" s="95">
        <v>221474.95</v>
      </c>
      <c r="E1740" s="95">
        <v>67514.95</v>
      </c>
      <c r="F1740" s="95">
        <v>153960</v>
      </c>
      <c r="G1740" s="95">
        <v>0</v>
      </c>
      <c r="H1740" s="95">
        <v>153960</v>
      </c>
    </row>
    <row r="1741" spans="1:8" ht="19.8" customHeight="1" x14ac:dyDescent="0.3">
      <c r="A1741" s="98">
        <f t="shared" si="27"/>
        <v>11</v>
      </c>
      <c r="B1741" s="92" t="s">
        <v>754</v>
      </c>
      <c r="C1741" s="92" t="s">
        <v>609</v>
      </c>
      <c r="D1741" s="95">
        <v>602345.89</v>
      </c>
      <c r="E1741" s="95">
        <v>181095.67</v>
      </c>
      <c r="F1741" s="95">
        <v>421250.22</v>
      </c>
      <c r="G1741" s="95">
        <v>0</v>
      </c>
      <c r="H1741" s="95">
        <v>421250.22</v>
      </c>
    </row>
    <row r="1742" spans="1:8" ht="19.8" customHeight="1" x14ac:dyDescent="0.3">
      <c r="A1742" s="98">
        <f t="shared" si="27"/>
        <v>11</v>
      </c>
      <c r="B1742" s="92" t="s">
        <v>755</v>
      </c>
      <c r="C1742" s="92" t="s">
        <v>547</v>
      </c>
      <c r="D1742" s="95">
        <v>332137.5</v>
      </c>
      <c r="E1742" s="95">
        <v>0</v>
      </c>
      <c r="F1742" s="95">
        <v>332137.5</v>
      </c>
      <c r="G1742" s="95">
        <v>0</v>
      </c>
      <c r="H1742" s="95">
        <v>332137.5</v>
      </c>
    </row>
    <row r="1743" spans="1:8" ht="19.8" customHeight="1" x14ac:dyDescent="0.3">
      <c r="A1743" s="98">
        <f t="shared" si="27"/>
        <v>11</v>
      </c>
      <c r="B1743" s="92" t="s">
        <v>756</v>
      </c>
      <c r="C1743" s="92" t="s">
        <v>611</v>
      </c>
      <c r="D1743" s="95">
        <v>620947.39</v>
      </c>
      <c r="E1743" s="95">
        <v>186284.22</v>
      </c>
      <c r="F1743" s="95">
        <v>434663.17</v>
      </c>
      <c r="G1743" s="95">
        <v>0</v>
      </c>
      <c r="H1743" s="95">
        <v>434663.17</v>
      </c>
    </row>
    <row r="1744" spans="1:8" ht="19.8" customHeight="1" x14ac:dyDescent="0.3">
      <c r="A1744" s="98">
        <f t="shared" si="27"/>
        <v>11</v>
      </c>
      <c r="B1744" s="92" t="s">
        <v>757</v>
      </c>
      <c r="C1744" s="92" t="s">
        <v>613</v>
      </c>
      <c r="D1744" s="95">
        <v>1856620.44</v>
      </c>
      <c r="E1744" s="95">
        <v>556843.44999999995</v>
      </c>
      <c r="F1744" s="95">
        <v>1299776.99</v>
      </c>
      <c r="G1744" s="95">
        <v>0</v>
      </c>
      <c r="H1744" s="95">
        <v>1299776.99</v>
      </c>
    </row>
    <row r="1745" spans="1:8" ht="19.8" customHeight="1" x14ac:dyDescent="0.3">
      <c r="A1745" s="98">
        <f t="shared" si="27"/>
        <v>11</v>
      </c>
      <c r="B1745" s="92" t="s">
        <v>758</v>
      </c>
      <c r="C1745" s="92" t="s">
        <v>615</v>
      </c>
      <c r="D1745" s="95">
        <v>577758.67000000004</v>
      </c>
      <c r="E1745" s="95">
        <v>0</v>
      </c>
      <c r="F1745" s="95">
        <v>577758.67000000004</v>
      </c>
      <c r="G1745" s="95">
        <v>0</v>
      </c>
      <c r="H1745" s="95">
        <v>577758.67000000004</v>
      </c>
    </row>
    <row r="1746" spans="1:8" ht="19.8" customHeight="1" x14ac:dyDescent="0.3">
      <c r="A1746" s="98">
        <f t="shared" si="27"/>
        <v>11</v>
      </c>
      <c r="B1746" s="92" t="s">
        <v>759</v>
      </c>
      <c r="C1746" s="92" t="s">
        <v>617</v>
      </c>
      <c r="D1746" s="95">
        <v>144630.21</v>
      </c>
      <c r="E1746" s="95">
        <v>43389.07</v>
      </c>
      <c r="F1746" s="95">
        <v>101241.14</v>
      </c>
      <c r="G1746" s="95">
        <v>0</v>
      </c>
      <c r="H1746" s="95">
        <v>101241.14</v>
      </c>
    </row>
    <row r="1747" spans="1:8" ht="19.8" customHeight="1" x14ac:dyDescent="0.3">
      <c r="A1747" s="98">
        <f t="shared" si="27"/>
        <v>11</v>
      </c>
      <c r="B1747" s="92" t="s">
        <v>760</v>
      </c>
      <c r="C1747" s="92" t="s">
        <v>619</v>
      </c>
      <c r="D1747" s="95">
        <v>405866.1</v>
      </c>
      <c r="E1747" s="95">
        <v>122797.25</v>
      </c>
      <c r="F1747" s="95">
        <v>283068.84999999998</v>
      </c>
      <c r="G1747" s="95">
        <v>0</v>
      </c>
      <c r="H1747" s="95">
        <v>283068.84999999998</v>
      </c>
    </row>
    <row r="1748" spans="1:8" ht="19.8" customHeight="1" x14ac:dyDescent="0.3">
      <c r="A1748" s="98">
        <f t="shared" si="27"/>
        <v>11</v>
      </c>
      <c r="B1748" s="92" t="s">
        <v>761</v>
      </c>
      <c r="C1748" s="92" t="s">
        <v>621</v>
      </c>
      <c r="D1748" s="95">
        <v>95591.55</v>
      </c>
      <c r="E1748" s="95">
        <v>28677.47</v>
      </c>
      <c r="F1748" s="95">
        <v>66914.080000000002</v>
      </c>
      <c r="G1748" s="95">
        <v>0</v>
      </c>
      <c r="H1748" s="95">
        <v>66914.080000000002</v>
      </c>
    </row>
    <row r="1749" spans="1:8" ht="19.8" customHeight="1" x14ac:dyDescent="0.3">
      <c r="A1749" s="98">
        <f t="shared" si="27"/>
        <v>11</v>
      </c>
      <c r="B1749" s="92" t="s">
        <v>762</v>
      </c>
      <c r="C1749" s="92" t="s">
        <v>625</v>
      </c>
      <c r="D1749" s="95">
        <v>67514.95</v>
      </c>
      <c r="E1749" s="95">
        <v>1532.09</v>
      </c>
      <c r="F1749" s="95">
        <v>65982.86</v>
      </c>
      <c r="G1749" s="95">
        <v>0</v>
      </c>
      <c r="H1749" s="95">
        <v>65982.86</v>
      </c>
    </row>
    <row r="1750" spans="1:8" ht="19.8" customHeight="1" x14ac:dyDescent="0.3">
      <c r="A1750" s="98">
        <f t="shared" si="27"/>
        <v>11</v>
      </c>
      <c r="B1750" s="92" t="s">
        <v>763</v>
      </c>
      <c r="C1750" s="92" t="s">
        <v>627</v>
      </c>
      <c r="D1750" s="95">
        <v>181095.67</v>
      </c>
      <c r="E1750" s="95">
        <v>559.86</v>
      </c>
      <c r="F1750" s="95">
        <v>180535.81</v>
      </c>
      <c r="G1750" s="95">
        <v>0</v>
      </c>
      <c r="H1750" s="95">
        <v>180535.81</v>
      </c>
    </row>
    <row r="1751" spans="1:8" ht="19.8" customHeight="1" x14ac:dyDescent="0.3">
      <c r="A1751" s="98">
        <f t="shared" si="27"/>
        <v>11</v>
      </c>
      <c r="B1751" s="92" t="s">
        <v>764</v>
      </c>
      <c r="C1751" s="92" t="s">
        <v>629</v>
      </c>
      <c r="D1751" s="95">
        <v>186284.22</v>
      </c>
      <c r="E1751" s="95">
        <v>0</v>
      </c>
      <c r="F1751" s="95">
        <v>186284.22</v>
      </c>
      <c r="G1751" s="95">
        <v>0</v>
      </c>
      <c r="H1751" s="95">
        <v>186284.22</v>
      </c>
    </row>
    <row r="1752" spans="1:8" ht="19.8" customHeight="1" x14ac:dyDescent="0.3">
      <c r="A1752" s="98">
        <f t="shared" si="27"/>
        <v>11</v>
      </c>
      <c r="B1752" s="92" t="s">
        <v>765</v>
      </c>
      <c r="C1752" s="92" t="s">
        <v>631</v>
      </c>
      <c r="D1752" s="95">
        <v>556843.44999999995</v>
      </c>
      <c r="E1752" s="95">
        <v>0</v>
      </c>
      <c r="F1752" s="95">
        <v>556843.44999999995</v>
      </c>
      <c r="G1752" s="95">
        <v>0</v>
      </c>
      <c r="H1752" s="95">
        <v>556843.44999999995</v>
      </c>
    </row>
    <row r="1753" spans="1:8" ht="19.8" customHeight="1" x14ac:dyDescent="0.3">
      <c r="A1753" s="98">
        <f t="shared" si="27"/>
        <v>11</v>
      </c>
      <c r="B1753" s="92" t="s">
        <v>766</v>
      </c>
      <c r="C1753" s="92" t="s">
        <v>632</v>
      </c>
      <c r="D1753" s="95">
        <v>43152.58</v>
      </c>
      <c r="E1753" s="95">
        <v>0</v>
      </c>
      <c r="F1753" s="95">
        <v>43152.58</v>
      </c>
      <c r="G1753" s="95">
        <v>0</v>
      </c>
      <c r="H1753" s="95">
        <v>43152.58</v>
      </c>
    </row>
    <row r="1754" spans="1:8" ht="19.8" customHeight="1" x14ac:dyDescent="0.3">
      <c r="A1754" s="98">
        <f t="shared" si="27"/>
        <v>11</v>
      </c>
      <c r="B1754" s="92" t="s">
        <v>767</v>
      </c>
      <c r="C1754" s="92" t="s">
        <v>634</v>
      </c>
      <c r="D1754" s="95">
        <v>43389.07</v>
      </c>
      <c r="E1754" s="95">
        <v>0</v>
      </c>
      <c r="F1754" s="95">
        <v>43389.07</v>
      </c>
      <c r="G1754" s="95">
        <v>0</v>
      </c>
      <c r="H1754" s="95">
        <v>43389.07</v>
      </c>
    </row>
    <row r="1755" spans="1:8" ht="19.8" customHeight="1" x14ac:dyDescent="0.3">
      <c r="A1755" s="98">
        <f t="shared" si="27"/>
        <v>11</v>
      </c>
      <c r="B1755" s="92" t="s">
        <v>768</v>
      </c>
      <c r="C1755" s="92" t="s">
        <v>636</v>
      </c>
      <c r="D1755" s="95">
        <v>121657.25</v>
      </c>
      <c r="E1755" s="95">
        <v>342.02</v>
      </c>
      <c r="F1755" s="95">
        <v>121315.23</v>
      </c>
      <c r="G1755" s="95">
        <v>0</v>
      </c>
      <c r="H1755" s="95">
        <v>121315.23</v>
      </c>
    </row>
    <row r="1756" spans="1:8" ht="19.8" customHeight="1" x14ac:dyDescent="0.3">
      <c r="A1756" s="98">
        <f t="shared" si="27"/>
        <v>11</v>
      </c>
      <c r="B1756" s="92" t="s">
        <v>769</v>
      </c>
      <c r="C1756" s="92" t="s">
        <v>638</v>
      </c>
      <c r="D1756" s="95">
        <v>28677.47</v>
      </c>
      <c r="E1756" s="95">
        <v>0</v>
      </c>
      <c r="F1756" s="95">
        <v>28677.47</v>
      </c>
      <c r="G1756" s="95">
        <v>0</v>
      </c>
      <c r="H1756" s="95">
        <v>28677.47</v>
      </c>
    </row>
    <row r="1757" spans="1:8" ht="19.8" customHeight="1" x14ac:dyDescent="0.3">
      <c r="A1757" s="98">
        <f t="shared" si="27"/>
        <v>11</v>
      </c>
      <c r="B1757" s="92" t="s">
        <v>770</v>
      </c>
      <c r="C1757" s="92" t="s">
        <v>640</v>
      </c>
      <c r="D1757" s="95">
        <v>17505</v>
      </c>
      <c r="E1757" s="95">
        <v>0</v>
      </c>
      <c r="F1757" s="95">
        <v>17505</v>
      </c>
      <c r="G1757" s="95">
        <v>0</v>
      </c>
      <c r="H1757" s="95">
        <v>17505</v>
      </c>
    </row>
    <row r="1758" spans="1:8" ht="19.8" customHeight="1" x14ac:dyDescent="0.3">
      <c r="A1758" s="98">
        <f t="shared" si="27"/>
        <v>11</v>
      </c>
      <c r="B1758" s="92" t="s">
        <v>771</v>
      </c>
      <c r="C1758" s="92" t="s">
        <v>623</v>
      </c>
      <c r="D1758" s="95">
        <v>58350</v>
      </c>
      <c r="E1758" s="95">
        <v>17505</v>
      </c>
      <c r="F1758" s="95">
        <v>40845</v>
      </c>
      <c r="G1758" s="95">
        <v>0</v>
      </c>
      <c r="H1758" s="95">
        <v>40845</v>
      </c>
    </row>
    <row r="1759" spans="1:8" ht="19.8" customHeight="1" x14ac:dyDescent="0.3">
      <c r="A1759" s="98">
        <f t="shared" si="27"/>
        <v>7</v>
      </c>
      <c r="B1759" s="92" t="s">
        <v>3709</v>
      </c>
      <c r="C1759" s="92" t="s">
        <v>3710</v>
      </c>
      <c r="D1759" s="95">
        <v>2121426.63</v>
      </c>
      <c r="E1759" s="95">
        <v>0</v>
      </c>
      <c r="F1759" s="95">
        <v>2121426.63</v>
      </c>
      <c r="G1759" s="95">
        <v>0</v>
      </c>
      <c r="H1759" s="95">
        <v>2121426.63</v>
      </c>
    </row>
    <row r="1760" spans="1:8" ht="19.8" customHeight="1" x14ac:dyDescent="0.3">
      <c r="A1760" s="98">
        <f t="shared" si="27"/>
        <v>11</v>
      </c>
      <c r="B1760" s="92" t="s">
        <v>772</v>
      </c>
      <c r="C1760" s="92" t="s">
        <v>773</v>
      </c>
      <c r="D1760" s="95">
        <v>2121426.63</v>
      </c>
      <c r="E1760" s="95">
        <v>0</v>
      </c>
      <c r="F1760" s="95">
        <v>2121426.63</v>
      </c>
      <c r="G1760" s="95">
        <v>0</v>
      </c>
      <c r="H1760" s="95">
        <v>2121426.63</v>
      </c>
    </row>
    <row r="1761" spans="1:8" ht="19.8" customHeight="1" x14ac:dyDescent="0.3">
      <c r="A1761" s="98">
        <f t="shared" si="27"/>
        <v>7</v>
      </c>
      <c r="B1761" s="92" t="s">
        <v>3711</v>
      </c>
      <c r="C1761" s="92" t="s">
        <v>3712</v>
      </c>
      <c r="D1761" s="95">
        <v>3372735.61</v>
      </c>
      <c r="E1761" s="95">
        <v>62500</v>
      </c>
      <c r="F1761" s="95">
        <v>3310235.61</v>
      </c>
      <c r="G1761" s="95">
        <v>0</v>
      </c>
      <c r="H1761" s="95">
        <v>3310235.61</v>
      </c>
    </row>
    <row r="1762" spans="1:8" ht="19.8" customHeight="1" x14ac:dyDescent="0.3">
      <c r="A1762" s="98">
        <f t="shared" si="27"/>
        <v>11</v>
      </c>
      <c r="B1762" s="92" t="s">
        <v>775</v>
      </c>
      <c r="C1762" s="92" t="s">
        <v>776</v>
      </c>
      <c r="D1762" s="95">
        <v>237089.26</v>
      </c>
      <c r="E1762" s="95">
        <v>2000</v>
      </c>
      <c r="F1762" s="95">
        <v>235089.26</v>
      </c>
      <c r="G1762" s="95">
        <v>0</v>
      </c>
      <c r="H1762" s="95">
        <v>235089.26</v>
      </c>
    </row>
    <row r="1763" spans="1:8" ht="19.8" customHeight="1" x14ac:dyDescent="0.3">
      <c r="A1763" s="98">
        <f t="shared" si="27"/>
        <v>11</v>
      </c>
      <c r="B1763" s="92" t="s">
        <v>777</v>
      </c>
      <c r="C1763" s="92" t="s">
        <v>778</v>
      </c>
      <c r="D1763" s="95">
        <v>1182444.07</v>
      </c>
      <c r="E1763" s="95">
        <v>47500</v>
      </c>
      <c r="F1763" s="95">
        <v>1134944.07</v>
      </c>
      <c r="G1763" s="95">
        <v>0</v>
      </c>
      <c r="H1763" s="95">
        <v>1134944.07</v>
      </c>
    </row>
    <row r="1764" spans="1:8" ht="19.8" customHeight="1" x14ac:dyDescent="0.3">
      <c r="A1764" s="98">
        <f t="shared" si="27"/>
        <v>11</v>
      </c>
      <c r="B1764" s="92" t="s">
        <v>3713</v>
      </c>
      <c r="C1764" s="92" t="s">
        <v>3714</v>
      </c>
      <c r="D1764" s="95">
        <v>1953202.28</v>
      </c>
      <c r="E1764" s="95">
        <v>13000</v>
      </c>
      <c r="F1764" s="95">
        <v>1940202.28</v>
      </c>
      <c r="G1764" s="95">
        <v>0</v>
      </c>
      <c r="H1764" s="95">
        <v>1940202.28</v>
      </c>
    </row>
    <row r="1765" spans="1:8" ht="19.8" customHeight="1" x14ac:dyDescent="0.3">
      <c r="A1765" s="98">
        <f t="shared" si="27"/>
        <v>7</v>
      </c>
      <c r="B1765" s="92" t="s">
        <v>3715</v>
      </c>
      <c r="C1765" s="92" t="s">
        <v>3440</v>
      </c>
      <c r="D1765" s="95">
        <v>29989.79</v>
      </c>
      <c r="E1765" s="95">
        <v>0</v>
      </c>
      <c r="F1765" s="95">
        <v>29989.79</v>
      </c>
      <c r="G1765" s="95">
        <v>0</v>
      </c>
      <c r="H1765" s="95">
        <v>29989.79</v>
      </c>
    </row>
    <row r="1766" spans="1:8" ht="19.8" customHeight="1" x14ac:dyDescent="0.3">
      <c r="A1766" s="98">
        <f t="shared" si="27"/>
        <v>11</v>
      </c>
      <c r="B1766" s="92" t="s">
        <v>3716</v>
      </c>
      <c r="C1766" s="92" t="s">
        <v>3717</v>
      </c>
      <c r="D1766" s="95">
        <v>29989.79</v>
      </c>
      <c r="E1766" s="95">
        <v>0</v>
      </c>
      <c r="F1766" s="95">
        <v>29989.79</v>
      </c>
      <c r="G1766" s="95">
        <v>0</v>
      </c>
      <c r="H1766" s="95">
        <v>29989.79</v>
      </c>
    </row>
    <row r="1767" spans="1:8" ht="19.8" customHeight="1" x14ac:dyDescent="0.3">
      <c r="A1767" s="98">
        <f t="shared" si="27"/>
        <v>7</v>
      </c>
      <c r="B1767" s="92" t="s">
        <v>3718</v>
      </c>
      <c r="C1767" s="92" t="s">
        <v>3459</v>
      </c>
      <c r="D1767" s="95">
        <v>271901.23</v>
      </c>
      <c r="E1767" s="95">
        <v>0</v>
      </c>
      <c r="F1767" s="95">
        <v>271901.23</v>
      </c>
      <c r="G1767" s="95">
        <v>0</v>
      </c>
      <c r="H1767" s="95">
        <v>271901.23</v>
      </c>
    </row>
    <row r="1768" spans="1:8" ht="19.8" customHeight="1" x14ac:dyDescent="0.3">
      <c r="A1768" s="98">
        <f t="shared" si="27"/>
        <v>11</v>
      </c>
      <c r="B1768" s="92" t="s">
        <v>3719</v>
      </c>
      <c r="C1768" s="92" t="s">
        <v>675</v>
      </c>
      <c r="D1768" s="95">
        <v>22772.73</v>
      </c>
      <c r="E1768" s="95">
        <v>0</v>
      </c>
      <c r="F1768" s="95">
        <v>22772.73</v>
      </c>
      <c r="G1768" s="95">
        <v>0</v>
      </c>
      <c r="H1768" s="95">
        <v>22772.73</v>
      </c>
    </row>
    <row r="1769" spans="1:8" ht="19.8" customHeight="1" x14ac:dyDescent="0.3">
      <c r="A1769" s="98">
        <f t="shared" si="27"/>
        <v>11</v>
      </c>
      <c r="B1769" s="92" t="s">
        <v>779</v>
      </c>
      <c r="C1769" s="92" t="s">
        <v>747</v>
      </c>
      <c r="D1769" s="95">
        <v>249128.5</v>
      </c>
      <c r="E1769" s="95">
        <v>0</v>
      </c>
      <c r="F1769" s="95">
        <v>249128.5</v>
      </c>
      <c r="G1769" s="95">
        <v>0</v>
      </c>
      <c r="H1769" s="95">
        <v>249128.5</v>
      </c>
    </row>
    <row r="1770" spans="1:8" ht="19.8" customHeight="1" x14ac:dyDescent="0.3">
      <c r="A1770" s="98">
        <f t="shared" si="27"/>
        <v>7</v>
      </c>
      <c r="B1770" s="92" t="s">
        <v>3720</v>
      </c>
      <c r="C1770" s="92" t="s">
        <v>3721</v>
      </c>
      <c r="D1770" s="95">
        <v>2250</v>
      </c>
      <c r="E1770" s="95">
        <v>0</v>
      </c>
      <c r="F1770" s="95">
        <v>2250</v>
      </c>
      <c r="G1770" s="95">
        <v>0</v>
      </c>
      <c r="H1770" s="95">
        <v>2250</v>
      </c>
    </row>
    <row r="1771" spans="1:8" ht="19.8" customHeight="1" x14ac:dyDescent="0.3">
      <c r="A1771" s="98">
        <f t="shared" si="27"/>
        <v>11</v>
      </c>
      <c r="B1771" s="92" t="s">
        <v>3722</v>
      </c>
      <c r="C1771" s="92" t="s">
        <v>580</v>
      </c>
      <c r="D1771" s="95">
        <v>2250</v>
      </c>
      <c r="E1771" s="95">
        <v>0</v>
      </c>
      <c r="F1771" s="95">
        <v>2250</v>
      </c>
      <c r="G1771" s="95">
        <v>0</v>
      </c>
      <c r="H1771" s="95">
        <v>2250</v>
      </c>
    </row>
    <row r="1772" spans="1:8" ht="19.8" customHeight="1" x14ac:dyDescent="0.3">
      <c r="A1772" s="98">
        <f t="shared" si="27"/>
        <v>7</v>
      </c>
      <c r="B1772" s="92" t="s">
        <v>3723</v>
      </c>
      <c r="C1772" s="92" t="s">
        <v>671</v>
      </c>
      <c r="D1772" s="95">
        <v>2539520.9</v>
      </c>
      <c r="E1772" s="95">
        <v>0</v>
      </c>
      <c r="F1772" s="95">
        <v>2539520.9</v>
      </c>
      <c r="G1772" s="95">
        <v>0</v>
      </c>
      <c r="H1772" s="95">
        <v>2539520.9</v>
      </c>
    </row>
    <row r="1773" spans="1:8" ht="19.8" customHeight="1" x14ac:dyDescent="0.3">
      <c r="A1773" s="98">
        <f t="shared" si="27"/>
        <v>11</v>
      </c>
      <c r="B1773" s="92" t="s">
        <v>781</v>
      </c>
      <c r="C1773" s="92" t="s">
        <v>671</v>
      </c>
      <c r="D1773" s="95">
        <v>2539520.9</v>
      </c>
      <c r="E1773" s="95">
        <v>0</v>
      </c>
      <c r="F1773" s="95">
        <v>2539520.9</v>
      </c>
      <c r="G1773" s="95">
        <v>0</v>
      </c>
      <c r="H1773" s="95">
        <v>2539520.9</v>
      </c>
    </row>
    <row r="1774" spans="1:8" ht="19.8" customHeight="1" x14ac:dyDescent="0.3">
      <c r="A1774" s="98">
        <f t="shared" si="27"/>
        <v>7</v>
      </c>
      <c r="B1774" s="92" t="s">
        <v>3724</v>
      </c>
      <c r="C1774" s="92" t="s">
        <v>3725</v>
      </c>
      <c r="D1774" s="95">
        <v>74289.84</v>
      </c>
      <c r="E1774" s="95">
        <v>0</v>
      </c>
      <c r="F1774" s="95">
        <v>74289.84</v>
      </c>
      <c r="G1774" s="95">
        <v>0</v>
      </c>
      <c r="H1774" s="95">
        <v>74289.84</v>
      </c>
    </row>
    <row r="1775" spans="1:8" ht="19.8" customHeight="1" x14ac:dyDescent="0.3">
      <c r="A1775" s="98">
        <f t="shared" si="27"/>
        <v>11</v>
      </c>
      <c r="B1775" s="92" t="s">
        <v>783</v>
      </c>
      <c r="C1775" s="92" t="s">
        <v>669</v>
      </c>
      <c r="D1775" s="95">
        <v>74289.84</v>
      </c>
      <c r="E1775" s="95">
        <v>0</v>
      </c>
      <c r="F1775" s="95">
        <v>74289.84</v>
      </c>
      <c r="G1775" s="95">
        <v>0</v>
      </c>
      <c r="H1775" s="95">
        <v>74289.84</v>
      </c>
    </row>
    <row r="1776" spans="1:8" ht="19.8" customHeight="1" x14ac:dyDescent="0.3">
      <c r="A1776" s="98">
        <f t="shared" si="27"/>
        <v>7</v>
      </c>
      <c r="B1776" s="92" t="s">
        <v>3726</v>
      </c>
      <c r="C1776" s="92" t="s">
        <v>3727</v>
      </c>
      <c r="D1776" s="95">
        <v>42547.3</v>
      </c>
      <c r="E1776" s="95">
        <v>0</v>
      </c>
      <c r="F1776" s="95">
        <v>42547.3</v>
      </c>
      <c r="G1776" s="95">
        <v>0</v>
      </c>
      <c r="H1776" s="95">
        <v>42547.3</v>
      </c>
    </row>
    <row r="1777" spans="1:8" ht="19.8" customHeight="1" x14ac:dyDescent="0.3">
      <c r="A1777" s="98">
        <f t="shared" si="27"/>
        <v>11</v>
      </c>
      <c r="B1777" s="92" t="s">
        <v>784</v>
      </c>
      <c r="C1777" s="92" t="s">
        <v>785</v>
      </c>
      <c r="D1777" s="95">
        <v>35143.79</v>
      </c>
      <c r="E1777" s="95">
        <v>0</v>
      </c>
      <c r="F1777" s="95">
        <v>35143.79</v>
      </c>
      <c r="G1777" s="95">
        <v>0</v>
      </c>
      <c r="H1777" s="95">
        <v>35143.79</v>
      </c>
    </row>
    <row r="1778" spans="1:8" ht="19.8" customHeight="1" x14ac:dyDescent="0.3">
      <c r="A1778" s="98">
        <f t="shared" si="27"/>
        <v>11</v>
      </c>
      <c r="B1778" s="92" t="s">
        <v>786</v>
      </c>
      <c r="C1778" s="92" t="s">
        <v>787</v>
      </c>
      <c r="D1778" s="95">
        <v>4041.04</v>
      </c>
      <c r="E1778" s="95">
        <v>0</v>
      </c>
      <c r="F1778" s="95">
        <v>4041.04</v>
      </c>
      <c r="G1778" s="95">
        <v>0</v>
      </c>
      <c r="H1778" s="95">
        <v>4041.04</v>
      </c>
    </row>
    <row r="1779" spans="1:8" ht="19.8" customHeight="1" x14ac:dyDescent="0.3">
      <c r="A1779" s="98">
        <f t="shared" si="27"/>
        <v>11</v>
      </c>
      <c r="B1779" s="92" t="s">
        <v>788</v>
      </c>
      <c r="C1779" s="92" t="s">
        <v>543</v>
      </c>
      <c r="D1779" s="95">
        <v>3362.47</v>
      </c>
      <c r="E1779" s="95">
        <v>0</v>
      </c>
      <c r="F1779" s="95">
        <v>3362.47</v>
      </c>
      <c r="G1779" s="95">
        <v>0</v>
      </c>
      <c r="H1779" s="95">
        <v>3362.47</v>
      </c>
    </row>
    <row r="1780" spans="1:8" ht="19.8" customHeight="1" x14ac:dyDescent="0.3">
      <c r="A1780" s="98">
        <f t="shared" si="27"/>
        <v>7</v>
      </c>
      <c r="B1780" s="92" t="s">
        <v>3728</v>
      </c>
      <c r="C1780" s="92" t="s">
        <v>3729</v>
      </c>
      <c r="D1780" s="95">
        <v>180169.51</v>
      </c>
      <c r="E1780" s="95">
        <v>0</v>
      </c>
      <c r="F1780" s="95">
        <v>180169.51</v>
      </c>
      <c r="G1780" s="95">
        <v>0</v>
      </c>
      <c r="H1780" s="95">
        <v>180169.51</v>
      </c>
    </row>
    <row r="1781" spans="1:8" ht="19.8" customHeight="1" x14ac:dyDescent="0.3">
      <c r="A1781" s="98">
        <f t="shared" si="27"/>
        <v>11</v>
      </c>
      <c r="B1781" s="92" t="s">
        <v>789</v>
      </c>
      <c r="C1781" s="92" t="s">
        <v>663</v>
      </c>
      <c r="D1781" s="95">
        <v>65185.279999999999</v>
      </c>
      <c r="E1781" s="95">
        <v>0</v>
      </c>
      <c r="F1781" s="95">
        <v>65185.279999999999</v>
      </c>
      <c r="G1781" s="95">
        <v>0</v>
      </c>
      <c r="H1781" s="95">
        <v>65185.279999999999</v>
      </c>
    </row>
    <row r="1782" spans="1:8" ht="19.8" customHeight="1" x14ac:dyDescent="0.3">
      <c r="A1782" s="98">
        <f t="shared" si="27"/>
        <v>11</v>
      </c>
      <c r="B1782" s="92" t="s">
        <v>790</v>
      </c>
      <c r="C1782" s="92" t="s">
        <v>667</v>
      </c>
      <c r="D1782" s="95">
        <v>114800.19</v>
      </c>
      <c r="E1782" s="95">
        <v>0</v>
      </c>
      <c r="F1782" s="95">
        <v>114800.19</v>
      </c>
      <c r="G1782" s="95">
        <v>0</v>
      </c>
      <c r="H1782" s="95">
        <v>114800.19</v>
      </c>
    </row>
    <row r="1783" spans="1:8" ht="19.8" customHeight="1" x14ac:dyDescent="0.3">
      <c r="A1783" s="98">
        <f t="shared" si="27"/>
        <v>11</v>
      </c>
      <c r="B1783" s="92" t="s">
        <v>791</v>
      </c>
      <c r="C1783" s="92" t="s">
        <v>792</v>
      </c>
      <c r="D1783" s="95">
        <v>184.04</v>
      </c>
      <c r="E1783" s="95">
        <v>0</v>
      </c>
      <c r="F1783" s="95">
        <v>184.04</v>
      </c>
      <c r="G1783" s="95">
        <v>0</v>
      </c>
      <c r="H1783" s="95">
        <v>184.04</v>
      </c>
    </row>
    <row r="1784" spans="1:8" ht="19.8" customHeight="1" x14ac:dyDescent="0.3">
      <c r="A1784" s="98">
        <f t="shared" si="27"/>
        <v>7</v>
      </c>
      <c r="B1784" s="92" t="s">
        <v>3730</v>
      </c>
      <c r="C1784" s="92" t="s">
        <v>3731</v>
      </c>
      <c r="D1784" s="95">
        <v>2373083.2599999998</v>
      </c>
      <c r="E1784" s="95">
        <v>0</v>
      </c>
      <c r="F1784" s="95">
        <v>2373083.2599999998</v>
      </c>
      <c r="G1784" s="95">
        <v>0</v>
      </c>
      <c r="H1784" s="95">
        <v>2373083.2599999998</v>
      </c>
    </row>
    <row r="1785" spans="1:8" ht="19.8" customHeight="1" x14ac:dyDescent="0.3">
      <c r="A1785" s="98">
        <f t="shared" si="27"/>
        <v>11</v>
      </c>
      <c r="B1785" s="92" t="s">
        <v>3732</v>
      </c>
      <c r="C1785" s="92" t="s">
        <v>3733</v>
      </c>
      <c r="D1785" s="95">
        <v>2373083.2599999998</v>
      </c>
      <c r="E1785" s="95">
        <v>0</v>
      </c>
      <c r="F1785" s="95">
        <v>2373083.2599999998</v>
      </c>
      <c r="G1785" s="95">
        <v>0</v>
      </c>
      <c r="H1785" s="95">
        <v>2373083.2599999998</v>
      </c>
    </row>
    <row r="1786" spans="1:8" ht="19.8" customHeight="1" x14ac:dyDescent="0.3">
      <c r="A1786" s="98">
        <f t="shared" si="27"/>
        <v>7</v>
      </c>
      <c r="B1786" s="92" t="s">
        <v>3734</v>
      </c>
      <c r="C1786" s="92" t="s">
        <v>657</v>
      </c>
      <c r="D1786" s="95">
        <v>93706.35</v>
      </c>
      <c r="E1786" s="95">
        <v>0</v>
      </c>
      <c r="F1786" s="95">
        <v>93706.35</v>
      </c>
      <c r="G1786" s="95">
        <v>0</v>
      </c>
      <c r="H1786" s="95">
        <v>93706.35</v>
      </c>
    </row>
    <row r="1787" spans="1:8" ht="19.8" customHeight="1" x14ac:dyDescent="0.3">
      <c r="A1787" s="98">
        <f t="shared" si="27"/>
        <v>11</v>
      </c>
      <c r="B1787" s="92" t="s">
        <v>793</v>
      </c>
      <c r="C1787" s="92" t="s">
        <v>794</v>
      </c>
      <c r="D1787" s="95">
        <v>71242.289999999994</v>
      </c>
      <c r="E1787" s="95">
        <v>0</v>
      </c>
      <c r="F1787" s="95">
        <v>71242.289999999994</v>
      </c>
      <c r="G1787" s="95">
        <v>0</v>
      </c>
      <c r="H1787" s="95">
        <v>71242.289999999994</v>
      </c>
    </row>
    <row r="1788" spans="1:8" ht="19.8" customHeight="1" x14ac:dyDescent="0.3">
      <c r="A1788" s="98">
        <f t="shared" si="27"/>
        <v>11</v>
      </c>
      <c r="B1788" s="92" t="s">
        <v>795</v>
      </c>
      <c r="C1788" s="92" t="s">
        <v>653</v>
      </c>
      <c r="D1788" s="95">
        <v>22464.06</v>
      </c>
      <c r="E1788" s="95">
        <v>0</v>
      </c>
      <c r="F1788" s="95">
        <v>22464.06</v>
      </c>
      <c r="G1788" s="95">
        <v>0</v>
      </c>
      <c r="H1788" s="95">
        <v>22464.06</v>
      </c>
    </row>
    <row r="1789" spans="1:8" ht="19.8" customHeight="1" x14ac:dyDescent="0.3">
      <c r="A1789" s="98">
        <f t="shared" si="27"/>
        <v>7</v>
      </c>
      <c r="B1789" s="92" t="s">
        <v>3735</v>
      </c>
      <c r="C1789" s="92" t="s">
        <v>796</v>
      </c>
      <c r="D1789" s="95">
        <v>103991.67</v>
      </c>
      <c r="E1789" s="95">
        <v>0</v>
      </c>
      <c r="F1789" s="95">
        <v>103991.67</v>
      </c>
      <c r="G1789" s="95">
        <v>0</v>
      </c>
      <c r="H1789" s="95">
        <v>103991.67</v>
      </c>
    </row>
    <row r="1790" spans="1:8" ht="19.8" customHeight="1" x14ac:dyDescent="0.3">
      <c r="A1790" s="98">
        <f t="shared" si="27"/>
        <v>11</v>
      </c>
      <c r="B1790" s="92" t="s">
        <v>797</v>
      </c>
      <c r="C1790" s="92" t="s">
        <v>796</v>
      </c>
      <c r="D1790" s="95">
        <v>103991.67</v>
      </c>
      <c r="E1790" s="95">
        <v>0</v>
      </c>
      <c r="F1790" s="95">
        <v>103991.67</v>
      </c>
      <c r="G1790" s="95">
        <v>0</v>
      </c>
      <c r="H1790" s="95">
        <v>103991.67</v>
      </c>
    </row>
    <row r="1791" spans="1:8" ht="19.8" customHeight="1" x14ac:dyDescent="0.3">
      <c r="A1791" s="98">
        <f t="shared" si="27"/>
        <v>7</v>
      </c>
      <c r="B1791" s="92" t="s">
        <v>3736</v>
      </c>
      <c r="C1791" s="92" t="s">
        <v>645</v>
      </c>
      <c r="D1791" s="95">
        <v>155699.84</v>
      </c>
      <c r="E1791" s="95">
        <v>8007.98</v>
      </c>
      <c r="F1791" s="95">
        <v>147691.85999999999</v>
      </c>
      <c r="G1791" s="95">
        <v>0</v>
      </c>
      <c r="H1791" s="95">
        <v>147691.85999999999</v>
      </c>
    </row>
    <row r="1792" spans="1:8" ht="19.8" customHeight="1" x14ac:dyDescent="0.3">
      <c r="A1792" s="98">
        <f t="shared" si="27"/>
        <v>11</v>
      </c>
      <c r="B1792" s="92" t="s">
        <v>798</v>
      </c>
      <c r="C1792" s="92" t="s">
        <v>645</v>
      </c>
      <c r="D1792" s="95">
        <v>135457.60000000001</v>
      </c>
      <c r="E1792" s="95">
        <v>0</v>
      </c>
      <c r="F1792" s="95">
        <v>135457.60000000001</v>
      </c>
      <c r="G1792" s="95">
        <v>0</v>
      </c>
      <c r="H1792" s="95">
        <v>135457.60000000001</v>
      </c>
    </row>
    <row r="1793" spans="1:8" ht="19.8" customHeight="1" x14ac:dyDescent="0.3">
      <c r="A1793" s="98">
        <f t="shared" si="27"/>
        <v>11</v>
      </c>
      <c r="B1793" s="92" t="s">
        <v>799</v>
      </c>
      <c r="C1793" s="92" t="s">
        <v>647</v>
      </c>
      <c r="D1793" s="95">
        <v>20242.240000000002</v>
      </c>
      <c r="E1793" s="95">
        <v>8007.98</v>
      </c>
      <c r="F1793" s="95">
        <v>12234.26</v>
      </c>
      <c r="G1793" s="95">
        <v>0</v>
      </c>
      <c r="H1793" s="95">
        <v>12234.26</v>
      </c>
    </row>
    <row r="1794" spans="1:8" ht="19.8" customHeight="1" x14ac:dyDescent="0.3">
      <c r="A1794" s="98">
        <f t="shared" si="27"/>
        <v>7</v>
      </c>
      <c r="B1794" s="92" t="s">
        <v>3737</v>
      </c>
      <c r="C1794" s="92" t="s">
        <v>3422</v>
      </c>
      <c r="D1794" s="95">
        <v>10391805.789999999</v>
      </c>
      <c r="E1794" s="95">
        <v>0</v>
      </c>
      <c r="F1794" s="95">
        <v>10391805.789999999</v>
      </c>
      <c r="G1794" s="95">
        <v>0</v>
      </c>
      <c r="H1794" s="95">
        <v>10391805.789999999</v>
      </c>
    </row>
    <row r="1795" spans="1:8" ht="19.8" customHeight="1" x14ac:dyDescent="0.3">
      <c r="A1795" s="98">
        <f t="shared" ref="A1795:A1858" si="28">+LEN(B1795)</f>
        <v>11</v>
      </c>
      <c r="B1795" s="92" t="s">
        <v>800</v>
      </c>
      <c r="C1795" s="92" t="s">
        <v>517</v>
      </c>
      <c r="D1795" s="95">
        <v>6021904.1200000001</v>
      </c>
      <c r="E1795" s="95">
        <v>0</v>
      </c>
      <c r="F1795" s="95">
        <v>6021904.1200000001</v>
      </c>
      <c r="G1795" s="95">
        <v>0</v>
      </c>
      <c r="H1795" s="95">
        <v>6021904.1200000001</v>
      </c>
    </row>
    <row r="1796" spans="1:8" ht="19.8" customHeight="1" x14ac:dyDescent="0.3">
      <c r="A1796" s="98">
        <f t="shared" si="28"/>
        <v>11</v>
      </c>
      <c r="B1796" s="92" t="s">
        <v>3738</v>
      </c>
      <c r="C1796" s="92" t="s">
        <v>519</v>
      </c>
      <c r="D1796" s="95">
        <v>69970.350000000006</v>
      </c>
      <c r="E1796" s="95">
        <v>0</v>
      </c>
      <c r="F1796" s="95">
        <v>69970.350000000006</v>
      </c>
      <c r="G1796" s="95">
        <v>0</v>
      </c>
      <c r="H1796" s="95">
        <v>69970.350000000006</v>
      </c>
    </row>
    <row r="1797" spans="1:8" ht="19.8" customHeight="1" x14ac:dyDescent="0.3">
      <c r="A1797" s="98">
        <f t="shared" si="28"/>
        <v>11</v>
      </c>
      <c r="B1797" s="92" t="s">
        <v>801</v>
      </c>
      <c r="C1797" s="92" t="s">
        <v>522</v>
      </c>
      <c r="D1797" s="95">
        <v>398278.65</v>
      </c>
      <c r="E1797" s="95">
        <v>0</v>
      </c>
      <c r="F1797" s="95">
        <v>398278.65</v>
      </c>
      <c r="G1797" s="95">
        <v>0</v>
      </c>
      <c r="H1797" s="95">
        <v>398278.65</v>
      </c>
    </row>
    <row r="1798" spans="1:8" ht="19.8" customHeight="1" x14ac:dyDescent="0.3">
      <c r="A1798" s="98">
        <f t="shared" si="28"/>
        <v>11</v>
      </c>
      <c r="B1798" s="92" t="s">
        <v>802</v>
      </c>
      <c r="C1798" s="92" t="s">
        <v>524</v>
      </c>
      <c r="D1798" s="95">
        <v>1454702.61</v>
      </c>
      <c r="E1798" s="95">
        <v>0</v>
      </c>
      <c r="F1798" s="95">
        <v>1454702.61</v>
      </c>
      <c r="G1798" s="95">
        <v>0</v>
      </c>
      <c r="H1798" s="95">
        <v>1454702.61</v>
      </c>
    </row>
    <row r="1799" spans="1:8" ht="19.8" customHeight="1" x14ac:dyDescent="0.3">
      <c r="A1799" s="98">
        <f t="shared" si="28"/>
        <v>11</v>
      </c>
      <c r="B1799" s="92" t="s">
        <v>803</v>
      </c>
      <c r="C1799" s="92" t="s">
        <v>526</v>
      </c>
      <c r="D1799" s="95">
        <v>176497.73</v>
      </c>
      <c r="E1799" s="95">
        <v>0</v>
      </c>
      <c r="F1799" s="95">
        <v>176497.73</v>
      </c>
      <c r="G1799" s="95">
        <v>0</v>
      </c>
      <c r="H1799" s="95">
        <v>176497.73</v>
      </c>
    </row>
    <row r="1800" spans="1:8" ht="19.8" customHeight="1" x14ac:dyDescent="0.3">
      <c r="A1800" s="98">
        <f t="shared" si="28"/>
        <v>11</v>
      </c>
      <c r="B1800" s="92" t="s">
        <v>804</v>
      </c>
      <c r="C1800" s="92" t="s">
        <v>528</v>
      </c>
      <c r="D1800" s="95">
        <v>141922.15</v>
      </c>
      <c r="E1800" s="95">
        <v>0</v>
      </c>
      <c r="F1800" s="95">
        <v>141922.15</v>
      </c>
      <c r="G1800" s="95">
        <v>0</v>
      </c>
      <c r="H1800" s="95">
        <v>141922.15</v>
      </c>
    </row>
    <row r="1801" spans="1:8" ht="19.8" customHeight="1" x14ac:dyDescent="0.3">
      <c r="A1801" s="98">
        <f t="shared" si="28"/>
        <v>11</v>
      </c>
      <c r="B1801" s="92" t="s">
        <v>805</v>
      </c>
      <c r="C1801" s="92" t="s">
        <v>530</v>
      </c>
      <c r="D1801" s="95">
        <v>133029.67000000001</v>
      </c>
      <c r="E1801" s="95">
        <v>0</v>
      </c>
      <c r="F1801" s="95">
        <v>133029.67000000001</v>
      </c>
      <c r="G1801" s="95">
        <v>0</v>
      </c>
      <c r="H1801" s="95">
        <v>133029.67000000001</v>
      </c>
    </row>
    <row r="1802" spans="1:8" ht="19.8" customHeight="1" x14ac:dyDescent="0.3">
      <c r="A1802" s="98">
        <f t="shared" si="28"/>
        <v>11</v>
      </c>
      <c r="B1802" s="92" t="s">
        <v>806</v>
      </c>
      <c r="C1802" s="92" t="s">
        <v>555</v>
      </c>
      <c r="D1802" s="95">
        <v>288050.59999999998</v>
      </c>
      <c r="E1802" s="95">
        <v>0</v>
      </c>
      <c r="F1802" s="95">
        <v>288050.59999999998</v>
      </c>
      <c r="G1802" s="95">
        <v>0</v>
      </c>
      <c r="H1802" s="95">
        <v>288050.59999999998</v>
      </c>
    </row>
    <row r="1803" spans="1:8" ht="19.8" customHeight="1" x14ac:dyDescent="0.3">
      <c r="A1803" s="98">
        <f t="shared" si="28"/>
        <v>11</v>
      </c>
      <c r="B1803" s="92" t="s">
        <v>807</v>
      </c>
      <c r="C1803" s="92" t="s">
        <v>532</v>
      </c>
      <c r="D1803" s="95">
        <v>217776.54</v>
      </c>
      <c r="E1803" s="95">
        <v>0</v>
      </c>
      <c r="F1803" s="95">
        <v>217776.54</v>
      </c>
      <c r="G1803" s="95">
        <v>0</v>
      </c>
      <c r="H1803" s="95">
        <v>217776.54</v>
      </c>
    </row>
    <row r="1804" spans="1:8" ht="19.8" customHeight="1" x14ac:dyDescent="0.3">
      <c r="A1804" s="98">
        <f t="shared" si="28"/>
        <v>11</v>
      </c>
      <c r="B1804" s="92" t="s">
        <v>808</v>
      </c>
      <c r="C1804" s="92" t="s">
        <v>534</v>
      </c>
      <c r="D1804" s="95">
        <v>19280.7</v>
      </c>
      <c r="E1804" s="95">
        <v>0</v>
      </c>
      <c r="F1804" s="95">
        <v>19280.7</v>
      </c>
      <c r="G1804" s="95">
        <v>0</v>
      </c>
      <c r="H1804" s="95">
        <v>19280.7</v>
      </c>
    </row>
    <row r="1805" spans="1:8" ht="19.8" customHeight="1" x14ac:dyDescent="0.3">
      <c r="A1805" s="98">
        <f t="shared" si="28"/>
        <v>11</v>
      </c>
      <c r="B1805" s="92" t="s">
        <v>809</v>
      </c>
      <c r="C1805" s="92" t="s">
        <v>536</v>
      </c>
      <c r="D1805" s="95">
        <v>1244231.24</v>
      </c>
      <c r="E1805" s="95">
        <v>0</v>
      </c>
      <c r="F1805" s="95">
        <v>1244231.24</v>
      </c>
      <c r="G1805" s="95">
        <v>0</v>
      </c>
      <c r="H1805" s="95">
        <v>1244231.24</v>
      </c>
    </row>
    <row r="1806" spans="1:8" ht="19.8" customHeight="1" x14ac:dyDescent="0.3">
      <c r="A1806" s="98">
        <f t="shared" si="28"/>
        <v>11</v>
      </c>
      <c r="B1806" s="92" t="s">
        <v>810</v>
      </c>
      <c r="C1806" s="92" t="s">
        <v>537</v>
      </c>
      <c r="D1806" s="95">
        <v>82263.59</v>
      </c>
      <c r="E1806" s="95">
        <v>0</v>
      </c>
      <c r="F1806" s="95">
        <v>82263.59</v>
      </c>
      <c r="G1806" s="95">
        <v>0</v>
      </c>
      <c r="H1806" s="95">
        <v>82263.59</v>
      </c>
    </row>
    <row r="1807" spans="1:8" ht="19.8" customHeight="1" x14ac:dyDescent="0.3">
      <c r="A1807" s="98">
        <f t="shared" si="28"/>
        <v>11</v>
      </c>
      <c r="B1807" s="92" t="s">
        <v>811</v>
      </c>
      <c r="C1807" s="92" t="s">
        <v>539</v>
      </c>
      <c r="D1807" s="95">
        <v>109935.67999999999</v>
      </c>
      <c r="E1807" s="95">
        <v>0</v>
      </c>
      <c r="F1807" s="95">
        <v>109935.67999999999</v>
      </c>
      <c r="G1807" s="95">
        <v>0</v>
      </c>
      <c r="H1807" s="95">
        <v>109935.67999999999</v>
      </c>
    </row>
    <row r="1808" spans="1:8" ht="19.8" customHeight="1" x14ac:dyDescent="0.3">
      <c r="A1808" s="98">
        <f t="shared" si="28"/>
        <v>11</v>
      </c>
      <c r="B1808" s="92" t="s">
        <v>812</v>
      </c>
      <c r="C1808" s="92" t="s">
        <v>541</v>
      </c>
      <c r="D1808" s="95">
        <v>33962.160000000003</v>
      </c>
      <c r="E1808" s="95">
        <v>0</v>
      </c>
      <c r="F1808" s="95">
        <v>33962.160000000003</v>
      </c>
      <c r="G1808" s="95">
        <v>0</v>
      </c>
      <c r="H1808" s="95">
        <v>33962.160000000003</v>
      </c>
    </row>
    <row r="1809" spans="1:8" ht="19.8" customHeight="1" x14ac:dyDescent="0.3">
      <c r="A1809" s="98">
        <f t="shared" si="28"/>
        <v>3</v>
      </c>
      <c r="B1809" s="92" t="s">
        <v>249</v>
      </c>
      <c r="C1809" s="92" t="s">
        <v>365</v>
      </c>
      <c r="D1809" s="95">
        <v>129048443.77</v>
      </c>
      <c r="E1809" s="95">
        <v>22071286.219999999</v>
      </c>
      <c r="F1809" s="95">
        <v>106977157.55</v>
      </c>
      <c r="G1809" s="95">
        <v>0</v>
      </c>
      <c r="H1809" s="95">
        <v>106977157.55</v>
      </c>
    </row>
    <row r="1810" spans="1:8" ht="19.8" customHeight="1" x14ac:dyDescent="0.3">
      <c r="A1810" s="98">
        <f t="shared" si="28"/>
        <v>7</v>
      </c>
      <c r="B1810" s="92" t="s">
        <v>3739</v>
      </c>
      <c r="C1810" s="92" t="s">
        <v>3422</v>
      </c>
      <c r="D1810" s="95">
        <v>78646389.489999995</v>
      </c>
      <c r="E1810" s="95">
        <v>19700633.190000001</v>
      </c>
      <c r="F1810" s="95">
        <v>58945756.299999997</v>
      </c>
      <c r="G1810" s="95">
        <v>0</v>
      </c>
      <c r="H1810" s="95">
        <v>58945756.299999997</v>
      </c>
    </row>
    <row r="1811" spans="1:8" ht="19.8" customHeight="1" x14ac:dyDescent="0.3">
      <c r="A1811" s="98">
        <f t="shared" si="28"/>
        <v>11</v>
      </c>
      <c r="B1811" s="92" t="s">
        <v>813</v>
      </c>
      <c r="C1811" s="92" t="s">
        <v>517</v>
      </c>
      <c r="D1811" s="95">
        <v>44676600.829999998</v>
      </c>
      <c r="E1811" s="95">
        <v>438129.63</v>
      </c>
      <c r="F1811" s="95">
        <v>44238471.200000003</v>
      </c>
      <c r="G1811" s="95">
        <v>0</v>
      </c>
      <c r="H1811" s="95">
        <v>44238471.200000003</v>
      </c>
    </row>
    <row r="1812" spans="1:8" ht="19.8" customHeight="1" x14ac:dyDescent="0.3">
      <c r="A1812" s="98">
        <f t="shared" si="28"/>
        <v>11</v>
      </c>
      <c r="B1812" s="92" t="s">
        <v>814</v>
      </c>
      <c r="C1812" s="92" t="s">
        <v>519</v>
      </c>
      <c r="D1812" s="95">
        <v>83948.49</v>
      </c>
      <c r="E1812" s="95">
        <v>0</v>
      </c>
      <c r="F1812" s="95">
        <v>83948.49</v>
      </c>
      <c r="G1812" s="95">
        <v>0</v>
      </c>
      <c r="H1812" s="95">
        <v>83948.49</v>
      </c>
    </row>
    <row r="1813" spans="1:8" ht="19.8" customHeight="1" x14ac:dyDescent="0.3">
      <c r="A1813" s="98">
        <f t="shared" si="28"/>
        <v>11</v>
      </c>
      <c r="B1813" s="92" t="s">
        <v>815</v>
      </c>
      <c r="C1813" s="92" t="s">
        <v>522</v>
      </c>
      <c r="D1813" s="95">
        <v>17798377.59</v>
      </c>
      <c r="E1813" s="95">
        <v>17615840.640000001</v>
      </c>
      <c r="F1813" s="95">
        <v>182536.95</v>
      </c>
      <c r="G1813" s="95">
        <v>0</v>
      </c>
      <c r="H1813" s="95">
        <v>182536.95</v>
      </c>
    </row>
    <row r="1814" spans="1:8" ht="19.8" customHeight="1" x14ac:dyDescent="0.3">
      <c r="A1814" s="98">
        <f t="shared" si="28"/>
        <v>11</v>
      </c>
      <c r="B1814" s="92" t="s">
        <v>816</v>
      </c>
      <c r="C1814" s="92" t="s">
        <v>524</v>
      </c>
      <c r="D1814" s="95">
        <v>7446060.9400000004</v>
      </c>
      <c r="E1814" s="95">
        <v>815285.77</v>
      </c>
      <c r="F1814" s="95">
        <v>6630775.1699999999</v>
      </c>
      <c r="G1814" s="95">
        <v>0</v>
      </c>
      <c r="H1814" s="95">
        <v>6630775.1699999999</v>
      </c>
    </row>
    <row r="1815" spans="1:8" ht="19.8" customHeight="1" x14ac:dyDescent="0.3">
      <c r="A1815" s="98">
        <f t="shared" si="28"/>
        <v>11</v>
      </c>
      <c r="B1815" s="92" t="s">
        <v>817</v>
      </c>
      <c r="C1815" s="92" t="s">
        <v>526</v>
      </c>
      <c r="D1815" s="95">
        <v>1945991.3</v>
      </c>
      <c r="E1815" s="95">
        <v>0</v>
      </c>
      <c r="F1815" s="95">
        <v>1945991.3</v>
      </c>
      <c r="G1815" s="95">
        <v>0</v>
      </c>
      <c r="H1815" s="95">
        <v>1945991.3</v>
      </c>
    </row>
    <row r="1816" spans="1:8" ht="19.8" customHeight="1" x14ac:dyDescent="0.3">
      <c r="A1816" s="98">
        <f t="shared" si="28"/>
        <v>11</v>
      </c>
      <c r="B1816" s="92" t="s">
        <v>818</v>
      </c>
      <c r="C1816" s="92" t="s">
        <v>528</v>
      </c>
      <c r="D1816" s="95">
        <v>712801.25</v>
      </c>
      <c r="E1816" s="95">
        <v>0</v>
      </c>
      <c r="F1816" s="95">
        <v>712801.25</v>
      </c>
      <c r="G1816" s="95">
        <v>0</v>
      </c>
      <c r="H1816" s="95">
        <v>712801.25</v>
      </c>
    </row>
    <row r="1817" spans="1:8" ht="19.8" customHeight="1" x14ac:dyDescent="0.3">
      <c r="A1817" s="98">
        <f t="shared" si="28"/>
        <v>11</v>
      </c>
      <c r="B1817" s="92" t="s">
        <v>819</v>
      </c>
      <c r="C1817" s="92" t="s">
        <v>530</v>
      </c>
      <c r="D1817" s="95">
        <v>514351.98</v>
      </c>
      <c r="E1817" s="95">
        <v>0</v>
      </c>
      <c r="F1817" s="95">
        <v>514351.98</v>
      </c>
      <c r="G1817" s="95">
        <v>0</v>
      </c>
      <c r="H1817" s="95">
        <v>514351.98</v>
      </c>
    </row>
    <row r="1818" spans="1:8" ht="19.8" customHeight="1" x14ac:dyDescent="0.3">
      <c r="A1818" s="98">
        <f t="shared" si="28"/>
        <v>11</v>
      </c>
      <c r="B1818" s="92" t="s">
        <v>820</v>
      </c>
      <c r="C1818" s="92" t="s">
        <v>555</v>
      </c>
      <c r="D1818" s="95">
        <v>3841361.79</v>
      </c>
      <c r="E1818" s="95">
        <v>831377.15</v>
      </c>
      <c r="F1818" s="95">
        <v>3009984.64</v>
      </c>
      <c r="G1818" s="95">
        <v>0</v>
      </c>
      <c r="H1818" s="95">
        <v>3009984.64</v>
      </c>
    </row>
    <row r="1819" spans="1:8" ht="19.8" customHeight="1" x14ac:dyDescent="0.3">
      <c r="A1819" s="98">
        <f t="shared" si="28"/>
        <v>11</v>
      </c>
      <c r="B1819" s="92" t="s">
        <v>821</v>
      </c>
      <c r="C1819" s="92" t="s">
        <v>532</v>
      </c>
      <c r="D1819" s="95">
        <v>720016.44</v>
      </c>
      <c r="E1819" s="95">
        <v>0</v>
      </c>
      <c r="F1819" s="95">
        <v>720016.44</v>
      </c>
      <c r="G1819" s="95">
        <v>0</v>
      </c>
      <c r="H1819" s="95">
        <v>720016.44</v>
      </c>
    </row>
    <row r="1820" spans="1:8" ht="19.8" customHeight="1" x14ac:dyDescent="0.3">
      <c r="A1820" s="98">
        <f t="shared" si="28"/>
        <v>11</v>
      </c>
      <c r="B1820" s="92" t="s">
        <v>822</v>
      </c>
      <c r="C1820" s="92" t="s">
        <v>534</v>
      </c>
      <c r="D1820" s="95">
        <v>15255.09</v>
      </c>
      <c r="E1820" s="95">
        <v>0</v>
      </c>
      <c r="F1820" s="95">
        <v>15255.09</v>
      </c>
      <c r="G1820" s="95">
        <v>0</v>
      </c>
      <c r="H1820" s="95">
        <v>15255.09</v>
      </c>
    </row>
    <row r="1821" spans="1:8" ht="19.8" customHeight="1" x14ac:dyDescent="0.3">
      <c r="A1821" s="98">
        <f t="shared" si="28"/>
        <v>11</v>
      </c>
      <c r="B1821" s="92" t="s">
        <v>823</v>
      </c>
      <c r="C1821" s="92" t="s">
        <v>536</v>
      </c>
      <c r="D1821" s="95">
        <v>171990.36</v>
      </c>
      <c r="E1821" s="95">
        <v>0</v>
      </c>
      <c r="F1821" s="95">
        <v>171990.36</v>
      </c>
      <c r="G1821" s="95">
        <v>0</v>
      </c>
      <c r="H1821" s="95">
        <v>171990.36</v>
      </c>
    </row>
    <row r="1822" spans="1:8" ht="19.8" customHeight="1" x14ac:dyDescent="0.3">
      <c r="A1822" s="98">
        <f t="shared" si="28"/>
        <v>11</v>
      </c>
      <c r="B1822" s="92" t="s">
        <v>824</v>
      </c>
      <c r="C1822" s="92" t="s">
        <v>560</v>
      </c>
      <c r="D1822" s="95">
        <v>719633.43</v>
      </c>
      <c r="E1822" s="95">
        <v>0</v>
      </c>
      <c r="F1822" s="95">
        <v>719633.43</v>
      </c>
      <c r="G1822" s="95">
        <v>0</v>
      </c>
      <c r="H1822" s="95">
        <v>719633.43</v>
      </c>
    </row>
    <row r="1823" spans="1:8" ht="19.8" customHeight="1" x14ac:dyDescent="0.3">
      <c r="A1823" s="98">
        <f t="shared" si="28"/>
        <v>7</v>
      </c>
      <c r="B1823" s="92" t="s">
        <v>3740</v>
      </c>
      <c r="C1823" s="92" t="s">
        <v>3741</v>
      </c>
      <c r="D1823" s="95">
        <v>425.25</v>
      </c>
      <c r="E1823" s="95">
        <v>425.25</v>
      </c>
      <c r="F1823" s="95">
        <v>0</v>
      </c>
      <c r="G1823" s="95">
        <v>0</v>
      </c>
      <c r="H1823" s="95">
        <v>0</v>
      </c>
    </row>
    <row r="1824" spans="1:8" ht="19.8" customHeight="1" x14ac:dyDescent="0.3">
      <c r="A1824" s="98">
        <f t="shared" si="28"/>
        <v>11</v>
      </c>
      <c r="B1824" s="92" t="s">
        <v>3742</v>
      </c>
      <c r="C1824" s="92" t="s">
        <v>3743</v>
      </c>
      <c r="D1824" s="95">
        <v>425.25</v>
      </c>
      <c r="E1824" s="95">
        <v>425.25</v>
      </c>
      <c r="F1824" s="95">
        <v>0</v>
      </c>
      <c r="G1824" s="95">
        <v>0</v>
      </c>
      <c r="H1824" s="95">
        <v>0</v>
      </c>
    </row>
    <row r="1825" spans="1:8" ht="19.8" customHeight="1" x14ac:dyDescent="0.3">
      <c r="A1825" s="98">
        <f t="shared" si="28"/>
        <v>7</v>
      </c>
      <c r="B1825" s="92" t="s">
        <v>3744</v>
      </c>
      <c r="C1825" s="92" t="s">
        <v>3387</v>
      </c>
      <c r="D1825" s="95">
        <v>10249562.59</v>
      </c>
      <c r="E1825" s="95">
        <v>105957.9</v>
      </c>
      <c r="F1825" s="95">
        <v>10143604.689999999</v>
      </c>
      <c r="G1825" s="95">
        <v>0</v>
      </c>
      <c r="H1825" s="95">
        <v>10143604.689999999</v>
      </c>
    </row>
    <row r="1826" spans="1:8" ht="19.8" customHeight="1" x14ac:dyDescent="0.3">
      <c r="A1826" s="98">
        <f t="shared" si="28"/>
        <v>11</v>
      </c>
      <c r="B1826" s="92" t="s">
        <v>825</v>
      </c>
      <c r="C1826" s="92" t="s">
        <v>751</v>
      </c>
      <c r="D1826" s="95">
        <v>41406.230000000003</v>
      </c>
      <c r="E1826" s="95">
        <v>0</v>
      </c>
      <c r="F1826" s="95">
        <v>41406.230000000003</v>
      </c>
      <c r="G1826" s="95">
        <v>0</v>
      </c>
      <c r="H1826" s="95">
        <v>41406.230000000003</v>
      </c>
    </row>
    <row r="1827" spans="1:8" ht="19.8" customHeight="1" x14ac:dyDescent="0.3">
      <c r="A1827" s="98">
        <f t="shared" si="28"/>
        <v>11</v>
      </c>
      <c r="B1827" s="92" t="s">
        <v>826</v>
      </c>
      <c r="C1827" s="92" t="s">
        <v>436</v>
      </c>
      <c r="D1827" s="95">
        <v>2458091.35</v>
      </c>
      <c r="E1827" s="95">
        <v>104828.22</v>
      </c>
      <c r="F1827" s="95">
        <v>2353263.13</v>
      </c>
      <c r="G1827" s="95">
        <v>0</v>
      </c>
      <c r="H1827" s="95">
        <v>2353263.13</v>
      </c>
    </row>
    <row r="1828" spans="1:8" ht="19.8" customHeight="1" x14ac:dyDescent="0.3">
      <c r="A1828" s="98">
        <f t="shared" si="28"/>
        <v>11</v>
      </c>
      <c r="B1828" s="92" t="s">
        <v>827</v>
      </c>
      <c r="C1828" s="92" t="s">
        <v>437</v>
      </c>
      <c r="D1828" s="95">
        <v>1519781.14</v>
      </c>
      <c r="E1828" s="95">
        <v>0</v>
      </c>
      <c r="F1828" s="95">
        <v>1519781.14</v>
      </c>
      <c r="G1828" s="95">
        <v>0</v>
      </c>
      <c r="H1828" s="95">
        <v>1519781.14</v>
      </c>
    </row>
    <row r="1829" spans="1:8" ht="19.8" customHeight="1" x14ac:dyDescent="0.3">
      <c r="A1829" s="98">
        <f t="shared" si="28"/>
        <v>11</v>
      </c>
      <c r="B1829" s="92" t="s">
        <v>828</v>
      </c>
      <c r="C1829" s="92" t="s">
        <v>438</v>
      </c>
      <c r="D1829" s="95">
        <v>6192198.4199999999</v>
      </c>
      <c r="E1829" s="95">
        <v>1129.68</v>
      </c>
      <c r="F1829" s="95">
        <v>6191068.7400000002</v>
      </c>
      <c r="G1829" s="95">
        <v>0</v>
      </c>
      <c r="H1829" s="95">
        <v>6191068.7400000002</v>
      </c>
    </row>
    <row r="1830" spans="1:8" ht="19.8" customHeight="1" x14ac:dyDescent="0.3">
      <c r="A1830" s="98">
        <f t="shared" si="28"/>
        <v>11</v>
      </c>
      <c r="B1830" s="92" t="s">
        <v>829</v>
      </c>
      <c r="C1830" s="92" t="s">
        <v>439</v>
      </c>
      <c r="D1830" s="95">
        <v>38085.449999999997</v>
      </c>
      <c r="E1830" s="95">
        <v>0</v>
      </c>
      <c r="F1830" s="95">
        <v>38085.449999999997</v>
      </c>
      <c r="G1830" s="95">
        <v>0</v>
      </c>
      <c r="H1830" s="95">
        <v>38085.449999999997</v>
      </c>
    </row>
    <row r="1831" spans="1:8" ht="19.8" customHeight="1" x14ac:dyDescent="0.3">
      <c r="A1831" s="98">
        <f t="shared" si="28"/>
        <v>7</v>
      </c>
      <c r="B1831" s="92" t="s">
        <v>3745</v>
      </c>
      <c r="C1831" s="92" t="s">
        <v>3707</v>
      </c>
      <c r="D1831" s="95">
        <v>18059893.359999999</v>
      </c>
      <c r="E1831" s="95">
        <v>524761.80000000005</v>
      </c>
      <c r="F1831" s="95">
        <v>17535131.559999999</v>
      </c>
      <c r="G1831" s="95">
        <v>0</v>
      </c>
      <c r="H1831" s="95">
        <v>17535131.559999999</v>
      </c>
    </row>
    <row r="1832" spans="1:8" ht="19.8" customHeight="1" x14ac:dyDescent="0.3">
      <c r="A1832" s="98">
        <f t="shared" si="28"/>
        <v>11</v>
      </c>
      <c r="B1832" s="92" t="s">
        <v>3746</v>
      </c>
      <c r="C1832" s="92" t="s">
        <v>3747</v>
      </c>
      <c r="D1832" s="95">
        <v>9744540.6500000004</v>
      </c>
      <c r="E1832" s="95">
        <v>488211.8</v>
      </c>
      <c r="F1832" s="95">
        <v>9256328.8499999996</v>
      </c>
      <c r="G1832" s="95">
        <v>0</v>
      </c>
      <c r="H1832" s="95">
        <v>9256328.8499999996</v>
      </c>
    </row>
    <row r="1833" spans="1:8" ht="19.8" customHeight="1" x14ac:dyDescent="0.3">
      <c r="A1833" s="98">
        <f t="shared" si="28"/>
        <v>11</v>
      </c>
      <c r="B1833" s="92" t="s">
        <v>830</v>
      </c>
      <c r="C1833" s="92" t="s">
        <v>665</v>
      </c>
      <c r="D1833" s="95">
        <v>203277.85</v>
      </c>
      <c r="E1833" s="95">
        <v>0</v>
      </c>
      <c r="F1833" s="95">
        <v>203277.85</v>
      </c>
      <c r="G1833" s="95">
        <v>0</v>
      </c>
      <c r="H1833" s="95">
        <v>203277.85</v>
      </c>
    </row>
    <row r="1834" spans="1:8" ht="19.8" customHeight="1" x14ac:dyDescent="0.3">
      <c r="A1834" s="98">
        <f t="shared" si="28"/>
        <v>11</v>
      </c>
      <c r="B1834" s="92" t="s">
        <v>831</v>
      </c>
      <c r="C1834" s="92" t="s">
        <v>832</v>
      </c>
      <c r="D1834" s="95">
        <v>1901062.5</v>
      </c>
      <c r="E1834" s="95">
        <v>0</v>
      </c>
      <c r="F1834" s="95">
        <v>1901062.5</v>
      </c>
      <c r="G1834" s="95">
        <v>0</v>
      </c>
      <c r="H1834" s="95">
        <v>1901062.5</v>
      </c>
    </row>
    <row r="1835" spans="1:8" ht="19.8" customHeight="1" x14ac:dyDescent="0.3">
      <c r="A1835" s="98">
        <f t="shared" si="28"/>
        <v>11</v>
      </c>
      <c r="B1835" s="92" t="s">
        <v>833</v>
      </c>
      <c r="C1835" s="92" t="s">
        <v>834</v>
      </c>
      <c r="D1835" s="95">
        <v>78000</v>
      </c>
      <c r="E1835" s="95">
        <v>0</v>
      </c>
      <c r="F1835" s="95">
        <v>78000</v>
      </c>
      <c r="G1835" s="95">
        <v>0</v>
      </c>
      <c r="H1835" s="95">
        <v>78000</v>
      </c>
    </row>
    <row r="1836" spans="1:8" ht="19.8" customHeight="1" x14ac:dyDescent="0.3">
      <c r="A1836" s="98">
        <f t="shared" si="28"/>
        <v>11</v>
      </c>
      <c r="B1836" s="92" t="s">
        <v>835</v>
      </c>
      <c r="C1836" s="92" t="s">
        <v>836</v>
      </c>
      <c r="D1836" s="95">
        <v>258121.8</v>
      </c>
      <c r="E1836" s="95">
        <v>0</v>
      </c>
      <c r="F1836" s="95">
        <v>258121.8</v>
      </c>
      <c r="G1836" s="95">
        <v>0</v>
      </c>
      <c r="H1836" s="95">
        <v>258121.8</v>
      </c>
    </row>
    <row r="1837" spans="1:8" ht="19.8" customHeight="1" x14ac:dyDescent="0.3">
      <c r="A1837" s="98">
        <f t="shared" si="28"/>
        <v>11</v>
      </c>
      <c r="B1837" s="92" t="s">
        <v>837</v>
      </c>
      <c r="C1837" s="92" t="s">
        <v>838</v>
      </c>
      <c r="D1837" s="95">
        <v>3540000</v>
      </c>
      <c r="E1837" s="95">
        <v>0</v>
      </c>
      <c r="F1837" s="95">
        <v>3540000</v>
      </c>
      <c r="G1837" s="95">
        <v>0</v>
      </c>
      <c r="H1837" s="95">
        <v>3540000</v>
      </c>
    </row>
    <row r="1838" spans="1:8" ht="19.8" customHeight="1" x14ac:dyDescent="0.3">
      <c r="A1838" s="98">
        <f t="shared" si="28"/>
        <v>11</v>
      </c>
      <c r="B1838" s="92" t="s">
        <v>839</v>
      </c>
      <c r="C1838" s="92" t="s">
        <v>840</v>
      </c>
      <c r="D1838" s="95">
        <v>882015.83</v>
      </c>
      <c r="E1838" s="95">
        <v>0</v>
      </c>
      <c r="F1838" s="95">
        <v>882015.83</v>
      </c>
      <c r="G1838" s="95">
        <v>0</v>
      </c>
      <c r="H1838" s="95">
        <v>882015.83</v>
      </c>
    </row>
    <row r="1839" spans="1:8" ht="19.8" customHeight="1" x14ac:dyDescent="0.3">
      <c r="A1839" s="98">
        <f t="shared" si="28"/>
        <v>11</v>
      </c>
      <c r="B1839" s="92" t="s">
        <v>841</v>
      </c>
      <c r="C1839" s="92" t="s">
        <v>842</v>
      </c>
      <c r="D1839" s="95">
        <v>1409655.05</v>
      </c>
      <c r="E1839" s="95">
        <v>36550</v>
      </c>
      <c r="F1839" s="95">
        <v>1373105.05</v>
      </c>
      <c r="G1839" s="95">
        <v>0</v>
      </c>
      <c r="H1839" s="95">
        <v>1373105.05</v>
      </c>
    </row>
    <row r="1840" spans="1:8" ht="19.8" customHeight="1" x14ac:dyDescent="0.3">
      <c r="A1840" s="98">
        <f t="shared" si="28"/>
        <v>11</v>
      </c>
      <c r="B1840" s="92" t="s">
        <v>843</v>
      </c>
      <c r="C1840" s="92" t="s">
        <v>844</v>
      </c>
      <c r="D1840" s="95">
        <v>43219.68</v>
      </c>
      <c r="E1840" s="95">
        <v>0</v>
      </c>
      <c r="F1840" s="95">
        <v>43219.68</v>
      </c>
      <c r="G1840" s="95">
        <v>0</v>
      </c>
      <c r="H1840" s="95">
        <v>43219.68</v>
      </c>
    </row>
    <row r="1841" spans="1:8" ht="19.8" customHeight="1" x14ac:dyDescent="0.3">
      <c r="A1841" s="98">
        <f t="shared" si="28"/>
        <v>7</v>
      </c>
      <c r="B1841" s="92" t="s">
        <v>3748</v>
      </c>
      <c r="C1841" s="92" t="s">
        <v>3448</v>
      </c>
      <c r="D1841" s="95">
        <v>3031782.92</v>
      </c>
      <c r="E1841" s="95">
        <v>662073.30000000005</v>
      </c>
      <c r="F1841" s="95">
        <v>2369709.62</v>
      </c>
      <c r="G1841" s="95">
        <v>0</v>
      </c>
      <c r="H1841" s="95">
        <v>2369709.62</v>
      </c>
    </row>
    <row r="1842" spans="1:8" ht="19.8" customHeight="1" x14ac:dyDescent="0.3">
      <c r="A1842" s="98">
        <f t="shared" si="28"/>
        <v>11</v>
      </c>
      <c r="B1842" s="92" t="s">
        <v>845</v>
      </c>
      <c r="C1842" s="92" t="s">
        <v>607</v>
      </c>
      <c r="D1842" s="95">
        <v>156481.87</v>
      </c>
      <c r="E1842" s="95">
        <v>47471.15</v>
      </c>
      <c r="F1842" s="95">
        <v>109010.72</v>
      </c>
      <c r="G1842" s="95">
        <v>0</v>
      </c>
      <c r="H1842" s="95">
        <v>109010.72</v>
      </c>
    </row>
    <row r="1843" spans="1:8" ht="19.8" customHeight="1" x14ac:dyDescent="0.3">
      <c r="A1843" s="98">
        <f t="shared" si="28"/>
        <v>11</v>
      </c>
      <c r="B1843" s="92" t="s">
        <v>846</v>
      </c>
      <c r="C1843" s="92" t="s">
        <v>609</v>
      </c>
      <c r="D1843" s="95">
        <v>322446.64</v>
      </c>
      <c r="E1843" s="95">
        <v>97267.64</v>
      </c>
      <c r="F1843" s="95">
        <v>225179</v>
      </c>
      <c r="G1843" s="95">
        <v>0</v>
      </c>
      <c r="H1843" s="95">
        <v>225179</v>
      </c>
    </row>
    <row r="1844" spans="1:8" ht="19.8" customHeight="1" x14ac:dyDescent="0.3">
      <c r="A1844" s="98">
        <f t="shared" si="28"/>
        <v>11</v>
      </c>
      <c r="B1844" s="92" t="s">
        <v>847</v>
      </c>
      <c r="C1844" s="92" t="s">
        <v>611</v>
      </c>
      <c r="D1844" s="95">
        <v>468540.86</v>
      </c>
      <c r="E1844" s="95">
        <v>140562.29999999999</v>
      </c>
      <c r="F1844" s="95">
        <v>327978.56</v>
      </c>
      <c r="G1844" s="95">
        <v>0</v>
      </c>
      <c r="H1844" s="95">
        <v>327978.56</v>
      </c>
    </row>
    <row r="1845" spans="1:8" ht="19.8" customHeight="1" x14ac:dyDescent="0.3">
      <c r="A1845" s="98">
        <f t="shared" si="28"/>
        <v>11</v>
      </c>
      <c r="B1845" s="92" t="s">
        <v>848</v>
      </c>
      <c r="C1845" s="92" t="s">
        <v>613</v>
      </c>
      <c r="D1845" s="95">
        <v>933314.89</v>
      </c>
      <c r="E1845" s="95">
        <v>279861.88</v>
      </c>
      <c r="F1845" s="95">
        <v>653453.01</v>
      </c>
      <c r="G1845" s="95">
        <v>0</v>
      </c>
      <c r="H1845" s="95">
        <v>653453.01</v>
      </c>
    </row>
    <row r="1846" spans="1:8" ht="19.8" customHeight="1" x14ac:dyDescent="0.3">
      <c r="A1846" s="98">
        <f t="shared" si="28"/>
        <v>11</v>
      </c>
      <c r="B1846" s="92" t="s">
        <v>849</v>
      </c>
      <c r="C1846" s="92" t="s">
        <v>850</v>
      </c>
      <c r="D1846" s="95">
        <v>203395.81</v>
      </c>
      <c r="E1846" s="95">
        <v>0</v>
      </c>
      <c r="F1846" s="95">
        <v>203395.81</v>
      </c>
      <c r="G1846" s="95">
        <v>0</v>
      </c>
      <c r="H1846" s="95">
        <v>203395.81</v>
      </c>
    </row>
    <row r="1847" spans="1:8" ht="19.8" customHeight="1" x14ac:dyDescent="0.3">
      <c r="A1847" s="98">
        <f t="shared" si="28"/>
        <v>11</v>
      </c>
      <c r="B1847" s="92" t="s">
        <v>851</v>
      </c>
      <c r="C1847" s="92" t="s">
        <v>617</v>
      </c>
      <c r="D1847" s="95">
        <v>37089.589999999997</v>
      </c>
      <c r="E1847" s="95">
        <v>11126.88</v>
      </c>
      <c r="F1847" s="95">
        <v>25962.71</v>
      </c>
      <c r="G1847" s="95">
        <v>0</v>
      </c>
      <c r="H1847" s="95">
        <v>25962.71</v>
      </c>
    </row>
    <row r="1848" spans="1:8" ht="19.8" customHeight="1" x14ac:dyDescent="0.3">
      <c r="A1848" s="98">
        <f t="shared" si="28"/>
        <v>11</v>
      </c>
      <c r="B1848" s="92" t="s">
        <v>852</v>
      </c>
      <c r="C1848" s="92" t="s">
        <v>619</v>
      </c>
      <c r="D1848" s="95">
        <v>220549</v>
      </c>
      <c r="E1848" s="95">
        <v>74739.09</v>
      </c>
      <c r="F1848" s="95">
        <v>145809.91</v>
      </c>
      <c r="G1848" s="95">
        <v>0</v>
      </c>
      <c r="H1848" s="95">
        <v>145809.91</v>
      </c>
    </row>
    <row r="1849" spans="1:8" ht="19.8" customHeight="1" x14ac:dyDescent="0.3">
      <c r="A1849" s="98">
        <f t="shared" si="28"/>
        <v>11</v>
      </c>
      <c r="B1849" s="92" t="s">
        <v>853</v>
      </c>
      <c r="C1849" s="92" t="s">
        <v>621</v>
      </c>
      <c r="D1849" s="95">
        <v>11420.72</v>
      </c>
      <c r="E1849" s="95">
        <v>3426.22</v>
      </c>
      <c r="F1849" s="95">
        <v>7994.5</v>
      </c>
      <c r="G1849" s="95">
        <v>0</v>
      </c>
      <c r="H1849" s="95">
        <v>7994.5</v>
      </c>
    </row>
    <row r="1850" spans="1:8" ht="19.8" customHeight="1" x14ac:dyDescent="0.3">
      <c r="A1850" s="98">
        <f t="shared" si="28"/>
        <v>11</v>
      </c>
      <c r="B1850" s="92" t="s">
        <v>854</v>
      </c>
      <c r="C1850" s="92" t="s">
        <v>625</v>
      </c>
      <c r="D1850" s="95">
        <v>47471.15</v>
      </c>
      <c r="E1850" s="95">
        <v>752.27</v>
      </c>
      <c r="F1850" s="95">
        <v>46718.879999999997</v>
      </c>
      <c r="G1850" s="95">
        <v>0</v>
      </c>
      <c r="H1850" s="95">
        <v>46718.879999999997</v>
      </c>
    </row>
    <row r="1851" spans="1:8" ht="19.8" customHeight="1" x14ac:dyDescent="0.3">
      <c r="A1851" s="98">
        <f t="shared" si="28"/>
        <v>11</v>
      </c>
      <c r="B1851" s="92" t="s">
        <v>855</v>
      </c>
      <c r="C1851" s="92" t="s">
        <v>627</v>
      </c>
      <c r="D1851" s="95">
        <v>97267.64</v>
      </c>
      <c r="E1851" s="95">
        <v>762.36</v>
      </c>
      <c r="F1851" s="95">
        <v>96505.279999999999</v>
      </c>
      <c r="G1851" s="95">
        <v>0</v>
      </c>
      <c r="H1851" s="95">
        <v>96505.279999999999</v>
      </c>
    </row>
    <row r="1852" spans="1:8" ht="19.8" customHeight="1" x14ac:dyDescent="0.3">
      <c r="A1852" s="98">
        <f t="shared" si="28"/>
        <v>11</v>
      </c>
      <c r="B1852" s="92" t="s">
        <v>856</v>
      </c>
      <c r="C1852" s="92" t="s">
        <v>629</v>
      </c>
      <c r="D1852" s="95">
        <v>140562.29999999999</v>
      </c>
      <c r="E1852" s="95">
        <v>0</v>
      </c>
      <c r="F1852" s="95">
        <v>140562.29999999999</v>
      </c>
      <c r="G1852" s="95">
        <v>0</v>
      </c>
      <c r="H1852" s="95">
        <v>140562.29999999999</v>
      </c>
    </row>
    <row r="1853" spans="1:8" ht="19.8" customHeight="1" x14ac:dyDescent="0.3">
      <c r="A1853" s="98">
        <f t="shared" si="28"/>
        <v>11</v>
      </c>
      <c r="B1853" s="92" t="s">
        <v>857</v>
      </c>
      <c r="C1853" s="92" t="s">
        <v>631</v>
      </c>
      <c r="D1853" s="95">
        <v>279861.88</v>
      </c>
      <c r="E1853" s="95">
        <v>0</v>
      </c>
      <c r="F1853" s="95">
        <v>279861.88</v>
      </c>
      <c r="G1853" s="95">
        <v>0</v>
      </c>
      <c r="H1853" s="95">
        <v>279861.88</v>
      </c>
    </row>
    <row r="1854" spans="1:8" ht="19.8" customHeight="1" x14ac:dyDescent="0.3">
      <c r="A1854" s="98">
        <f t="shared" si="28"/>
        <v>11</v>
      </c>
      <c r="B1854" s="92" t="s">
        <v>858</v>
      </c>
      <c r="C1854" s="92" t="s">
        <v>632</v>
      </c>
      <c r="D1854" s="95">
        <v>19311.400000000001</v>
      </c>
      <c r="E1854" s="95">
        <v>0</v>
      </c>
      <c r="F1854" s="95">
        <v>19311.400000000001</v>
      </c>
      <c r="G1854" s="95">
        <v>0</v>
      </c>
      <c r="H1854" s="95">
        <v>19311.400000000001</v>
      </c>
    </row>
    <row r="1855" spans="1:8" ht="19.8" customHeight="1" x14ac:dyDescent="0.3">
      <c r="A1855" s="98">
        <f t="shared" si="28"/>
        <v>11</v>
      </c>
      <c r="B1855" s="92" t="s">
        <v>859</v>
      </c>
      <c r="C1855" s="92" t="s">
        <v>634</v>
      </c>
      <c r="D1855" s="95">
        <v>11126.88</v>
      </c>
      <c r="E1855" s="95">
        <v>0</v>
      </c>
      <c r="F1855" s="95">
        <v>11126.88</v>
      </c>
      <c r="G1855" s="95">
        <v>0</v>
      </c>
      <c r="H1855" s="95">
        <v>11126.88</v>
      </c>
    </row>
    <row r="1856" spans="1:8" ht="19.8" customHeight="1" x14ac:dyDescent="0.3">
      <c r="A1856" s="98">
        <f t="shared" si="28"/>
        <v>11</v>
      </c>
      <c r="B1856" s="92" t="s">
        <v>860</v>
      </c>
      <c r="C1856" s="92" t="s">
        <v>636</v>
      </c>
      <c r="D1856" s="95">
        <v>65316.69</v>
      </c>
      <c r="E1856" s="95">
        <v>2826.73</v>
      </c>
      <c r="F1856" s="95">
        <v>62489.96</v>
      </c>
      <c r="G1856" s="95">
        <v>0</v>
      </c>
      <c r="H1856" s="95">
        <v>62489.96</v>
      </c>
    </row>
    <row r="1857" spans="1:8" ht="19.8" customHeight="1" x14ac:dyDescent="0.3">
      <c r="A1857" s="98">
        <f t="shared" si="28"/>
        <v>11</v>
      </c>
      <c r="B1857" s="92" t="s">
        <v>861</v>
      </c>
      <c r="C1857" s="92" t="s">
        <v>638</v>
      </c>
      <c r="D1857" s="95">
        <v>3426.22</v>
      </c>
      <c r="E1857" s="95">
        <v>0</v>
      </c>
      <c r="F1857" s="95">
        <v>3426.22</v>
      </c>
      <c r="G1857" s="95">
        <v>0</v>
      </c>
      <c r="H1857" s="95">
        <v>3426.22</v>
      </c>
    </row>
    <row r="1858" spans="1:8" ht="19.8" customHeight="1" x14ac:dyDescent="0.3">
      <c r="A1858" s="98">
        <f t="shared" si="28"/>
        <v>11</v>
      </c>
      <c r="B1858" s="92" t="s">
        <v>862</v>
      </c>
      <c r="C1858" s="92" t="s">
        <v>640</v>
      </c>
      <c r="D1858" s="95">
        <v>3276.78</v>
      </c>
      <c r="E1858" s="95">
        <v>0</v>
      </c>
      <c r="F1858" s="95">
        <v>3276.78</v>
      </c>
      <c r="G1858" s="95">
        <v>0</v>
      </c>
      <c r="H1858" s="95">
        <v>3276.78</v>
      </c>
    </row>
    <row r="1859" spans="1:8" ht="19.8" customHeight="1" x14ac:dyDescent="0.3">
      <c r="A1859" s="98">
        <f t="shared" ref="A1859:A1922" si="29">+LEN(B1859)</f>
        <v>11</v>
      </c>
      <c r="B1859" s="92" t="s">
        <v>863</v>
      </c>
      <c r="C1859" s="92" t="s">
        <v>623</v>
      </c>
      <c r="D1859" s="95">
        <v>10922.6</v>
      </c>
      <c r="E1859" s="95">
        <v>3276.78</v>
      </c>
      <c r="F1859" s="95">
        <v>7645.82</v>
      </c>
      <c r="G1859" s="95">
        <v>0</v>
      </c>
      <c r="H1859" s="95">
        <v>7645.82</v>
      </c>
    </row>
    <row r="1860" spans="1:8" ht="19.8" customHeight="1" x14ac:dyDescent="0.3">
      <c r="A1860" s="98">
        <f t="shared" si="29"/>
        <v>7</v>
      </c>
      <c r="B1860" s="92" t="s">
        <v>3749</v>
      </c>
      <c r="C1860" s="92" t="s">
        <v>3710</v>
      </c>
      <c r="D1860" s="95">
        <v>741933.53</v>
      </c>
      <c r="E1860" s="95">
        <v>0</v>
      </c>
      <c r="F1860" s="95">
        <v>741933.53</v>
      </c>
      <c r="G1860" s="95">
        <v>0</v>
      </c>
      <c r="H1860" s="95">
        <v>741933.53</v>
      </c>
    </row>
    <row r="1861" spans="1:8" ht="19.8" customHeight="1" x14ac:dyDescent="0.3">
      <c r="A1861" s="98">
        <f t="shared" si="29"/>
        <v>11</v>
      </c>
      <c r="B1861" s="92" t="s">
        <v>3750</v>
      </c>
      <c r="C1861" s="92" t="s">
        <v>774</v>
      </c>
      <c r="D1861" s="95">
        <v>741933.53</v>
      </c>
      <c r="E1861" s="95">
        <v>0</v>
      </c>
      <c r="F1861" s="95">
        <v>741933.53</v>
      </c>
      <c r="G1861" s="95">
        <v>0</v>
      </c>
      <c r="H1861" s="95">
        <v>741933.53</v>
      </c>
    </row>
    <row r="1862" spans="1:8" ht="19.8" customHeight="1" x14ac:dyDescent="0.3">
      <c r="A1862" s="98">
        <f t="shared" si="29"/>
        <v>7</v>
      </c>
      <c r="B1862" s="92" t="s">
        <v>3751</v>
      </c>
      <c r="C1862" s="92" t="s">
        <v>3440</v>
      </c>
      <c r="D1862" s="95">
        <v>3076625.01</v>
      </c>
      <c r="E1862" s="95">
        <v>0</v>
      </c>
      <c r="F1862" s="95">
        <v>3076625.01</v>
      </c>
      <c r="G1862" s="95">
        <v>0</v>
      </c>
      <c r="H1862" s="95">
        <v>3076625.01</v>
      </c>
    </row>
    <row r="1863" spans="1:8" ht="19.8" customHeight="1" x14ac:dyDescent="0.3">
      <c r="A1863" s="98">
        <f t="shared" si="29"/>
        <v>11</v>
      </c>
      <c r="B1863" s="92" t="s">
        <v>864</v>
      </c>
      <c r="C1863" s="92" t="s">
        <v>865</v>
      </c>
      <c r="D1863" s="95">
        <v>2087612.07</v>
      </c>
      <c r="E1863" s="95">
        <v>0</v>
      </c>
      <c r="F1863" s="95">
        <v>2087612.07</v>
      </c>
      <c r="G1863" s="95">
        <v>0</v>
      </c>
      <c r="H1863" s="95">
        <v>2087612.07</v>
      </c>
    </row>
    <row r="1864" spans="1:8" ht="19.8" customHeight="1" x14ac:dyDescent="0.3">
      <c r="A1864" s="98">
        <f t="shared" si="29"/>
        <v>11</v>
      </c>
      <c r="B1864" s="92" t="s">
        <v>866</v>
      </c>
      <c r="C1864" s="92" t="s">
        <v>867</v>
      </c>
      <c r="D1864" s="95">
        <v>774582.48</v>
      </c>
      <c r="E1864" s="95">
        <v>0</v>
      </c>
      <c r="F1864" s="95">
        <v>774582.48</v>
      </c>
      <c r="G1864" s="95">
        <v>0</v>
      </c>
      <c r="H1864" s="95">
        <v>774582.48</v>
      </c>
    </row>
    <row r="1865" spans="1:8" ht="19.8" customHeight="1" x14ac:dyDescent="0.3">
      <c r="A1865" s="98">
        <f t="shared" si="29"/>
        <v>11</v>
      </c>
      <c r="B1865" s="92" t="s">
        <v>868</v>
      </c>
      <c r="C1865" s="92" t="s">
        <v>869</v>
      </c>
      <c r="D1865" s="95">
        <v>199384.44</v>
      </c>
      <c r="E1865" s="95">
        <v>0</v>
      </c>
      <c r="F1865" s="95">
        <v>199384.44</v>
      </c>
      <c r="G1865" s="95">
        <v>0</v>
      </c>
      <c r="H1865" s="95">
        <v>199384.44</v>
      </c>
    </row>
    <row r="1866" spans="1:8" ht="19.8" customHeight="1" x14ac:dyDescent="0.3">
      <c r="A1866" s="98">
        <f t="shared" si="29"/>
        <v>11</v>
      </c>
      <c r="B1866" s="92" t="s">
        <v>870</v>
      </c>
      <c r="C1866" s="92" t="s">
        <v>871</v>
      </c>
      <c r="D1866" s="95">
        <v>15046.02</v>
      </c>
      <c r="E1866" s="95">
        <v>0</v>
      </c>
      <c r="F1866" s="95">
        <v>15046.02</v>
      </c>
      <c r="G1866" s="95">
        <v>0</v>
      </c>
      <c r="H1866" s="95">
        <v>15046.02</v>
      </c>
    </row>
    <row r="1867" spans="1:8" ht="19.8" customHeight="1" x14ac:dyDescent="0.3">
      <c r="A1867" s="98">
        <f t="shared" si="29"/>
        <v>7</v>
      </c>
      <c r="B1867" s="92" t="s">
        <v>3752</v>
      </c>
      <c r="C1867" s="92" t="s">
        <v>3459</v>
      </c>
      <c r="D1867" s="95">
        <v>1102101.8600000001</v>
      </c>
      <c r="E1867" s="95">
        <v>184.25</v>
      </c>
      <c r="F1867" s="95">
        <v>1101917.6100000001</v>
      </c>
      <c r="G1867" s="95">
        <v>0</v>
      </c>
      <c r="H1867" s="95">
        <v>1101917.6100000001</v>
      </c>
    </row>
    <row r="1868" spans="1:8" ht="19.8" customHeight="1" x14ac:dyDescent="0.3">
      <c r="A1868" s="98">
        <f t="shared" si="29"/>
        <v>11</v>
      </c>
      <c r="B1868" s="92" t="s">
        <v>872</v>
      </c>
      <c r="C1868" s="92" t="s">
        <v>675</v>
      </c>
      <c r="D1868" s="95">
        <v>95618.27</v>
      </c>
      <c r="E1868" s="95">
        <v>0</v>
      </c>
      <c r="F1868" s="95">
        <v>95618.27</v>
      </c>
      <c r="G1868" s="95">
        <v>0</v>
      </c>
      <c r="H1868" s="95">
        <v>95618.27</v>
      </c>
    </row>
    <row r="1869" spans="1:8" ht="19.8" customHeight="1" x14ac:dyDescent="0.3">
      <c r="A1869" s="98">
        <f t="shared" si="29"/>
        <v>11</v>
      </c>
      <c r="B1869" s="92" t="s">
        <v>873</v>
      </c>
      <c r="C1869" s="92" t="s">
        <v>874</v>
      </c>
      <c r="D1869" s="95">
        <v>188452.45</v>
      </c>
      <c r="E1869" s="95">
        <v>184.25</v>
      </c>
      <c r="F1869" s="95">
        <v>188268.2</v>
      </c>
      <c r="G1869" s="95">
        <v>0</v>
      </c>
      <c r="H1869" s="95">
        <v>188268.2</v>
      </c>
    </row>
    <row r="1870" spans="1:8" ht="19.8" customHeight="1" x14ac:dyDescent="0.3">
      <c r="A1870" s="98">
        <f t="shared" si="29"/>
        <v>11</v>
      </c>
      <c r="B1870" s="92" t="s">
        <v>875</v>
      </c>
      <c r="C1870" s="92" t="s">
        <v>747</v>
      </c>
      <c r="D1870" s="95">
        <v>818031.14</v>
      </c>
      <c r="E1870" s="95">
        <v>0</v>
      </c>
      <c r="F1870" s="95">
        <v>818031.14</v>
      </c>
      <c r="G1870" s="95">
        <v>0</v>
      </c>
      <c r="H1870" s="95">
        <v>818031.14</v>
      </c>
    </row>
    <row r="1871" spans="1:8" ht="19.8" customHeight="1" x14ac:dyDescent="0.3">
      <c r="A1871" s="98">
        <f t="shared" si="29"/>
        <v>7</v>
      </c>
      <c r="B1871" s="92" t="s">
        <v>3753</v>
      </c>
      <c r="C1871" s="92" t="s">
        <v>3721</v>
      </c>
      <c r="D1871" s="95">
        <v>4403765.42</v>
      </c>
      <c r="E1871" s="95">
        <v>8846.25</v>
      </c>
      <c r="F1871" s="95">
        <v>4394919.17</v>
      </c>
      <c r="G1871" s="95">
        <v>0</v>
      </c>
      <c r="H1871" s="95">
        <v>4394919.17</v>
      </c>
    </row>
    <row r="1872" spans="1:8" ht="19.8" customHeight="1" x14ac:dyDescent="0.3">
      <c r="A1872" s="98">
        <f t="shared" si="29"/>
        <v>11</v>
      </c>
      <c r="B1872" s="92" t="s">
        <v>876</v>
      </c>
      <c r="C1872" s="92" t="s">
        <v>577</v>
      </c>
      <c r="D1872" s="95">
        <v>1571435.36</v>
      </c>
      <c r="E1872" s="95">
        <v>0</v>
      </c>
      <c r="F1872" s="95">
        <v>1571435.36</v>
      </c>
      <c r="G1872" s="95">
        <v>0</v>
      </c>
      <c r="H1872" s="95">
        <v>1571435.36</v>
      </c>
    </row>
    <row r="1873" spans="1:8" ht="19.8" customHeight="1" x14ac:dyDescent="0.3">
      <c r="A1873" s="98">
        <f t="shared" si="29"/>
        <v>11</v>
      </c>
      <c r="B1873" s="92" t="s">
        <v>877</v>
      </c>
      <c r="C1873" s="92" t="s">
        <v>545</v>
      </c>
      <c r="D1873" s="95">
        <v>1296957.48</v>
      </c>
      <c r="E1873" s="95">
        <v>8846.25</v>
      </c>
      <c r="F1873" s="95">
        <v>1288111.23</v>
      </c>
      <c r="G1873" s="95">
        <v>0</v>
      </c>
      <c r="H1873" s="95">
        <v>1288111.23</v>
      </c>
    </row>
    <row r="1874" spans="1:8" ht="19.8" customHeight="1" x14ac:dyDescent="0.3">
      <c r="A1874" s="98">
        <f t="shared" si="29"/>
        <v>11</v>
      </c>
      <c r="B1874" s="92" t="s">
        <v>878</v>
      </c>
      <c r="C1874" s="92" t="s">
        <v>580</v>
      </c>
      <c r="D1874" s="95">
        <v>566969.67000000004</v>
      </c>
      <c r="E1874" s="95">
        <v>0</v>
      </c>
      <c r="F1874" s="95">
        <v>566969.67000000004</v>
      </c>
      <c r="G1874" s="95">
        <v>0</v>
      </c>
      <c r="H1874" s="95">
        <v>566969.67000000004</v>
      </c>
    </row>
    <row r="1875" spans="1:8" ht="19.8" customHeight="1" x14ac:dyDescent="0.3">
      <c r="A1875" s="98">
        <f t="shared" si="29"/>
        <v>11</v>
      </c>
      <c r="B1875" s="92" t="s">
        <v>879</v>
      </c>
      <c r="C1875" s="92" t="s">
        <v>582</v>
      </c>
      <c r="D1875" s="95">
        <v>221945.69</v>
      </c>
      <c r="E1875" s="95">
        <v>0</v>
      </c>
      <c r="F1875" s="95">
        <v>221945.69</v>
      </c>
      <c r="G1875" s="95">
        <v>0</v>
      </c>
      <c r="H1875" s="95">
        <v>221945.69</v>
      </c>
    </row>
    <row r="1876" spans="1:8" ht="19.8" customHeight="1" x14ac:dyDescent="0.3">
      <c r="A1876" s="98">
        <f t="shared" si="29"/>
        <v>11</v>
      </c>
      <c r="B1876" s="92" t="s">
        <v>3754</v>
      </c>
      <c r="C1876" s="92" t="s">
        <v>880</v>
      </c>
      <c r="D1876" s="95">
        <v>746457.22</v>
      </c>
      <c r="E1876" s="95">
        <v>0</v>
      </c>
      <c r="F1876" s="95">
        <v>746457.22</v>
      </c>
      <c r="G1876" s="95">
        <v>0</v>
      </c>
      <c r="H1876" s="95">
        <v>746457.22</v>
      </c>
    </row>
    <row r="1877" spans="1:8" ht="19.8" customHeight="1" x14ac:dyDescent="0.3">
      <c r="A1877" s="98">
        <f t="shared" si="29"/>
        <v>7</v>
      </c>
      <c r="B1877" s="92" t="s">
        <v>3755</v>
      </c>
      <c r="C1877" s="92" t="s">
        <v>3672</v>
      </c>
      <c r="D1877" s="95">
        <v>2746764.01</v>
      </c>
      <c r="E1877" s="95">
        <v>94500</v>
      </c>
      <c r="F1877" s="95">
        <v>2652264.0099999998</v>
      </c>
      <c r="G1877" s="95">
        <v>0</v>
      </c>
      <c r="H1877" s="95">
        <v>2652264.0099999998</v>
      </c>
    </row>
    <row r="1878" spans="1:8" ht="19.8" customHeight="1" x14ac:dyDescent="0.3">
      <c r="A1878" s="98">
        <f t="shared" si="29"/>
        <v>11</v>
      </c>
      <c r="B1878" s="92" t="s">
        <v>881</v>
      </c>
      <c r="C1878" s="92" t="s">
        <v>780</v>
      </c>
      <c r="D1878" s="95">
        <v>1741376.48</v>
      </c>
      <c r="E1878" s="95">
        <v>94500</v>
      </c>
      <c r="F1878" s="95">
        <v>1646876.48</v>
      </c>
      <c r="G1878" s="95">
        <v>0</v>
      </c>
      <c r="H1878" s="95">
        <v>1646876.48</v>
      </c>
    </row>
    <row r="1879" spans="1:8" ht="19.8" customHeight="1" x14ac:dyDescent="0.3">
      <c r="A1879" s="98">
        <f t="shared" si="29"/>
        <v>11</v>
      </c>
      <c r="B1879" s="92" t="s">
        <v>882</v>
      </c>
      <c r="C1879" s="92" t="s">
        <v>883</v>
      </c>
      <c r="D1879" s="95">
        <v>1005387.53</v>
      </c>
      <c r="E1879" s="95">
        <v>0</v>
      </c>
      <c r="F1879" s="95">
        <v>1005387.53</v>
      </c>
      <c r="G1879" s="95">
        <v>0</v>
      </c>
      <c r="H1879" s="95">
        <v>1005387.53</v>
      </c>
    </row>
    <row r="1880" spans="1:8" ht="19.8" customHeight="1" x14ac:dyDescent="0.3">
      <c r="A1880" s="98">
        <f t="shared" si="29"/>
        <v>7</v>
      </c>
      <c r="B1880" s="92" t="s">
        <v>3756</v>
      </c>
      <c r="C1880" s="92" t="s">
        <v>884</v>
      </c>
      <c r="D1880" s="95">
        <v>1476142.19</v>
      </c>
      <c r="E1880" s="95">
        <v>908250</v>
      </c>
      <c r="F1880" s="95">
        <v>567892.18999999994</v>
      </c>
      <c r="G1880" s="95">
        <v>0</v>
      </c>
      <c r="H1880" s="95">
        <v>567892.18999999994</v>
      </c>
    </row>
    <row r="1881" spans="1:8" ht="19.8" customHeight="1" x14ac:dyDescent="0.3">
      <c r="A1881" s="98">
        <f t="shared" si="29"/>
        <v>11</v>
      </c>
      <c r="B1881" s="92" t="s">
        <v>885</v>
      </c>
      <c r="C1881" s="92" t="s">
        <v>884</v>
      </c>
      <c r="D1881" s="95">
        <v>1476142.19</v>
      </c>
      <c r="E1881" s="95">
        <v>908250</v>
      </c>
      <c r="F1881" s="95">
        <v>567892.18999999994</v>
      </c>
      <c r="G1881" s="95">
        <v>0</v>
      </c>
      <c r="H1881" s="95">
        <v>567892.18999999994</v>
      </c>
    </row>
    <row r="1882" spans="1:8" ht="19.8" customHeight="1" x14ac:dyDescent="0.3">
      <c r="A1882" s="98">
        <f t="shared" si="29"/>
        <v>7</v>
      </c>
      <c r="B1882" s="92" t="s">
        <v>3757</v>
      </c>
      <c r="C1882" s="92" t="s">
        <v>671</v>
      </c>
      <c r="D1882" s="95">
        <v>1034350.63</v>
      </c>
      <c r="E1882" s="95">
        <v>0</v>
      </c>
      <c r="F1882" s="95">
        <v>1034350.63</v>
      </c>
      <c r="G1882" s="95">
        <v>0</v>
      </c>
      <c r="H1882" s="95">
        <v>1034350.63</v>
      </c>
    </row>
    <row r="1883" spans="1:8" ht="19.8" customHeight="1" x14ac:dyDescent="0.3">
      <c r="A1883" s="98">
        <f t="shared" si="29"/>
        <v>11</v>
      </c>
      <c r="B1883" s="92" t="s">
        <v>886</v>
      </c>
      <c r="C1883" s="92" t="s">
        <v>671</v>
      </c>
      <c r="D1883" s="95">
        <v>1034350.63</v>
      </c>
      <c r="E1883" s="95">
        <v>0</v>
      </c>
      <c r="F1883" s="95">
        <v>1034350.63</v>
      </c>
      <c r="G1883" s="95">
        <v>0</v>
      </c>
      <c r="H1883" s="95">
        <v>1034350.63</v>
      </c>
    </row>
    <row r="1884" spans="1:8" ht="19.8" customHeight="1" x14ac:dyDescent="0.3">
      <c r="A1884" s="98">
        <f t="shared" si="29"/>
        <v>7</v>
      </c>
      <c r="B1884" s="92" t="s">
        <v>3758</v>
      </c>
      <c r="C1884" s="92" t="s">
        <v>3725</v>
      </c>
      <c r="D1884" s="95">
        <v>1360969.34</v>
      </c>
      <c r="E1884" s="95">
        <v>21000</v>
      </c>
      <c r="F1884" s="95">
        <v>1339969.3400000001</v>
      </c>
      <c r="G1884" s="95">
        <v>0</v>
      </c>
      <c r="H1884" s="95">
        <v>1339969.3400000001</v>
      </c>
    </row>
    <row r="1885" spans="1:8" ht="19.8" customHeight="1" x14ac:dyDescent="0.3">
      <c r="A1885" s="98">
        <f t="shared" si="29"/>
        <v>11</v>
      </c>
      <c r="B1885" s="92" t="s">
        <v>887</v>
      </c>
      <c r="C1885" s="92" t="s">
        <v>782</v>
      </c>
      <c r="D1885" s="95">
        <v>980398.47</v>
      </c>
      <c r="E1885" s="95">
        <v>0</v>
      </c>
      <c r="F1885" s="95">
        <v>980398.47</v>
      </c>
      <c r="G1885" s="95">
        <v>0</v>
      </c>
      <c r="H1885" s="95">
        <v>980398.47</v>
      </c>
    </row>
    <row r="1886" spans="1:8" ht="19.8" customHeight="1" x14ac:dyDescent="0.3">
      <c r="A1886" s="98">
        <f t="shared" si="29"/>
        <v>11</v>
      </c>
      <c r="B1886" s="92" t="s">
        <v>888</v>
      </c>
      <c r="C1886" s="92" t="s">
        <v>669</v>
      </c>
      <c r="D1886" s="95">
        <v>380570.87</v>
      </c>
      <c r="E1886" s="95">
        <v>21000</v>
      </c>
      <c r="F1886" s="95">
        <v>359570.87</v>
      </c>
      <c r="G1886" s="95">
        <v>0</v>
      </c>
      <c r="H1886" s="95">
        <v>359570.87</v>
      </c>
    </row>
    <row r="1887" spans="1:8" ht="19.8" customHeight="1" x14ac:dyDescent="0.3">
      <c r="A1887" s="98">
        <f t="shared" si="29"/>
        <v>7</v>
      </c>
      <c r="B1887" s="92" t="s">
        <v>3759</v>
      </c>
      <c r="C1887" s="92" t="s">
        <v>3727</v>
      </c>
      <c r="D1887" s="95">
        <v>183632.56</v>
      </c>
      <c r="E1887" s="95">
        <v>0</v>
      </c>
      <c r="F1887" s="95">
        <v>183632.56</v>
      </c>
      <c r="G1887" s="95">
        <v>0</v>
      </c>
      <c r="H1887" s="95">
        <v>183632.56</v>
      </c>
    </row>
    <row r="1888" spans="1:8" ht="19.8" customHeight="1" x14ac:dyDescent="0.3">
      <c r="A1888" s="98">
        <f t="shared" si="29"/>
        <v>11</v>
      </c>
      <c r="B1888" s="92" t="s">
        <v>889</v>
      </c>
      <c r="C1888" s="92" t="s">
        <v>785</v>
      </c>
      <c r="D1888" s="95">
        <v>125870.74</v>
      </c>
      <c r="E1888" s="95">
        <v>0</v>
      </c>
      <c r="F1888" s="95">
        <v>125870.74</v>
      </c>
      <c r="G1888" s="95">
        <v>0</v>
      </c>
      <c r="H1888" s="95">
        <v>125870.74</v>
      </c>
    </row>
    <row r="1889" spans="1:8" ht="19.8" customHeight="1" x14ac:dyDescent="0.3">
      <c r="A1889" s="98">
        <f t="shared" si="29"/>
        <v>11</v>
      </c>
      <c r="B1889" s="92" t="s">
        <v>890</v>
      </c>
      <c r="C1889" s="92" t="s">
        <v>787</v>
      </c>
      <c r="D1889" s="95">
        <v>26362.02</v>
      </c>
      <c r="E1889" s="95">
        <v>0</v>
      </c>
      <c r="F1889" s="95">
        <v>26362.02</v>
      </c>
      <c r="G1889" s="95">
        <v>0</v>
      </c>
      <c r="H1889" s="95">
        <v>26362.02</v>
      </c>
    </row>
    <row r="1890" spans="1:8" ht="19.8" customHeight="1" x14ac:dyDescent="0.3">
      <c r="A1890" s="98">
        <f t="shared" si="29"/>
        <v>11</v>
      </c>
      <c r="B1890" s="92" t="s">
        <v>3760</v>
      </c>
      <c r="C1890" s="92" t="s">
        <v>3761</v>
      </c>
      <c r="D1890" s="95">
        <v>1423.8</v>
      </c>
      <c r="E1890" s="95">
        <v>0</v>
      </c>
      <c r="F1890" s="95">
        <v>1423.8</v>
      </c>
      <c r="G1890" s="95">
        <v>0</v>
      </c>
      <c r="H1890" s="95">
        <v>1423.8</v>
      </c>
    </row>
    <row r="1891" spans="1:8" ht="19.8" customHeight="1" x14ac:dyDescent="0.3">
      <c r="A1891" s="98">
        <f t="shared" si="29"/>
        <v>11</v>
      </c>
      <c r="B1891" s="92" t="s">
        <v>891</v>
      </c>
      <c r="C1891" s="92" t="s">
        <v>892</v>
      </c>
      <c r="D1891" s="95">
        <v>29976</v>
      </c>
      <c r="E1891" s="95">
        <v>0</v>
      </c>
      <c r="F1891" s="95">
        <v>29976</v>
      </c>
      <c r="G1891" s="95">
        <v>0</v>
      </c>
      <c r="H1891" s="95">
        <v>29976</v>
      </c>
    </row>
    <row r="1892" spans="1:8" ht="19.8" customHeight="1" x14ac:dyDescent="0.3">
      <c r="A1892" s="98">
        <f t="shared" si="29"/>
        <v>7</v>
      </c>
      <c r="B1892" s="92" t="s">
        <v>3762</v>
      </c>
      <c r="C1892" s="92" t="s">
        <v>3729</v>
      </c>
      <c r="D1892" s="95">
        <v>491305.94</v>
      </c>
      <c r="E1892" s="95">
        <v>31411.7</v>
      </c>
      <c r="F1892" s="95">
        <v>459894.24</v>
      </c>
      <c r="G1892" s="95">
        <v>0</v>
      </c>
      <c r="H1892" s="95">
        <v>459894.24</v>
      </c>
    </row>
    <row r="1893" spans="1:8" ht="19.8" customHeight="1" x14ac:dyDescent="0.3">
      <c r="A1893" s="98">
        <f t="shared" si="29"/>
        <v>11</v>
      </c>
      <c r="B1893" s="92" t="s">
        <v>893</v>
      </c>
      <c r="C1893" s="92" t="s">
        <v>663</v>
      </c>
      <c r="D1893" s="95">
        <v>71801.81</v>
      </c>
      <c r="E1893" s="95">
        <v>0</v>
      </c>
      <c r="F1893" s="95">
        <v>71801.81</v>
      </c>
      <c r="G1893" s="95">
        <v>0</v>
      </c>
      <c r="H1893" s="95">
        <v>71801.81</v>
      </c>
    </row>
    <row r="1894" spans="1:8" ht="19.8" customHeight="1" x14ac:dyDescent="0.3">
      <c r="A1894" s="98">
        <f t="shared" si="29"/>
        <v>11</v>
      </c>
      <c r="B1894" s="92" t="s">
        <v>894</v>
      </c>
      <c r="C1894" s="92" t="s">
        <v>895</v>
      </c>
      <c r="D1894" s="95">
        <v>12901.88</v>
      </c>
      <c r="E1894" s="95">
        <v>0</v>
      </c>
      <c r="F1894" s="95">
        <v>12901.88</v>
      </c>
      <c r="G1894" s="95">
        <v>0</v>
      </c>
      <c r="H1894" s="95">
        <v>12901.88</v>
      </c>
    </row>
    <row r="1895" spans="1:8" ht="19.8" customHeight="1" x14ac:dyDescent="0.3">
      <c r="A1895" s="98">
        <f t="shared" si="29"/>
        <v>11</v>
      </c>
      <c r="B1895" s="92" t="s">
        <v>896</v>
      </c>
      <c r="C1895" s="92" t="s">
        <v>667</v>
      </c>
      <c r="D1895" s="95">
        <v>106076.14</v>
      </c>
      <c r="E1895" s="95">
        <v>2518.6999999999998</v>
      </c>
      <c r="F1895" s="95">
        <v>103557.44</v>
      </c>
      <c r="G1895" s="95">
        <v>0</v>
      </c>
      <c r="H1895" s="95">
        <v>103557.44</v>
      </c>
    </row>
    <row r="1896" spans="1:8" ht="19.8" customHeight="1" x14ac:dyDescent="0.3">
      <c r="A1896" s="98">
        <f t="shared" si="29"/>
        <v>11</v>
      </c>
      <c r="B1896" s="92" t="s">
        <v>897</v>
      </c>
      <c r="C1896" s="92" t="s">
        <v>898</v>
      </c>
      <c r="D1896" s="95">
        <v>215956</v>
      </c>
      <c r="E1896" s="95">
        <v>0</v>
      </c>
      <c r="F1896" s="95">
        <v>215956</v>
      </c>
      <c r="G1896" s="95">
        <v>0</v>
      </c>
      <c r="H1896" s="95">
        <v>215956</v>
      </c>
    </row>
    <row r="1897" spans="1:8" ht="19.8" customHeight="1" x14ac:dyDescent="0.3">
      <c r="A1897" s="98">
        <f t="shared" si="29"/>
        <v>11</v>
      </c>
      <c r="B1897" s="92" t="s">
        <v>899</v>
      </c>
      <c r="C1897" s="92" t="s">
        <v>792</v>
      </c>
      <c r="D1897" s="95">
        <v>82515.87</v>
      </c>
      <c r="E1897" s="95">
        <v>28893</v>
      </c>
      <c r="F1897" s="95">
        <v>53622.87</v>
      </c>
      <c r="G1897" s="95">
        <v>0</v>
      </c>
      <c r="H1897" s="95">
        <v>53622.87</v>
      </c>
    </row>
    <row r="1898" spans="1:8" ht="19.8" customHeight="1" x14ac:dyDescent="0.3">
      <c r="A1898" s="98">
        <f t="shared" si="29"/>
        <v>11</v>
      </c>
      <c r="B1898" s="92" t="s">
        <v>964</v>
      </c>
      <c r="C1898" s="92" t="s">
        <v>965</v>
      </c>
      <c r="D1898" s="95">
        <v>2054.2399999999998</v>
      </c>
      <c r="E1898" s="95">
        <v>0</v>
      </c>
      <c r="F1898" s="95">
        <v>2054.2399999999998</v>
      </c>
      <c r="G1898" s="95">
        <v>0</v>
      </c>
      <c r="H1898" s="95">
        <v>2054.2399999999998</v>
      </c>
    </row>
    <row r="1899" spans="1:8" ht="19.8" customHeight="1" x14ac:dyDescent="0.3">
      <c r="A1899" s="98">
        <f t="shared" si="29"/>
        <v>7</v>
      </c>
      <c r="B1899" s="92" t="s">
        <v>3763</v>
      </c>
      <c r="C1899" s="92" t="s">
        <v>3731</v>
      </c>
      <c r="D1899" s="95">
        <v>801821.39</v>
      </c>
      <c r="E1899" s="95">
        <v>0</v>
      </c>
      <c r="F1899" s="95">
        <v>801821.39</v>
      </c>
      <c r="G1899" s="95">
        <v>0</v>
      </c>
      <c r="H1899" s="95">
        <v>801821.39</v>
      </c>
    </row>
    <row r="1900" spans="1:8" ht="19.8" customHeight="1" x14ac:dyDescent="0.3">
      <c r="A1900" s="98">
        <f t="shared" si="29"/>
        <v>11</v>
      </c>
      <c r="B1900" s="92" t="s">
        <v>900</v>
      </c>
      <c r="C1900" s="92" t="s">
        <v>901</v>
      </c>
      <c r="D1900" s="95">
        <v>663229.59</v>
      </c>
      <c r="E1900" s="95">
        <v>0</v>
      </c>
      <c r="F1900" s="95">
        <v>663229.59</v>
      </c>
      <c r="G1900" s="95">
        <v>0</v>
      </c>
      <c r="H1900" s="95">
        <v>663229.59</v>
      </c>
    </row>
    <row r="1901" spans="1:8" ht="19.8" customHeight="1" x14ac:dyDescent="0.3">
      <c r="A1901" s="98">
        <f t="shared" si="29"/>
        <v>11</v>
      </c>
      <c r="B1901" s="92" t="s">
        <v>902</v>
      </c>
      <c r="C1901" s="92" t="s">
        <v>903</v>
      </c>
      <c r="D1901" s="95">
        <v>138591.79999999999</v>
      </c>
      <c r="E1901" s="95">
        <v>0</v>
      </c>
      <c r="F1901" s="95">
        <v>138591.79999999999</v>
      </c>
      <c r="G1901" s="95">
        <v>0</v>
      </c>
      <c r="H1901" s="95">
        <v>138591.79999999999</v>
      </c>
    </row>
    <row r="1902" spans="1:8" ht="19.8" customHeight="1" x14ac:dyDescent="0.3">
      <c r="A1902" s="98">
        <f t="shared" si="29"/>
        <v>7</v>
      </c>
      <c r="B1902" s="92" t="s">
        <v>3764</v>
      </c>
      <c r="C1902" s="92" t="s">
        <v>3454</v>
      </c>
      <c r="D1902" s="95">
        <v>922319.41</v>
      </c>
      <c r="E1902" s="95">
        <v>3242.58</v>
      </c>
      <c r="F1902" s="95">
        <v>919076.83</v>
      </c>
      <c r="G1902" s="95">
        <v>0</v>
      </c>
      <c r="H1902" s="95">
        <v>919076.83</v>
      </c>
    </row>
    <row r="1903" spans="1:8" ht="19.8" customHeight="1" x14ac:dyDescent="0.3">
      <c r="A1903" s="98">
        <f t="shared" si="29"/>
        <v>11</v>
      </c>
      <c r="B1903" s="92" t="s">
        <v>904</v>
      </c>
      <c r="C1903" s="92" t="s">
        <v>651</v>
      </c>
      <c r="D1903" s="95">
        <v>30286.87</v>
      </c>
      <c r="E1903" s="95">
        <v>3242.58</v>
      </c>
      <c r="F1903" s="95">
        <v>27044.29</v>
      </c>
      <c r="G1903" s="95">
        <v>0</v>
      </c>
      <c r="H1903" s="95">
        <v>27044.29</v>
      </c>
    </row>
    <row r="1904" spans="1:8" ht="19.8" customHeight="1" x14ac:dyDescent="0.3">
      <c r="A1904" s="98">
        <f t="shared" si="29"/>
        <v>11</v>
      </c>
      <c r="B1904" s="92" t="s">
        <v>905</v>
      </c>
      <c r="C1904" s="92" t="s">
        <v>906</v>
      </c>
      <c r="D1904" s="95">
        <v>237545.46</v>
      </c>
      <c r="E1904" s="95">
        <v>0</v>
      </c>
      <c r="F1904" s="95">
        <v>237545.46</v>
      </c>
      <c r="G1904" s="95">
        <v>0</v>
      </c>
      <c r="H1904" s="95">
        <v>237545.46</v>
      </c>
    </row>
    <row r="1905" spans="1:8" ht="19.8" customHeight="1" x14ac:dyDescent="0.3">
      <c r="A1905" s="98">
        <f t="shared" si="29"/>
        <v>11</v>
      </c>
      <c r="B1905" s="92" t="s">
        <v>907</v>
      </c>
      <c r="C1905" s="92" t="s">
        <v>908</v>
      </c>
      <c r="D1905" s="95">
        <v>255266.94</v>
      </c>
      <c r="E1905" s="95">
        <v>0</v>
      </c>
      <c r="F1905" s="95">
        <v>255266.94</v>
      </c>
      <c r="G1905" s="95">
        <v>0</v>
      </c>
      <c r="H1905" s="95">
        <v>255266.94</v>
      </c>
    </row>
    <row r="1906" spans="1:8" ht="19.8" customHeight="1" x14ac:dyDescent="0.3">
      <c r="A1906" s="98">
        <f t="shared" si="29"/>
        <v>11</v>
      </c>
      <c r="B1906" s="92" t="s">
        <v>909</v>
      </c>
      <c r="C1906" s="92" t="s">
        <v>910</v>
      </c>
      <c r="D1906" s="95">
        <v>399220.14</v>
      </c>
      <c r="E1906" s="95">
        <v>0</v>
      </c>
      <c r="F1906" s="95">
        <v>399220.14</v>
      </c>
      <c r="G1906" s="95">
        <v>0</v>
      </c>
      <c r="H1906" s="95">
        <v>399220.14</v>
      </c>
    </row>
    <row r="1907" spans="1:8" ht="19.8" customHeight="1" x14ac:dyDescent="0.3">
      <c r="A1907" s="98">
        <f t="shared" si="29"/>
        <v>7</v>
      </c>
      <c r="B1907" s="92" t="s">
        <v>3765</v>
      </c>
      <c r="C1907" s="92" t="s">
        <v>657</v>
      </c>
      <c r="D1907" s="95">
        <v>710424.03</v>
      </c>
      <c r="E1907" s="95">
        <v>10000</v>
      </c>
      <c r="F1907" s="95">
        <v>700424.03</v>
      </c>
      <c r="G1907" s="95">
        <v>0</v>
      </c>
      <c r="H1907" s="95">
        <v>700424.03</v>
      </c>
    </row>
    <row r="1908" spans="1:8" ht="19.8" customHeight="1" x14ac:dyDescent="0.3">
      <c r="A1908" s="98">
        <f t="shared" si="29"/>
        <v>11</v>
      </c>
      <c r="B1908" s="92" t="s">
        <v>911</v>
      </c>
      <c r="C1908" s="92" t="s">
        <v>794</v>
      </c>
      <c r="D1908" s="95">
        <v>358448.53</v>
      </c>
      <c r="E1908" s="95">
        <v>0</v>
      </c>
      <c r="F1908" s="95">
        <v>358448.53</v>
      </c>
      <c r="G1908" s="95">
        <v>0</v>
      </c>
      <c r="H1908" s="95">
        <v>358448.53</v>
      </c>
    </row>
    <row r="1909" spans="1:8" ht="19.8" customHeight="1" x14ac:dyDescent="0.3">
      <c r="A1909" s="98">
        <f t="shared" si="29"/>
        <v>11</v>
      </c>
      <c r="B1909" s="92" t="s">
        <v>912</v>
      </c>
      <c r="C1909" s="92" t="s">
        <v>653</v>
      </c>
      <c r="D1909" s="95">
        <v>63353.17</v>
      </c>
      <c r="E1909" s="95">
        <v>0</v>
      </c>
      <c r="F1909" s="95">
        <v>63353.17</v>
      </c>
      <c r="G1909" s="95">
        <v>0</v>
      </c>
      <c r="H1909" s="95">
        <v>63353.17</v>
      </c>
    </row>
    <row r="1910" spans="1:8" ht="19.8" customHeight="1" x14ac:dyDescent="0.3">
      <c r="A1910" s="98">
        <f t="shared" si="29"/>
        <v>11</v>
      </c>
      <c r="B1910" s="92" t="s">
        <v>913</v>
      </c>
      <c r="C1910" s="92" t="s">
        <v>914</v>
      </c>
      <c r="D1910" s="95">
        <v>288622.33</v>
      </c>
      <c r="E1910" s="95">
        <v>10000</v>
      </c>
      <c r="F1910" s="95">
        <v>278622.33</v>
      </c>
      <c r="G1910" s="95">
        <v>0</v>
      </c>
      <c r="H1910" s="95">
        <v>278622.33</v>
      </c>
    </row>
    <row r="1911" spans="1:8" ht="19.8" customHeight="1" x14ac:dyDescent="0.3">
      <c r="A1911" s="98">
        <f t="shared" si="29"/>
        <v>7</v>
      </c>
      <c r="B1911" s="92" t="s">
        <v>3766</v>
      </c>
      <c r="C1911" s="92" t="s">
        <v>796</v>
      </c>
      <c r="D1911" s="95">
        <v>8234.84</v>
      </c>
      <c r="E1911" s="95">
        <v>0</v>
      </c>
      <c r="F1911" s="95">
        <v>8234.84</v>
      </c>
      <c r="G1911" s="95">
        <v>0</v>
      </c>
      <c r="H1911" s="95">
        <v>8234.84</v>
      </c>
    </row>
    <row r="1912" spans="1:8" ht="19.8" customHeight="1" x14ac:dyDescent="0.3">
      <c r="A1912" s="98">
        <f t="shared" si="29"/>
        <v>11</v>
      </c>
      <c r="B1912" s="92" t="s">
        <v>915</v>
      </c>
      <c r="C1912" s="92" t="s">
        <v>796</v>
      </c>
      <c r="D1912" s="95">
        <v>6390</v>
      </c>
      <c r="E1912" s="95">
        <v>0</v>
      </c>
      <c r="F1912" s="95">
        <v>6390</v>
      </c>
      <c r="G1912" s="95">
        <v>0</v>
      </c>
      <c r="H1912" s="95">
        <v>6390</v>
      </c>
    </row>
    <row r="1913" spans="1:8" ht="19.8" customHeight="1" x14ac:dyDescent="0.3">
      <c r="A1913" s="98">
        <f t="shared" si="29"/>
        <v>11</v>
      </c>
      <c r="B1913" s="92" t="s">
        <v>3767</v>
      </c>
      <c r="C1913" s="92" t="s">
        <v>3768</v>
      </c>
      <c r="D1913" s="95">
        <v>1844.84</v>
      </c>
      <c r="E1913" s="95">
        <v>0</v>
      </c>
      <c r="F1913" s="95">
        <v>1844.84</v>
      </c>
      <c r="G1913" s="95">
        <v>0</v>
      </c>
      <c r="H1913" s="95">
        <v>1844.84</v>
      </c>
    </row>
    <row r="1914" spans="1:8" ht="19.8" customHeight="1" x14ac:dyDescent="0.3">
      <c r="A1914" s="98">
        <f t="shared" si="29"/>
        <v>3</v>
      </c>
      <c r="B1914" s="92" t="s">
        <v>251</v>
      </c>
      <c r="C1914" s="92" t="s">
        <v>366</v>
      </c>
      <c r="D1914" s="95">
        <v>110062451.09999999</v>
      </c>
      <c r="E1914" s="95">
        <v>21758065.129999999</v>
      </c>
      <c r="F1914" s="95">
        <v>88304385.969999999</v>
      </c>
      <c r="G1914" s="95">
        <v>0</v>
      </c>
      <c r="H1914" s="95">
        <v>88304385.969999999</v>
      </c>
    </row>
    <row r="1915" spans="1:8" ht="19.8" customHeight="1" x14ac:dyDescent="0.3">
      <c r="A1915" s="98">
        <f t="shared" si="29"/>
        <v>7</v>
      </c>
      <c r="B1915" s="92" t="s">
        <v>3769</v>
      </c>
      <c r="C1915" s="92" t="s">
        <v>366</v>
      </c>
      <c r="D1915" s="95">
        <v>14337037.35</v>
      </c>
      <c r="E1915" s="95">
        <v>0</v>
      </c>
      <c r="F1915" s="95">
        <v>14337037.35</v>
      </c>
      <c r="G1915" s="95">
        <v>0</v>
      </c>
      <c r="H1915" s="95">
        <v>14337037.35</v>
      </c>
    </row>
    <row r="1916" spans="1:8" ht="19.8" customHeight="1" x14ac:dyDescent="0.3">
      <c r="A1916" s="98">
        <f t="shared" si="29"/>
        <v>11</v>
      </c>
      <c r="B1916" s="92" t="s">
        <v>916</v>
      </c>
      <c r="C1916" s="92" t="s">
        <v>366</v>
      </c>
      <c r="D1916" s="95">
        <v>14337037.35</v>
      </c>
      <c r="E1916" s="95">
        <v>0</v>
      </c>
      <c r="F1916" s="95">
        <v>14337037.35</v>
      </c>
      <c r="G1916" s="95">
        <v>0</v>
      </c>
      <c r="H1916" s="95">
        <v>14337037.35</v>
      </c>
    </row>
    <row r="1917" spans="1:8" ht="19.8" customHeight="1" x14ac:dyDescent="0.3">
      <c r="A1917" s="98">
        <f t="shared" si="29"/>
        <v>7</v>
      </c>
      <c r="B1917" s="92" t="s">
        <v>3770</v>
      </c>
      <c r="C1917" s="92" t="s">
        <v>366</v>
      </c>
      <c r="D1917" s="95">
        <v>16196269.689999999</v>
      </c>
      <c r="E1917" s="95">
        <v>593706.53</v>
      </c>
      <c r="F1917" s="95">
        <v>15602563.16</v>
      </c>
      <c r="G1917" s="95">
        <v>0</v>
      </c>
      <c r="H1917" s="95">
        <v>15602563.16</v>
      </c>
    </row>
    <row r="1918" spans="1:8" ht="19.8" customHeight="1" x14ac:dyDescent="0.3">
      <c r="A1918" s="98">
        <f t="shared" si="29"/>
        <v>11</v>
      </c>
      <c r="B1918" s="92" t="s">
        <v>917</v>
      </c>
      <c r="C1918" s="92" t="s">
        <v>918</v>
      </c>
      <c r="D1918" s="95">
        <v>16196269.689999999</v>
      </c>
      <c r="E1918" s="95">
        <v>593706.53</v>
      </c>
      <c r="F1918" s="95">
        <v>15602563.16</v>
      </c>
      <c r="G1918" s="95">
        <v>0</v>
      </c>
      <c r="H1918" s="95">
        <v>15602563.16</v>
      </c>
    </row>
    <row r="1919" spans="1:8" ht="19.8" customHeight="1" x14ac:dyDescent="0.3">
      <c r="A1919" s="98">
        <f t="shared" si="29"/>
        <v>7</v>
      </c>
      <c r="B1919" s="92" t="s">
        <v>3771</v>
      </c>
      <c r="C1919" s="92" t="s">
        <v>3772</v>
      </c>
      <c r="D1919" s="95">
        <v>82478.759999999995</v>
      </c>
      <c r="E1919" s="95">
        <v>0</v>
      </c>
      <c r="F1919" s="95">
        <v>82478.759999999995</v>
      </c>
      <c r="G1919" s="95">
        <v>0</v>
      </c>
      <c r="H1919" s="95">
        <v>82478.759999999995</v>
      </c>
    </row>
    <row r="1920" spans="1:8" ht="19.8" customHeight="1" x14ac:dyDescent="0.3">
      <c r="A1920" s="98">
        <f t="shared" si="29"/>
        <v>11</v>
      </c>
      <c r="B1920" s="92" t="s">
        <v>919</v>
      </c>
      <c r="C1920" s="92" t="s">
        <v>920</v>
      </c>
      <c r="D1920" s="95">
        <v>82478.759999999995</v>
      </c>
      <c r="E1920" s="95">
        <v>0</v>
      </c>
      <c r="F1920" s="95">
        <v>82478.759999999995</v>
      </c>
      <c r="G1920" s="95">
        <v>0</v>
      </c>
      <c r="H1920" s="95">
        <v>82478.759999999995</v>
      </c>
    </row>
    <row r="1921" spans="1:8" ht="19.8" customHeight="1" x14ac:dyDescent="0.3">
      <c r="A1921" s="98">
        <f t="shared" si="29"/>
        <v>7</v>
      </c>
      <c r="B1921" s="92" t="s">
        <v>3773</v>
      </c>
      <c r="C1921" s="92" t="s">
        <v>3774</v>
      </c>
      <c r="D1921" s="95">
        <v>476512.76</v>
      </c>
      <c r="E1921" s="95">
        <v>0</v>
      </c>
      <c r="F1921" s="95">
        <v>476512.76</v>
      </c>
      <c r="G1921" s="95">
        <v>0</v>
      </c>
      <c r="H1921" s="95">
        <v>476512.76</v>
      </c>
    </row>
    <row r="1922" spans="1:8" ht="19.8" customHeight="1" x14ac:dyDescent="0.3">
      <c r="A1922" s="98">
        <f t="shared" si="29"/>
        <v>11</v>
      </c>
      <c r="B1922" s="92" t="s">
        <v>921</v>
      </c>
      <c r="C1922" s="92" t="s">
        <v>922</v>
      </c>
      <c r="D1922" s="95">
        <v>269038.67</v>
      </c>
      <c r="E1922" s="95">
        <v>0</v>
      </c>
      <c r="F1922" s="95">
        <v>269038.67</v>
      </c>
      <c r="G1922" s="95">
        <v>0</v>
      </c>
      <c r="H1922" s="95">
        <v>269038.67</v>
      </c>
    </row>
    <row r="1923" spans="1:8" ht="19.8" customHeight="1" x14ac:dyDescent="0.3">
      <c r="A1923" s="98">
        <f t="shared" ref="A1923:A1952" si="30">+LEN(B1923)</f>
        <v>11</v>
      </c>
      <c r="B1923" s="92" t="s">
        <v>923</v>
      </c>
      <c r="C1923" s="92" t="s">
        <v>924</v>
      </c>
      <c r="D1923" s="95">
        <v>85946.47</v>
      </c>
      <c r="E1923" s="95">
        <v>0</v>
      </c>
      <c r="F1923" s="95">
        <v>85946.47</v>
      </c>
      <c r="G1923" s="95">
        <v>0</v>
      </c>
      <c r="H1923" s="95">
        <v>85946.47</v>
      </c>
    </row>
    <row r="1924" spans="1:8" ht="19.8" customHeight="1" x14ac:dyDescent="0.3">
      <c r="A1924" s="98">
        <f t="shared" si="30"/>
        <v>11</v>
      </c>
      <c r="B1924" s="92" t="s">
        <v>925</v>
      </c>
      <c r="C1924" s="92" t="s">
        <v>926</v>
      </c>
      <c r="D1924" s="95">
        <v>31469.8</v>
      </c>
      <c r="E1924" s="95">
        <v>0</v>
      </c>
      <c r="F1924" s="95">
        <v>31469.8</v>
      </c>
      <c r="G1924" s="95">
        <v>0</v>
      </c>
      <c r="H1924" s="95">
        <v>31469.8</v>
      </c>
    </row>
    <row r="1925" spans="1:8" ht="19.8" customHeight="1" x14ac:dyDescent="0.3">
      <c r="A1925" s="98">
        <f t="shared" si="30"/>
        <v>11</v>
      </c>
      <c r="B1925" s="92" t="s">
        <v>927</v>
      </c>
      <c r="C1925" s="92" t="s">
        <v>928</v>
      </c>
      <c r="D1925" s="95">
        <v>90057.82</v>
      </c>
      <c r="E1925" s="95">
        <v>0</v>
      </c>
      <c r="F1925" s="95">
        <v>90057.82</v>
      </c>
      <c r="G1925" s="95">
        <v>0</v>
      </c>
      <c r="H1925" s="95">
        <v>90057.82</v>
      </c>
    </row>
    <row r="1926" spans="1:8" ht="19.8" customHeight="1" x14ac:dyDescent="0.3">
      <c r="A1926" s="98">
        <f t="shared" si="30"/>
        <v>7</v>
      </c>
      <c r="B1926" s="92" t="s">
        <v>3775</v>
      </c>
      <c r="C1926" s="92" t="s">
        <v>3776</v>
      </c>
      <c r="D1926" s="95">
        <v>39363537.060000002</v>
      </c>
      <c r="E1926" s="95">
        <v>20671990.84</v>
      </c>
      <c r="F1926" s="95">
        <v>18691546.219999999</v>
      </c>
      <c r="G1926" s="95">
        <v>0</v>
      </c>
      <c r="H1926" s="95">
        <v>18691546.219999999</v>
      </c>
    </row>
    <row r="1927" spans="1:8" ht="19.8" customHeight="1" x14ac:dyDescent="0.3">
      <c r="A1927" s="98">
        <f t="shared" si="30"/>
        <v>11</v>
      </c>
      <c r="B1927" s="92" t="s">
        <v>929</v>
      </c>
      <c r="C1927" s="92" t="s">
        <v>930</v>
      </c>
      <c r="D1927" s="95">
        <v>5112717.84</v>
      </c>
      <c r="E1927" s="95">
        <v>4249924.09</v>
      </c>
      <c r="F1927" s="95">
        <v>862793.75</v>
      </c>
      <c r="G1927" s="95">
        <v>0</v>
      </c>
      <c r="H1927" s="95">
        <v>862793.75</v>
      </c>
    </row>
    <row r="1928" spans="1:8" ht="19.8" customHeight="1" x14ac:dyDescent="0.3">
      <c r="A1928" s="98">
        <f t="shared" si="30"/>
        <v>11</v>
      </c>
      <c r="B1928" s="92" t="s">
        <v>3777</v>
      </c>
      <c r="C1928" s="92" t="s">
        <v>3778</v>
      </c>
      <c r="D1928" s="95">
        <v>475447.25</v>
      </c>
      <c r="E1928" s="95">
        <v>0</v>
      </c>
      <c r="F1928" s="95">
        <v>475447.25</v>
      </c>
      <c r="G1928" s="95">
        <v>0</v>
      </c>
      <c r="H1928" s="95">
        <v>475447.25</v>
      </c>
    </row>
    <row r="1929" spans="1:8" ht="19.8" customHeight="1" x14ac:dyDescent="0.3">
      <c r="A1929" s="98">
        <f t="shared" si="30"/>
        <v>11</v>
      </c>
      <c r="B1929" s="92" t="s">
        <v>931</v>
      </c>
      <c r="C1929" s="92" t="s">
        <v>932</v>
      </c>
      <c r="D1929" s="95">
        <v>1684206.73</v>
      </c>
      <c r="E1929" s="95">
        <v>337654.3</v>
      </c>
      <c r="F1929" s="95">
        <v>1346552.43</v>
      </c>
      <c r="G1929" s="95">
        <v>0</v>
      </c>
      <c r="H1929" s="95">
        <v>1346552.43</v>
      </c>
    </row>
    <row r="1930" spans="1:8" ht="19.8" customHeight="1" x14ac:dyDescent="0.3">
      <c r="A1930" s="98">
        <f t="shared" si="30"/>
        <v>11</v>
      </c>
      <c r="B1930" s="92" t="s">
        <v>933</v>
      </c>
      <c r="C1930" s="92" t="s">
        <v>934</v>
      </c>
      <c r="D1930" s="95">
        <v>1935146.17</v>
      </c>
      <c r="E1930" s="95">
        <v>878191.27</v>
      </c>
      <c r="F1930" s="95">
        <v>1056954.8999999999</v>
      </c>
      <c r="G1930" s="95">
        <v>0</v>
      </c>
      <c r="H1930" s="95">
        <v>1056954.8999999999</v>
      </c>
    </row>
    <row r="1931" spans="1:8" ht="19.8" customHeight="1" x14ac:dyDescent="0.3">
      <c r="A1931" s="98">
        <f t="shared" si="30"/>
        <v>11</v>
      </c>
      <c r="B1931" s="92" t="s">
        <v>935</v>
      </c>
      <c r="C1931" s="92" t="s">
        <v>936</v>
      </c>
      <c r="D1931" s="95">
        <v>1249396.68</v>
      </c>
      <c r="E1931" s="95">
        <v>192825.18</v>
      </c>
      <c r="F1931" s="95">
        <v>1056571.5</v>
      </c>
      <c r="G1931" s="95">
        <v>0</v>
      </c>
      <c r="H1931" s="95">
        <v>1056571.5</v>
      </c>
    </row>
    <row r="1932" spans="1:8" ht="19.8" customHeight="1" x14ac:dyDescent="0.3">
      <c r="A1932" s="98">
        <f t="shared" si="30"/>
        <v>11</v>
      </c>
      <c r="B1932" s="92" t="s">
        <v>937</v>
      </c>
      <c r="C1932" s="92" t="s">
        <v>938</v>
      </c>
      <c r="D1932" s="95">
        <v>13195804.07</v>
      </c>
      <c r="E1932" s="95">
        <v>9302071.6199999992</v>
      </c>
      <c r="F1932" s="95">
        <v>3893732.45</v>
      </c>
      <c r="G1932" s="95">
        <v>0</v>
      </c>
      <c r="H1932" s="95">
        <v>3893732.45</v>
      </c>
    </row>
    <row r="1933" spans="1:8" ht="19.8" customHeight="1" x14ac:dyDescent="0.3">
      <c r="A1933" s="98">
        <f t="shared" si="30"/>
        <v>11</v>
      </c>
      <c r="B1933" s="92" t="s">
        <v>939</v>
      </c>
      <c r="C1933" s="92" t="s">
        <v>940</v>
      </c>
      <c r="D1933" s="95">
        <v>304108.84000000003</v>
      </c>
      <c r="E1933" s="95">
        <v>143013.75</v>
      </c>
      <c r="F1933" s="95">
        <v>161095.09</v>
      </c>
      <c r="G1933" s="95">
        <v>0</v>
      </c>
      <c r="H1933" s="95">
        <v>161095.09</v>
      </c>
    </row>
    <row r="1934" spans="1:8" ht="19.8" customHeight="1" x14ac:dyDescent="0.3">
      <c r="A1934" s="98">
        <f t="shared" si="30"/>
        <v>11</v>
      </c>
      <c r="B1934" s="92" t="s">
        <v>941</v>
      </c>
      <c r="C1934" s="92" t="s">
        <v>942</v>
      </c>
      <c r="D1934" s="95">
        <v>3567019.44</v>
      </c>
      <c r="E1934" s="95">
        <v>1227220.3600000001</v>
      </c>
      <c r="F1934" s="95">
        <v>2339799.08</v>
      </c>
      <c r="G1934" s="95">
        <v>0</v>
      </c>
      <c r="H1934" s="95">
        <v>2339799.08</v>
      </c>
    </row>
    <row r="1935" spans="1:8" ht="19.8" customHeight="1" x14ac:dyDescent="0.3">
      <c r="A1935" s="98">
        <f t="shared" si="30"/>
        <v>11</v>
      </c>
      <c r="B1935" s="92" t="s">
        <v>3779</v>
      </c>
      <c r="C1935" s="92" t="s">
        <v>3780</v>
      </c>
      <c r="D1935" s="95">
        <v>838541.67</v>
      </c>
      <c r="E1935" s="95">
        <v>838541.67</v>
      </c>
      <c r="F1935" s="95">
        <v>0</v>
      </c>
      <c r="G1935" s="95">
        <v>0</v>
      </c>
      <c r="H1935" s="95">
        <v>0</v>
      </c>
    </row>
    <row r="1936" spans="1:8" ht="19.8" customHeight="1" x14ac:dyDescent="0.3">
      <c r="A1936" s="98">
        <f t="shared" si="30"/>
        <v>11</v>
      </c>
      <c r="B1936" s="92" t="s">
        <v>943</v>
      </c>
      <c r="C1936" s="92" t="s">
        <v>944</v>
      </c>
      <c r="D1936" s="95">
        <v>3832949.86</v>
      </c>
      <c r="E1936" s="95">
        <v>1030508.82</v>
      </c>
      <c r="F1936" s="95">
        <v>2802441.04</v>
      </c>
      <c r="G1936" s="95">
        <v>0</v>
      </c>
      <c r="H1936" s="95">
        <v>2802441.04</v>
      </c>
    </row>
    <row r="1937" spans="1:8" ht="19.8" customHeight="1" x14ac:dyDescent="0.3">
      <c r="A1937" s="98">
        <f t="shared" si="30"/>
        <v>11</v>
      </c>
      <c r="B1937" s="92" t="s">
        <v>945</v>
      </c>
      <c r="C1937" s="92" t="s">
        <v>946</v>
      </c>
      <c r="D1937" s="95">
        <v>5643482.04</v>
      </c>
      <c r="E1937" s="95">
        <v>2318039.7799999998</v>
      </c>
      <c r="F1937" s="95">
        <v>3325442.26</v>
      </c>
      <c r="G1937" s="95">
        <v>0</v>
      </c>
      <c r="H1937" s="95">
        <v>3325442.26</v>
      </c>
    </row>
    <row r="1938" spans="1:8" ht="19.8" customHeight="1" x14ac:dyDescent="0.3">
      <c r="A1938" s="98">
        <f t="shared" si="30"/>
        <v>11</v>
      </c>
      <c r="B1938" s="92" t="s">
        <v>3781</v>
      </c>
      <c r="C1938" s="92" t="s">
        <v>3782</v>
      </c>
      <c r="D1938" s="95">
        <v>1524716.47</v>
      </c>
      <c r="E1938" s="95">
        <v>154000</v>
      </c>
      <c r="F1938" s="95">
        <v>1370716.47</v>
      </c>
      <c r="G1938" s="95">
        <v>0</v>
      </c>
      <c r="H1938" s="95">
        <v>1370716.47</v>
      </c>
    </row>
    <row r="1939" spans="1:8" ht="19.8" customHeight="1" x14ac:dyDescent="0.3">
      <c r="A1939" s="98">
        <f t="shared" si="30"/>
        <v>7</v>
      </c>
      <c r="B1939" s="92" t="s">
        <v>3783</v>
      </c>
      <c r="C1939" s="92" t="s">
        <v>3784</v>
      </c>
      <c r="D1939" s="95">
        <v>39606615.479999997</v>
      </c>
      <c r="E1939" s="95">
        <v>492367.76</v>
      </c>
      <c r="F1939" s="95">
        <v>39114247.719999999</v>
      </c>
      <c r="G1939" s="95">
        <v>0</v>
      </c>
      <c r="H1939" s="95">
        <v>39114247.719999999</v>
      </c>
    </row>
    <row r="1940" spans="1:8" ht="19.8" customHeight="1" x14ac:dyDescent="0.3">
      <c r="A1940" s="98">
        <f t="shared" si="30"/>
        <v>11</v>
      </c>
      <c r="B1940" s="92" t="s">
        <v>3785</v>
      </c>
      <c r="C1940" s="92" t="s">
        <v>3786</v>
      </c>
      <c r="D1940" s="95">
        <v>320833.34000000003</v>
      </c>
      <c r="E1940" s="95">
        <v>0</v>
      </c>
      <c r="F1940" s="95">
        <v>320833.34000000003</v>
      </c>
      <c r="G1940" s="95">
        <v>0</v>
      </c>
      <c r="H1940" s="95">
        <v>320833.34000000003</v>
      </c>
    </row>
    <row r="1941" spans="1:8" ht="19.8" customHeight="1" x14ac:dyDescent="0.3">
      <c r="A1941" s="98">
        <f t="shared" si="30"/>
        <v>11</v>
      </c>
      <c r="B1941" s="92" t="s">
        <v>3787</v>
      </c>
      <c r="C1941" s="92" t="s">
        <v>3788</v>
      </c>
      <c r="D1941" s="95">
        <v>269584.25</v>
      </c>
      <c r="E1941" s="95">
        <v>0</v>
      </c>
      <c r="F1941" s="95">
        <v>269584.25</v>
      </c>
      <c r="G1941" s="95">
        <v>0</v>
      </c>
      <c r="H1941" s="95">
        <v>269584.25</v>
      </c>
    </row>
    <row r="1942" spans="1:8" ht="19.8" customHeight="1" x14ac:dyDescent="0.3">
      <c r="A1942" s="98">
        <f t="shared" si="30"/>
        <v>11</v>
      </c>
      <c r="B1942" s="92" t="s">
        <v>947</v>
      </c>
      <c r="C1942" s="92" t="s">
        <v>948</v>
      </c>
      <c r="D1942" s="95">
        <v>1914657.5</v>
      </c>
      <c r="E1942" s="95">
        <v>0</v>
      </c>
      <c r="F1942" s="95">
        <v>1914657.5</v>
      </c>
      <c r="G1942" s="95">
        <v>0</v>
      </c>
      <c r="H1942" s="95">
        <v>1914657.5</v>
      </c>
    </row>
    <row r="1943" spans="1:8" ht="19.8" customHeight="1" x14ac:dyDescent="0.3">
      <c r="A1943" s="98">
        <f t="shared" si="30"/>
        <v>11</v>
      </c>
      <c r="B1943" s="92" t="s">
        <v>3789</v>
      </c>
      <c r="C1943" s="92" t="s">
        <v>3790</v>
      </c>
      <c r="D1943" s="95">
        <v>3986027.5</v>
      </c>
      <c r="E1943" s="95">
        <v>0</v>
      </c>
      <c r="F1943" s="95">
        <v>3986027.5</v>
      </c>
      <c r="G1943" s="95">
        <v>0</v>
      </c>
      <c r="H1943" s="95">
        <v>3986027.5</v>
      </c>
    </row>
    <row r="1944" spans="1:8" ht="19.8" customHeight="1" x14ac:dyDescent="0.3">
      <c r="A1944" s="98">
        <f t="shared" si="30"/>
        <v>11</v>
      </c>
      <c r="B1944" s="92" t="s">
        <v>949</v>
      </c>
      <c r="C1944" s="92" t="s">
        <v>950</v>
      </c>
      <c r="D1944" s="95">
        <v>2052894.94</v>
      </c>
      <c r="E1944" s="95">
        <v>0</v>
      </c>
      <c r="F1944" s="95">
        <v>2052894.94</v>
      </c>
      <c r="G1944" s="95">
        <v>0</v>
      </c>
      <c r="H1944" s="95">
        <v>2052894.94</v>
      </c>
    </row>
    <row r="1945" spans="1:8" ht="19.8" customHeight="1" x14ac:dyDescent="0.3">
      <c r="A1945" s="98">
        <f t="shared" si="30"/>
        <v>11</v>
      </c>
      <c r="B1945" s="92" t="s">
        <v>951</v>
      </c>
      <c r="C1945" s="92" t="s">
        <v>952</v>
      </c>
      <c r="D1945" s="95">
        <v>828409.64</v>
      </c>
      <c r="E1945" s="95">
        <v>0</v>
      </c>
      <c r="F1945" s="95">
        <v>828409.64</v>
      </c>
      <c r="G1945" s="95">
        <v>0</v>
      </c>
      <c r="H1945" s="95">
        <v>828409.64</v>
      </c>
    </row>
    <row r="1946" spans="1:8" ht="19.8" customHeight="1" x14ac:dyDescent="0.3">
      <c r="A1946" s="98">
        <f t="shared" si="30"/>
        <v>11</v>
      </c>
      <c r="B1946" s="92" t="s">
        <v>953</v>
      </c>
      <c r="C1946" s="92" t="s">
        <v>954</v>
      </c>
      <c r="D1946" s="95">
        <v>2233481.25</v>
      </c>
      <c r="E1946" s="95">
        <v>0</v>
      </c>
      <c r="F1946" s="95">
        <v>2233481.25</v>
      </c>
      <c r="G1946" s="95">
        <v>0</v>
      </c>
      <c r="H1946" s="95">
        <v>2233481.25</v>
      </c>
    </row>
    <row r="1947" spans="1:8" ht="19.8" customHeight="1" x14ac:dyDescent="0.3">
      <c r="A1947" s="98">
        <f t="shared" si="30"/>
        <v>11</v>
      </c>
      <c r="B1947" s="92" t="s">
        <v>3791</v>
      </c>
      <c r="C1947" s="92" t="s">
        <v>3792</v>
      </c>
      <c r="D1947" s="95">
        <v>3548002.5</v>
      </c>
      <c r="E1947" s="95">
        <v>0</v>
      </c>
      <c r="F1947" s="95">
        <v>3548002.5</v>
      </c>
      <c r="G1947" s="95">
        <v>0</v>
      </c>
      <c r="H1947" s="95">
        <v>3548002.5</v>
      </c>
    </row>
    <row r="1948" spans="1:8" ht="19.8" customHeight="1" x14ac:dyDescent="0.3">
      <c r="A1948" s="98">
        <f t="shared" si="30"/>
        <v>11</v>
      </c>
      <c r="B1948" s="92" t="s">
        <v>955</v>
      </c>
      <c r="C1948" s="92" t="s">
        <v>956</v>
      </c>
      <c r="D1948" s="95">
        <v>5751376</v>
      </c>
      <c r="E1948" s="95">
        <v>0</v>
      </c>
      <c r="F1948" s="95">
        <v>5751376</v>
      </c>
      <c r="G1948" s="95">
        <v>0</v>
      </c>
      <c r="H1948" s="95">
        <v>5751376</v>
      </c>
    </row>
    <row r="1949" spans="1:8" ht="19.8" customHeight="1" x14ac:dyDescent="0.3">
      <c r="A1949" s="98">
        <f t="shared" si="30"/>
        <v>11</v>
      </c>
      <c r="B1949" s="92" t="s">
        <v>957</v>
      </c>
      <c r="C1949" s="92" t="s">
        <v>958</v>
      </c>
      <c r="D1949" s="95">
        <v>404744.4</v>
      </c>
      <c r="E1949" s="95">
        <v>123117.75999999999</v>
      </c>
      <c r="F1949" s="95">
        <v>281626.64</v>
      </c>
      <c r="G1949" s="95">
        <v>0</v>
      </c>
      <c r="H1949" s="95">
        <v>281626.64</v>
      </c>
    </row>
    <row r="1950" spans="1:8" ht="19.8" customHeight="1" x14ac:dyDescent="0.3">
      <c r="A1950" s="98">
        <f t="shared" si="30"/>
        <v>11</v>
      </c>
      <c r="B1950" s="92" t="s">
        <v>959</v>
      </c>
      <c r="C1950" s="92" t="s">
        <v>960</v>
      </c>
      <c r="D1950" s="95">
        <v>4291291.51</v>
      </c>
      <c r="E1950" s="95">
        <v>369250</v>
      </c>
      <c r="F1950" s="95">
        <v>3922041.51</v>
      </c>
      <c r="G1950" s="95">
        <v>0</v>
      </c>
      <c r="H1950" s="95">
        <v>3922041.51</v>
      </c>
    </row>
    <row r="1951" spans="1:8" ht="19.8" customHeight="1" x14ac:dyDescent="0.3">
      <c r="A1951" s="98">
        <f t="shared" si="30"/>
        <v>11</v>
      </c>
      <c r="B1951" s="92" t="s">
        <v>961</v>
      </c>
      <c r="C1951" s="92" t="s">
        <v>962</v>
      </c>
      <c r="D1951" s="95">
        <v>11564000.15</v>
      </c>
      <c r="E1951" s="95">
        <v>0</v>
      </c>
      <c r="F1951" s="95">
        <v>11564000.15</v>
      </c>
      <c r="G1951" s="95">
        <v>0</v>
      </c>
      <c r="H1951" s="95">
        <v>11564000.15</v>
      </c>
    </row>
    <row r="1952" spans="1:8" ht="19.8" customHeight="1" x14ac:dyDescent="0.3">
      <c r="A1952" s="98">
        <f t="shared" si="30"/>
        <v>11</v>
      </c>
      <c r="B1952" s="92" t="s">
        <v>975</v>
      </c>
      <c r="C1952" s="92" t="s">
        <v>976</v>
      </c>
      <c r="D1952" s="95">
        <v>2441312.5</v>
      </c>
      <c r="E1952" s="95">
        <v>0</v>
      </c>
      <c r="F1952" s="95">
        <v>2441312.5</v>
      </c>
      <c r="G1952" s="95">
        <v>0</v>
      </c>
      <c r="H1952" s="95">
        <v>2441312.5</v>
      </c>
    </row>
    <row r="1953" spans="1:5" ht="19.8" customHeight="1" x14ac:dyDescent="0.3">
      <c r="A1953" s="99"/>
      <c r="B1953" s="99"/>
      <c r="C1953" s="99"/>
      <c r="D1953" s="99"/>
      <c r="E1953" s="99"/>
    </row>
    <row r="1954" spans="1:5" ht="19.8" customHeight="1" x14ac:dyDescent="0.3">
      <c r="A1954" s="99"/>
      <c r="B1954" s="99"/>
      <c r="C1954" s="99"/>
      <c r="D1954" s="99"/>
      <c r="E1954" s="99"/>
    </row>
    <row r="1955" spans="1:5" ht="19.8" customHeight="1" x14ac:dyDescent="0.3">
      <c r="A1955" s="99"/>
      <c r="B1955" s="99"/>
      <c r="C1955" s="99"/>
      <c r="D1955" s="99"/>
      <c r="E1955" s="99"/>
    </row>
    <row r="1956" spans="1:5" ht="19.8" customHeight="1" x14ac:dyDescent="0.3">
      <c r="A1956" s="99"/>
      <c r="B1956" s="99"/>
      <c r="C1956" s="99"/>
      <c r="D1956" s="99"/>
      <c r="E1956" s="99"/>
    </row>
    <row r="1957" spans="1:5" ht="19.8" customHeight="1" x14ac:dyDescent="0.3">
      <c r="A1957" s="99"/>
      <c r="B1957" s="99"/>
      <c r="C1957" s="99"/>
      <c r="D1957" s="99"/>
      <c r="E1957" s="99"/>
    </row>
    <row r="1958" spans="1:5" ht="19.8" customHeight="1" x14ac:dyDescent="0.3">
      <c r="A1958" s="99"/>
      <c r="B1958" s="99"/>
      <c r="C1958" s="99"/>
      <c r="D1958" s="99"/>
      <c r="E1958" s="99"/>
    </row>
    <row r="1959" spans="1:5" ht="19.8" customHeight="1" x14ac:dyDescent="0.3">
      <c r="A1959" s="99"/>
      <c r="B1959" s="99"/>
      <c r="C1959" s="99"/>
      <c r="D1959" s="99"/>
      <c r="E1959" s="99"/>
    </row>
    <row r="1960" spans="1:5" ht="19.8" customHeight="1" x14ac:dyDescent="0.3">
      <c r="A1960" s="99"/>
      <c r="B1960" s="99"/>
      <c r="C1960" s="99"/>
      <c r="D1960" s="99"/>
      <c r="E1960" s="99"/>
    </row>
    <row r="1961" spans="1:5" ht="19.8" customHeight="1" x14ac:dyDescent="0.3">
      <c r="A1961" s="99"/>
      <c r="B1961" s="99"/>
      <c r="C1961" s="99"/>
      <c r="D1961" s="99"/>
      <c r="E1961" s="99"/>
    </row>
    <row r="1962" spans="1:5" ht="19.8" customHeight="1" x14ac:dyDescent="0.3">
      <c r="A1962" s="99"/>
      <c r="B1962" s="99"/>
      <c r="C1962" s="99"/>
      <c r="D1962" s="99"/>
      <c r="E1962" s="99"/>
    </row>
    <row r="1963" spans="1:5" ht="19.8" customHeight="1" x14ac:dyDescent="0.3">
      <c r="A1963" s="99"/>
      <c r="B1963" s="99"/>
      <c r="C1963" s="99"/>
      <c r="D1963" s="99"/>
      <c r="E1963" s="99"/>
    </row>
    <row r="1964" spans="1:5" ht="19.8" customHeight="1" x14ac:dyDescent="0.3">
      <c r="A1964" s="99"/>
      <c r="B1964" s="99"/>
      <c r="C1964" s="99"/>
      <c r="D1964" s="99"/>
      <c r="E1964" s="99"/>
    </row>
    <row r="1965" spans="1:5" ht="19.8" customHeight="1" x14ac:dyDescent="0.3">
      <c r="A1965" s="99"/>
      <c r="B1965" s="99"/>
      <c r="C1965" s="99"/>
      <c r="D1965" s="99"/>
      <c r="E1965" s="99"/>
    </row>
    <row r="1966" spans="1:5" ht="19.8" customHeight="1" x14ac:dyDescent="0.3">
      <c r="A1966" s="99"/>
      <c r="B1966" s="99"/>
      <c r="C1966" s="99"/>
      <c r="D1966" s="99"/>
      <c r="E1966" s="99"/>
    </row>
    <row r="1967" spans="1:5" ht="19.8" customHeight="1" x14ac:dyDescent="0.3">
      <c r="A1967" s="99"/>
      <c r="B1967" s="99"/>
      <c r="C1967" s="99"/>
      <c r="D1967" s="99"/>
      <c r="E1967" s="99"/>
    </row>
    <row r="1968" spans="1:5" ht="19.8" customHeight="1" x14ac:dyDescent="0.3">
      <c r="A1968" s="99"/>
      <c r="B1968" s="99"/>
      <c r="C1968" s="99"/>
      <c r="D1968" s="99"/>
      <c r="E1968" s="99"/>
    </row>
    <row r="1969" spans="1:5" ht="19.8" customHeight="1" x14ac:dyDescent="0.3">
      <c r="A1969" s="99"/>
      <c r="B1969" s="99"/>
      <c r="C1969" s="99"/>
      <c r="D1969" s="99"/>
      <c r="E1969" s="99"/>
    </row>
    <row r="1970" spans="1:5" ht="19.8" customHeight="1" x14ac:dyDescent="0.3">
      <c r="A1970" s="99"/>
      <c r="B1970" s="99"/>
      <c r="C1970" s="99"/>
      <c r="D1970" s="99"/>
      <c r="E1970" s="99"/>
    </row>
    <row r="1971" spans="1:5" ht="19.8" customHeight="1" x14ac:dyDescent="0.3">
      <c r="A1971" s="99"/>
      <c r="B1971" s="99"/>
      <c r="C1971" s="99"/>
      <c r="D1971" s="99"/>
      <c r="E1971" s="99"/>
    </row>
    <row r="1972" spans="1:5" ht="19.8" customHeight="1" x14ac:dyDescent="0.3">
      <c r="A1972" s="99"/>
      <c r="B1972" s="99"/>
      <c r="C1972" s="99"/>
      <c r="D1972" s="99"/>
      <c r="E1972" s="99"/>
    </row>
    <row r="1973" spans="1:5" ht="19.8" customHeight="1" x14ac:dyDescent="0.3">
      <c r="A1973" s="99"/>
      <c r="B1973" s="99"/>
      <c r="C1973" s="99"/>
      <c r="D1973" s="99"/>
      <c r="E1973" s="99"/>
    </row>
    <row r="1974" spans="1:5" ht="19.8" customHeight="1" x14ac:dyDescent="0.3">
      <c r="A1974" s="99"/>
      <c r="B1974" s="99"/>
      <c r="C1974" s="99"/>
      <c r="D1974" s="99"/>
      <c r="E1974" s="99"/>
    </row>
    <row r="1975" spans="1:5" ht="19.8" customHeight="1" x14ac:dyDescent="0.3">
      <c r="A1975" s="99"/>
      <c r="B1975" s="99"/>
      <c r="C1975" s="99"/>
      <c r="D1975" s="99"/>
      <c r="E1975" s="99"/>
    </row>
    <row r="1976" spans="1:5" ht="19.8" customHeight="1" x14ac:dyDescent="0.3">
      <c r="A1976" s="99"/>
      <c r="B1976" s="99"/>
      <c r="C1976" s="99"/>
      <c r="D1976" s="99"/>
      <c r="E1976" s="99"/>
    </row>
    <row r="1977" spans="1:5" ht="19.8" customHeight="1" x14ac:dyDescent="0.3">
      <c r="A1977" s="99"/>
      <c r="B1977" s="99"/>
      <c r="C1977" s="99"/>
      <c r="D1977" s="99"/>
      <c r="E1977" s="99"/>
    </row>
    <row r="1978" spans="1:5" ht="19.8" customHeight="1" x14ac:dyDescent="0.3">
      <c r="A1978" s="99"/>
      <c r="B1978" s="99"/>
      <c r="C1978" s="99"/>
      <c r="D1978" s="99"/>
      <c r="E1978" s="99"/>
    </row>
    <row r="1979" spans="1:5" ht="19.8" customHeight="1" x14ac:dyDescent="0.3">
      <c r="A1979" s="99"/>
      <c r="B1979" s="99"/>
      <c r="C1979" s="99"/>
      <c r="D1979" s="99"/>
      <c r="E1979" s="99"/>
    </row>
    <row r="1980" spans="1:5" ht="19.8" customHeight="1" x14ac:dyDescent="0.3">
      <c r="A1980" s="99"/>
      <c r="B1980" s="99"/>
      <c r="C1980" s="99"/>
      <c r="D1980" s="99"/>
      <c r="E1980" s="99"/>
    </row>
    <row r="1981" spans="1:5" ht="19.8" customHeight="1" x14ac:dyDescent="0.3">
      <c r="A1981" s="99"/>
      <c r="B1981" s="99"/>
      <c r="C1981" s="99"/>
      <c r="D1981" s="99"/>
      <c r="E1981" s="99"/>
    </row>
    <row r="1982" spans="1:5" ht="19.8" customHeight="1" x14ac:dyDescent="0.3">
      <c r="A1982" s="99"/>
      <c r="B1982" s="99"/>
      <c r="C1982" s="99"/>
      <c r="D1982" s="99"/>
      <c r="E1982" s="99"/>
    </row>
    <row r="1983" spans="1:5" ht="19.8" customHeight="1" x14ac:dyDescent="0.3">
      <c r="A1983" s="99"/>
      <c r="B1983" s="99"/>
      <c r="C1983" s="99"/>
      <c r="D1983" s="99"/>
      <c r="E1983" s="99"/>
    </row>
    <row r="1984" spans="1:5" ht="19.8" customHeight="1" x14ac:dyDescent="0.3">
      <c r="A1984" s="99"/>
      <c r="B1984" s="99"/>
      <c r="C1984" s="99"/>
      <c r="D1984" s="99"/>
      <c r="E1984" s="99"/>
    </row>
    <row r="1985" spans="1:5" ht="19.8" customHeight="1" x14ac:dyDescent="0.3">
      <c r="A1985" s="99"/>
      <c r="B1985" s="99"/>
      <c r="C1985" s="99"/>
      <c r="D1985" s="99"/>
      <c r="E1985" s="99"/>
    </row>
    <row r="1986" spans="1:5" ht="19.8" customHeight="1" x14ac:dyDescent="0.3">
      <c r="A1986" s="99"/>
      <c r="B1986" s="99"/>
      <c r="C1986" s="99"/>
      <c r="D1986" s="99"/>
      <c r="E1986" s="99"/>
    </row>
    <row r="1987" spans="1:5" ht="19.8" customHeight="1" x14ac:dyDescent="0.3">
      <c r="A1987" s="99"/>
      <c r="B1987" s="99"/>
      <c r="C1987" s="99"/>
      <c r="D1987" s="99"/>
      <c r="E1987" s="99"/>
    </row>
    <row r="1988" spans="1:5" ht="19.8" customHeight="1" x14ac:dyDescent="0.3">
      <c r="A1988" s="99"/>
      <c r="B1988" s="99"/>
      <c r="C1988" s="99"/>
      <c r="D1988" s="99"/>
      <c r="E1988" s="99"/>
    </row>
    <row r="1989" spans="1:5" ht="19.8" customHeight="1" x14ac:dyDescent="0.3">
      <c r="A1989" s="99"/>
      <c r="B1989" s="99"/>
      <c r="C1989" s="99"/>
      <c r="D1989" s="99"/>
      <c r="E1989" s="99"/>
    </row>
    <row r="1990" spans="1:5" ht="19.8" customHeight="1" x14ac:dyDescent="0.3">
      <c r="A1990" s="99"/>
      <c r="B1990" s="99"/>
      <c r="C1990" s="99"/>
      <c r="D1990" s="99"/>
      <c r="E1990" s="99"/>
    </row>
    <row r="1991" spans="1:5" ht="19.8" customHeight="1" x14ac:dyDescent="0.3">
      <c r="A1991" s="99"/>
      <c r="B1991" s="99"/>
      <c r="C1991" s="99"/>
      <c r="D1991" s="99"/>
      <c r="E1991" s="99"/>
    </row>
    <row r="1992" spans="1:5" ht="19.8" customHeight="1" x14ac:dyDescent="0.3">
      <c r="A1992" s="99"/>
      <c r="B1992" s="99"/>
      <c r="C1992" s="99"/>
      <c r="D1992" s="99"/>
      <c r="E1992" s="99"/>
    </row>
    <row r="1993" spans="1:5" ht="19.8" customHeight="1" x14ac:dyDescent="0.3">
      <c r="A1993" s="99"/>
      <c r="B1993" s="99"/>
      <c r="C1993" s="99"/>
      <c r="D1993" s="99"/>
      <c r="E1993" s="99"/>
    </row>
    <row r="1994" spans="1:5" ht="19.8" customHeight="1" x14ac:dyDescent="0.3">
      <c r="A1994" s="99"/>
      <c r="B1994" s="99"/>
      <c r="C1994" s="99"/>
      <c r="D1994" s="99"/>
      <c r="E1994" s="99"/>
    </row>
    <row r="1995" spans="1:5" ht="19.8" customHeight="1" x14ac:dyDescent="0.3">
      <c r="A1995" s="99"/>
      <c r="B1995" s="99"/>
      <c r="C1995" s="99"/>
      <c r="D1995" s="99"/>
      <c r="E1995" s="99"/>
    </row>
    <row r="1996" spans="1:5" ht="19.8" customHeight="1" x14ac:dyDescent="0.3">
      <c r="A1996" s="99"/>
      <c r="B1996" s="99"/>
      <c r="C1996" s="99"/>
      <c r="D1996" s="99"/>
      <c r="E1996" s="99"/>
    </row>
    <row r="1997" spans="1:5" ht="19.8" customHeight="1" x14ac:dyDescent="0.3">
      <c r="A1997" s="99"/>
      <c r="B1997" s="99"/>
      <c r="C1997" s="99"/>
      <c r="D1997" s="99"/>
      <c r="E1997" s="99"/>
    </row>
    <row r="1998" spans="1:5" ht="19.8" customHeight="1" x14ac:dyDescent="0.3">
      <c r="A1998" s="99"/>
      <c r="B1998" s="99"/>
      <c r="C1998" s="99"/>
      <c r="D1998" s="99"/>
      <c r="E1998" s="99"/>
    </row>
    <row r="1999" spans="1:5" ht="19.8" customHeight="1" x14ac:dyDescent="0.3">
      <c r="A1999" s="99"/>
      <c r="B1999" s="99"/>
      <c r="C1999" s="99"/>
      <c r="D1999" s="99"/>
      <c r="E1999" s="99"/>
    </row>
    <row r="2000" spans="1:5" ht="19.8" customHeight="1" x14ac:dyDescent="0.3">
      <c r="A2000" s="99"/>
      <c r="B2000" s="99"/>
      <c r="C2000" s="99"/>
      <c r="D2000" s="99"/>
      <c r="E2000" s="99"/>
    </row>
    <row r="2001" spans="1:5" ht="19.8" customHeight="1" x14ac:dyDescent="0.3">
      <c r="A2001" s="99"/>
      <c r="B2001" s="99"/>
      <c r="C2001" s="99"/>
      <c r="D2001" s="99"/>
      <c r="E2001" s="99"/>
    </row>
    <row r="2002" spans="1:5" ht="19.8" customHeight="1" x14ac:dyDescent="0.3">
      <c r="A2002" s="99"/>
      <c r="B2002" s="99"/>
      <c r="C2002" s="99"/>
      <c r="D2002" s="99"/>
      <c r="E2002" s="99"/>
    </row>
    <row r="2003" spans="1:5" ht="19.8" customHeight="1" x14ac:dyDescent="0.3">
      <c r="A2003" s="99"/>
      <c r="B2003" s="99"/>
      <c r="C2003" s="99"/>
      <c r="D2003" s="99"/>
      <c r="E2003" s="99"/>
    </row>
    <row r="2004" spans="1:5" ht="19.8" customHeight="1" x14ac:dyDescent="0.3">
      <c r="A2004" s="99"/>
      <c r="B2004" s="99"/>
      <c r="C2004" s="99"/>
      <c r="D2004" s="99"/>
      <c r="E2004" s="99"/>
    </row>
    <row r="2005" spans="1:5" ht="19.8" customHeight="1" x14ac:dyDescent="0.3">
      <c r="A2005" s="99"/>
      <c r="B2005" s="99"/>
      <c r="C2005" s="99"/>
      <c r="D2005" s="99"/>
      <c r="E2005" s="99"/>
    </row>
    <row r="2006" spans="1:5" ht="19.8" customHeight="1" x14ac:dyDescent="0.3">
      <c r="A2006" s="99"/>
      <c r="B2006" s="99"/>
      <c r="C2006" s="99"/>
      <c r="D2006" s="99"/>
      <c r="E2006" s="99"/>
    </row>
    <row r="2007" spans="1:5" ht="19.8" customHeight="1" x14ac:dyDescent="0.3">
      <c r="A2007" s="99"/>
      <c r="B2007" s="99"/>
      <c r="C2007" s="99"/>
      <c r="D2007" s="99"/>
      <c r="E2007" s="99"/>
    </row>
    <row r="2008" spans="1:5" ht="19.8" customHeight="1" x14ac:dyDescent="0.3">
      <c r="A2008" s="99"/>
      <c r="B2008" s="99"/>
      <c r="C2008" s="99"/>
      <c r="D2008" s="99"/>
      <c r="E2008" s="99"/>
    </row>
    <row r="2009" spans="1:5" ht="19.8" customHeight="1" x14ac:dyDescent="0.3">
      <c r="A2009" s="99"/>
      <c r="B2009" s="99"/>
      <c r="C2009" s="99"/>
      <c r="D2009" s="99"/>
      <c r="E2009" s="99"/>
    </row>
    <row r="2010" spans="1:5" ht="19.8" customHeight="1" x14ac:dyDescent="0.3">
      <c r="A2010" s="99"/>
      <c r="B2010" s="99"/>
      <c r="C2010" s="99"/>
      <c r="D2010" s="99"/>
      <c r="E2010" s="99"/>
    </row>
    <row r="2011" spans="1:5" ht="19.8" customHeight="1" x14ac:dyDescent="0.3">
      <c r="A2011" s="99"/>
      <c r="B2011" s="99"/>
      <c r="C2011" s="99"/>
      <c r="D2011" s="99"/>
      <c r="E2011" s="99"/>
    </row>
    <row r="2012" spans="1:5" ht="19.8" customHeight="1" x14ac:dyDescent="0.3">
      <c r="A2012" s="99"/>
      <c r="B2012" s="99"/>
      <c r="C2012" s="99"/>
      <c r="D2012" s="99"/>
      <c r="E2012" s="99"/>
    </row>
    <row r="2013" spans="1:5" ht="19.8" customHeight="1" x14ac:dyDescent="0.3">
      <c r="A2013" s="99"/>
      <c r="B2013" s="99"/>
      <c r="C2013" s="99"/>
      <c r="D2013" s="99"/>
      <c r="E2013" s="99"/>
    </row>
    <row r="2014" spans="1:5" ht="19.8" customHeight="1" x14ac:dyDescent="0.3">
      <c r="A2014" s="99"/>
      <c r="B2014" s="99"/>
      <c r="C2014" s="99"/>
      <c r="D2014" s="99"/>
      <c r="E2014" s="99"/>
    </row>
    <row r="2015" spans="1:5" ht="19.8" customHeight="1" x14ac:dyDescent="0.3">
      <c r="A2015" s="99"/>
      <c r="B2015" s="99"/>
      <c r="C2015" s="99"/>
      <c r="D2015" s="99"/>
      <c r="E2015" s="99"/>
    </row>
    <row r="2016" spans="1:5" ht="19.8" customHeight="1" x14ac:dyDescent="0.3">
      <c r="A2016" s="99"/>
      <c r="B2016" s="99"/>
      <c r="C2016" s="99"/>
      <c r="D2016" s="99"/>
      <c r="E2016" s="99"/>
    </row>
    <row r="2017" spans="1:5" ht="19.8" customHeight="1" x14ac:dyDescent="0.3">
      <c r="A2017" s="99"/>
      <c r="B2017" s="99"/>
      <c r="C2017" s="99"/>
      <c r="D2017" s="99"/>
      <c r="E2017" s="99"/>
    </row>
    <row r="2018" spans="1:5" ht="19.8" customHeight="1" x14ac:dyDescent="0.3">
      <c r="A2018" s="99"/>
      <c r="B2018" s="99"/>
      <c r="C2018" s="99"/>
      <c r="D2018" s="99"/>
      <c r="E2018" s="99"/>
    </row>
    <row r="2019" spans="1:5" ht="19.8" customHeight="1" x14ac:dyDescent="0.3">
      <c r="A2019" s="99"/>
      <c r="B2019" s="99"/>
      <c r="C2019" s="99"/>
      <c r="D2019" s="99"/>
      <c r="E2019" s="99"/>
    </row>
    <row r="2020" spans="1:5" ht="19.8" customHeight="1" x14ac:dyDescent="0.3">
      <c r="A2020" s="99"/>
      <c r="B2020" s="99"/>
      <c r="C2020" s="99"/>
      <c r="D2020" s="99"/>
      <c r="E2020" s="99"/>
    </row>
    <row r="2021" spans="1:5" ht="19.8" customHeight="1" x14ac:dyDescent="0.3">
      <c r="A2021" s="99"/>
      <c r="B2021" s="99"/>
      <c r="C2021" s="99"/>
      <c r="D2021" s="99"/>
      <c r="E2021" s="99"/>
    </row>
    <row r="2022" spans="1:5" ht="19.8" customHeight="1" x14ac:dyDescent="0.3">
      <c r="A2022" s="99"/>
      <c r="B2022" s="99"/>
      <c r="C2022" s="99"/>
      <c r="D2022" s="99"/>
      <c r="E2022" s="99"/>
    </row>
    <row r="2023" spans="1:5" ht="19.8" customHeight="1" x14ac:dyDescent="0.3">
      <c r="A2023" s="99"/>
      <c r="B2023" s="99"/>
      <c r="C2023" s="99"/>
      <c r="D2023" s="99"/>
      <c r="E2023" s="99"/>
    </row>
    <row r="2024" spans="1:5" ht="19.8" customHeight="1" x14ac:dyDescent="0.3">
      <c r="A2024" s="99"/>
      <c r="B2024" s="99"/>
      <c r="C2024" s="99"/>
      <c r="D2024" s="99"/>
      <c r="E2024" s="99"/>
    </row>
    <row r="2025" spans="1:5" ht="19.8" customHeight="1" x14ac:dyDescent="0.3">
      <c r="A2025" s="99"/>
      <c r="B2025" s="99"/>
      <c r="C2025" s="99"/>
      <c r="D2025" s="99"/>
      <c r="E2025" s="99"/>
    </row>
    <row r="2026" spans="1:5" ht="19.8" customHeight="1" x14ac:dyDescent="0.3">
      <c r="A2026" s="99"/>
      <c r="B2026" s="99"/>
      <c r="C2026" s="99"/>
      <c r="D2026" s="99"/>
      <c r="E2026" s="99"/>
    </row>
    <row r="2027" spans="1:5" ht="19.8" customHeight="1" x14ac:dyDescent="0.3">
      <c r="A2027" s="99"/>
      <c r="B2027" s="99"/>
      <c r="C2027" s="99"/>
      <c r="D2027" s="99"/>
      <c r="E2027" s="99"/>
    </row>
    <row r="2028" spans="1:5" ht="19.8" customHeight="1" x14ac:dyDescent="0.3">
      <c r="A2028" s="99"/>
      <c r="B2028" s="99"/>
      <c r="C2028" s="99"/>
      <c r="D2028" s="99"/>
      <c r="E2028" s="99"/>
    </row>
    <row r="2029" spans="1:5" ht="19.8" customHeight="1" x14ac:dyDescent="0.3">
      <c r="A2029" s="99"/>
      <c r="B2029" s="99"/>
      <c r="C2029" s="99"/>
      <c r="D2029" s="99"/>
      <c r="E2029" s="99"/>
    </row>
    <row r="2030" spans="1:5" ht="19.8" customHeight="1" x14ac:dyDescent="0.3">
      <c r="A2030" s="99"/>
      <c r="B2030" s="99"/>
      <c r="C2030" s="99"/>
      <c r="D2030" s="99"/>
      <c r="E2030" s="99"/>
    </row>
    <row r="2031" spans="1:5" ht="19.8" customHeight="1" x14ac:dyDescent="0.3">
      <c r="A2031" s="99"/>
      <c r="B2031" s="99"/>
      <c r="C2031" s="99"/>
      <c r="D2031" s="99"/>
      <c r="E2031" s="99"/>
    </row>
    <row r="2032" spans="1:5" ht="19.8" customHeight="1" x14ac:dyDescent="0.3">
      <c r="A2032" s="99"/>
      <c r="B2032" s="99"/>
      <c r="C2032" s="99"/>
      <c r="D2032" s="99"/>
      <c r="E2032" s="99"/>
    </row>
    <row r="2033" spans="1:5" ht="19.8" customHeight="1" x14ac:dyDescent="0.3">
      <c r="A2033" s="99"/>
      <c r="B2033" s="99"/>
      <c r="C2033" s="99"/>
      <c r="D2033" s="99"/>
      <c r="E2033" s="99"/>
    </row>
    <row r="2034" spans="1:5" ht="19.8" customHeight="1" x14ac:dyDescent="0.3">
      <c r="A2034" s="99"/>
      <c r="B2034" s="99"/>
      <c r="C2034" s="99"/>
      <c r="D2034" s="99"/>
      <c r="E2034" s="99"/>
    </row>
    <row r="2035" spans="1:5" ht="19.8" customHeight="1" x14ac:dyDescent="0.3">
      <c r="A2035" s="99"/>
      <c r="B2035" s="99"/>
      <c r="C2035" s="99"/>
      <c r="D2035" s="99"/>
      <c r="E2035" s="99"/>
    </row>
    <row r="2036" spans="1:5" ht="19.8" customHeight="1" x14ac:dyDescent="0.3">
      <c r="A2036" s="99"/>
      <c r="B2036" s="99"/>
      <c r="C2036" s="99"/>
      <c r="D2036" s="99"/>
      <c r="E2036" s="99"/>
    </row>
    <row r="2037" spans="1:5" ht="19.8" customHeight="1" x14ac:dyDescent="0.3">
      <c r="A2037" s="99"/>
      <c r="B2037" s="99"/>
      <c r="C2037" s="99"/>
      <c r="D2037" s="99"/>
      <c r="E2037" s="99"/>
    </row>
    <row r="2038" spans="1:5" ht="19.8" customHeight="1" x14ac:dyDescent="0.3">
      <c r="A2038" s="99"/>
      <c r="B2038" s="99"/>
      <c r="C2038" s="99"/>
      <c r="D2038" s="99"/>
      <c r="E2038" s="99"/>
    </row>
    <row r="2039" spans="1:5" ht="19.8" customHeight="1" x14ac:dyDescent="0.3">
      <c r="A2039" s="99"/>
      <c r="B2039" s="99"/>
      <c r="C2039" s="99"/>
      <c r="D2039" s="99"/>
      <c r="E2039" s="99"/>
    </row>
    <row r="2040" spans="1:5" ht="19.8" customHeight="1" x14ac:dyDescent="0.3">
      <c r="A2040" s="99"/>
      <c r="B2040" s="99"/>
      <c r="C2040" s="99"/>
      <c r="D2040" s="99"/>
      <c r="E2040" s="99"/>
    </row>
    <row r="2041" spans="1:5" ht="19.8" customHeight="1" x14ac:dyDescent="0.3">
      <c r="A2041" s="99"/>
      <c r="B2041" s="99"/>
      <c r="C2041" s="99"/>
      <c r="D2041" s="99"/>
      <c r="E2041" s="99"/>
    </row>
  </sheetData>
  <autoFilter ref="A1:H1952" xr:uid="{49BED331-A8DF-4762-ABD1-4F2D4FF46B03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8CC3-C106-4DE9-8509-563D6E48A13D}">
  <dimension ref="A3:C20"/>
  <sheetViews>
    <sheetView topLeftCell="AF1" workbookViewId="0">
      <selection activeCell="AX17" sqref="AX17"/>
    </sheetView>
  </sheetViews>
  <sheetFormatPr defaultRowHeight="14.4" x14ac:dyDescent="0.3"/>
  <sheetData>
    <row r="3" spans="1:3" x14ac:dyDescent="0.3">
      <c r="A3" s="78"/>
      <c r="B3" s="79"/>
      <c r="C3" s="80"/>
    </row>
    <row r="4" spans="1:3" x14ac:dyDescent="0.3">
      <c r="A4" s="81"/>
      <c r="B4" s="82"/>
      <c r="C4" s="83"/>
    </row>
    <row r="5" spans="1:3" x14ac:dyDescent="0.3">
      <c r="A5" s="81"/>
      <c r="B5" s="82"/>
      <c r="C5" s="83"/>
    </row>
    <row r="6" spans="1:3" x14ac:dyDescent="0.3">
      <c r="A6" s="81"/>
      <c r="B6" s="82"/>
      <c r="C6" s="83"/>
    </row>
    <row r="7" spans="1:3" x14ac:dyDescent="0.3">
      <c r="A7" s="81"/>
      <c r="B7" s="82"/>
      <c r="C7" s="83"/>
    </row>
    <row r="8" spans="1:3" x14ac:dyDescent="0.3">
      <c r="A8" s="81"/>
      <c r="B8" s="82"/>
      <c r="C8" s="83"/>
    </row>
    <row r="9" spans="1:3" x14ac:dyDescent="0.3">
      <c r="A9" s="81"/>
      <c r="B9" s="82"/>
      <c r="C9" s="83"/>
    </row>
    <row r="10" spans="1:3" x14ac:dyDescent="0.3">
      <c r="A10" s="81"/>
      <c r="B10" s="82"/>
      <c r="C10" s="83"/>
    </row>
    <row r="11" spans="1:3" x14ac:dyDescent="0.3">
      <c r="A11" s="81"/>
      <c r="B11" s="82"/>
      <c r="C11" s="83"/>
    </row>
    <row r="12" spans="1:3" x14ac:dyDescent="0.3">
      <c r="A12" s="81"/>
      <c r="B12" s="82"/>
      <c r="C12" s="83"/>
    </row>
    <row r="13" spans="1:3" x14ac:dyDescent="0.3">
      <c r="A13" s="81"/>
      <c r="B13" s="82"/>
      <c r="C13" s="83"/>
    </row>
    <row r="14" spans="1:3" x14ac:dyDescent="0.3">
      <c r="A14" s="81"/>
      <c r="B14" s="82"/>
      <c r="C14" s="83"/>
    </row>
    <row r="15" spans="1:3" x14ac:dyDescent="0.3">
      <c r="A15" s="81"/>
      <c r="B15" s="82"/>
      <c r="C15" s="83"/>
    </row>
    <row r="16" spans="1:3" x14ac:dyDescent="0.3">
      <c r="A16" s="81"/>
      <c r="B16" s="82"/>
      <c r="C16" s="83"/>
    </row>
    <row r="17" spans="1:3" x14ac:dyDescent="0.3">
      <c r="A17" s="81"/>
      <c r="B17" s="82"/>
      <c r="C17" s="83"/>
    </row>
    <row r="18" spans="1:3" x14ac:dyDescent="0.3">
      <c r="A18" s="81"/>
      <c r="B18" s="82"/>
      <c r="C18" s="83"/>
    </row>
    <row r="19" spans="1:3" x14ac:dyDescent="0.3">
      <c r="A19" s="81"/>
      <c r="B19" s="82"/>
      <c r="C19" s="83"/>
    </row>
    <row r="20" spans="1:3" x14ac:dyDescent="0.3">
      <c r="A20" s="84"/>
      <c r="B20" s="85"/>
      <c r="C20" s="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2</vt:i4>
      </vt:variant>
    </vt:vector>
  </HeadingPairs>
  <TitlesOfParts>
    <vt:vector size="8" baseType="lpstr">
      <vt:lpstr>30.06.2024 Bilanço  </vt:lpstr>
      <vt:lpstr>30.06.2024 Gelir Tablosu S</vt:lpstr>
      <vt:lpstr>Sayfa1</vt:lpstr>
      <vt:lpstr>30.06.2024 Ana Hs.Mizanı S</vt:lpstr>
      <vt:lpstr>30.06.2024 Detay Mizan  S</vt:lpstr>
      <vt:lpstr>Sayfa2</vt:lpstr>
      <vt:lpstr>'30.06.2024 Bilanço  '!Yazdırma_Alanı</vt:lpstr>
      <vt:lpstr>'30.06.2024 Gelir Tablosu S'!Yazdırma_Alanı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Çelik</dc:creator>
  <cp:lastModifiedBy>İrfan Büyükçolak</cp:lastModifiedBy>
  <cp:lastPrinted>2022-01-12T11:17:07Z</cp:lastPrinted>
  <dcterms:created xsi:type="dcterms:W3CDTF">2016-11-03T10:23:23Z</dcterms:created>
  <dcterms:modified xsi:type="dcterms:W3CDTF">2024-09-13T12:15:53Z</dcterms:modified>
</cp:coreProperties>
</file>